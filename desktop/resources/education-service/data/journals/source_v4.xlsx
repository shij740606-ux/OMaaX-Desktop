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eaf4c61ff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与口径" sheetId="1" r:id="Rd1f4362116944e2f"/>
    <x:sheet xmlns:r="http://schemas.openxmlformats.org/officeDocument/2006/relationships" name="国际期刊" sheetId="2" r:id="R5f10e46e45a9446a"/>
    <x:sheet xmlns:r="http://schemas.openxmlformats.org/officeDocument/2006/relationships" name="中文期刊" sheetId="3" r:id="Rf44a752e4854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&quot;区&quot;"/>
    <x:numFmt numFmtId="201" formatCode="0.0"/>
    <x:numFmt numFmtId="202" formatCode="0"/>
    <x:numFmt numFmtId="203" formatCode="0.000"/>
    <x:numFmt numFmtId="204" formatCode="#,##0"/>
  </x:numFmts>
  <x:fonts count="9">
    <x:font>
      <x:sz val="11"/>
      <x:name val="Carlito"/>
    </x:font>
    <x:font>
      <x:sz val="11"/>
      <x:color rgb="FF253544"/>
      <x:name val="Arial"/>
    </x:font>
    <x:font>
      <x:b/>
      <x:sz val="11"/>
      <x:color rgb="FFFFFFFF"/>
      <x:name val="Arial"/>
    </x:font>
    <x:font>
      <x:sz val="11"/>
      <x:color rgb="FF155FA0"/>
      <x:name val="Arial"/>
    </x:font>
    <x:font>
      <x:b/>
      <x:sz val="17"/>
      <x:color rgb="FF20364A"/>
      <x:name val="Arial"/>
    </x:font>
    <x:font>
      <x:sz val="11"/>
      <x:color rgb="FF536471"/>
      <x:name val="Arial"/>
    </x:font>
    <x:font>
      <x:b/>
      <x:sz val="11"/>
      <x:color rgb="FF253544"/>
      <x:name val="Arial"/>
    </x:font>
    <x:font>
      <x:b/>
      <x:sz val="14"/>
      <x:color rgb="FF20364A"/>
      <x:name val="Arial"/>
    </x:font>
    <x:font>
      <x:sz val="10"/>
      <x:color rgb="FF2535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A"/>
      </x:patternFill>
    </x:fill>
    <x:fill>
      <x:patternFill patternType="solid">
        <x:fgColor rgb="FF345C46"/>
      </x:patternFill>
    </x:fill>
    <x:fill>
      <x:patternFill patternType="solid">
        <x:fgColor rgb="FFF0F4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20364A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2" fontId="6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BF1D8"/>
        </x:patternFill>
      </x:fill>
    </x:dxf>
    <x:dxf>
      <x:fill>
        <x:patternFill patternType="solid">
          <x:bgColor rgb="FFFBF1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172f566234cc2" /><Relationship Type="http://schemas.openxmlformats.org/officeDocument/2006/relationships/theme" Target="/xl/theme/theme1.xml" Id="R04b5b97bdd554b1b" /><Relationship Type="http://schemas.openxmlformats.org/officeDocument/2006/relationships/sharedStrings" Target="/xl/sharedStrings.xml" Id="R3f151c188cf942e6" /><Relationship Type="http://schemas.openxmlformats.org/officeDocument/2006/relationships/worksheet" Target="/xl/worksheets/sheet1.xml" Id="Rd1f4362116944e2f" /><Relationship Type="http://schemas.openxmlformats.org/officeDocument/2006/relationships/worksheet" Target="/xl/worksheets/sheet2.xml" Id="R5f10e46e45a9446a" /><Relationship Type="http://schemas.openxmlformats.org/officeDocument/2006/relationships/worksheet" Target="/xl/worksheets/sheet3.xml" Id="Rf44a752e485449b8" /></Relationships>
</file>

<file path=xl/tables/table1.xml><?xml version="1.0" encoding="utf-8"?>
<x:table xmlns:x="http://schemas.openxmlformats.org/spreadsheetml/2006/main" id="1" name="InternationalJournals" displayName="InternationalJournals" ref="A1:V780" headerRowCount="1" totalsRowCount="0" totalsRowShown="0">
  <x:autoFilter ref="A1:V780"/>
  <x:tableColumns count="22">
    <x:tableColumn id="1" name="期刊名称"/>
    <x:tableColumn id="2" name="研究方向"/>
    <x:tableColumn id="3" name="中科院分区"/>
    <x:tableColumn id="4" name="JIF影响因子"/>
    <x:tableColumn id="5" name="JIF统计年"/>
    <x:tableColumn id="6" name="出版系列"/>
    <x:tableColumn id="7" name="期刊标记"/>
    <x:tableColumn id="8" name="文章类型"/>
    <x:tableColumn id="9" name="分区版本年"/>
    <x:tableColumn id="10" name="Top（源表）"/>
    <x:tableColumn id="11" name="ISSN"/>
    <x:tableColumn id="12" name="eISSN"/>
    <x:tableColumn id="13" name="JCR学科（2024源表）"/>
    <x:tableColumn id="14" name="JIF核对状态"/>
    <x:tableColumn id="15" name="补充说明"/>
    <x:tableColumn id="16" name="JIF数据来源"/>
    <x:tableColumn id="17" name="分区数据来源"/>
    <x:tableColumn id="18" name="补充证据"/>
    <x:tableColumn id="19" name="官网网址"/>
    <x:tableColumn id="20" name="官网核对状态"/>
    <x:tableColumn id="21" name="官网来源"/>
    <x:tableColumn id="22" name="JCR发布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ineseJournals" displayName="ChineseJournals" ref="A1:O278" headerRowCount="1" totalsRowCount="0" totalsRowShown="0">
  <x:autoFilter ref="A1:O278"/>
  <x:tableColumns count="15">
    <x:tableColumn id="1" name="中文期刊名称"/>
    <x:tableColumn id="2" name="研究方向"/>
    <x:tableColumn id="3" name="复合影响因子"/>
    <x:tableColumn id="4" name="综合影响因子"/>
    <x:tableColumn id="5" name="指标统计年"/>
    <x:tableColumn id="6" name="年报版本年"/>
    <x:tableColumn id="7" name="指标口径"/>
    <x:tableColumn id="8" name="中科院分区"/>
    <x:tableColumn id="9" name="核对状态"/>
    <x:tableColumn id="10" name="年报PDF页码"/>
    <x:tableColumn id="11" name="备注"/>
    <x:tableColumn id="12" name="数据来源"/>
    <x:tableColumn id="13" name="官网网址"/>
    <x:tableColumn id="14" name="官网核对状态"/>
    <x:tableColumn id="15" name="官网来源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journalLink1" Type="http://schemas.openxmlformats.org/officeDocument/2006/relationships/hyperlink" Target="https://huaxue.hebtu.edu.cn/a/2025/09/23/A5A5BBD96F6B4410B87B6D4C43BDFD63.html" TargetMode="External" /><ns0:Relationship Id="journalLink2" Type="http://schemas.openxmlformats.org/officeDocument/2006/relationships/hyperlink" Target="https://www.pkuh6.cn/Html/News/Articles/6860.html" TargetMode="External" /><ns0:Relationship Id="journalLink3" Type="http://schemas.openxmlformats.org/officeDocument/2006/relationships/hyperlink" Target="https://www.niic.nsc.ru/phocadownload/publications/2025/JCR_JournalImpactFactor_2026.pdf" TargetMode="External" /><ns0:Relationship Id="journalLink4" Type="http://schemas.openxmlformats.org/officeDocument/2006/relationships/hyperlink" Target="https://kyc.hezeu.edu.cn/info/1040/4015.htm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bdc102b7746b4c30" /><ns0:Relationship Id="journalLink1" Type="http://schemas.openxmlformats.org/officeDocument/2006/relationships/hyperlink" Target="https://www.niic.nsc.ru/phocadownload/publications/2025/JCR_JournalImpactFactor_2026.pdf#page=1" TargetMode="External" /><ns0:Relationship Id="journalLink2" Type="http://schemas.openxmlformats.org/officeDocument/2006/relationships/hyperlink" Target="https://huaxue.hebtu.edu.cn/a/2025/09/23/A5A5BBD96F6B4410B87B6D4C43BDFD63.html" TargetMode="External" /><ns0:Relationship Id="journalLink3" Type="http://schemas.openxmlformats.org/officeDocument/2006/relationships/hyperlink" Target="https://www.nature.com/nature/journal-impact" TargetMode="External" /><ns0:Relationship Id="journalLink4" Type="http://schemas.openxmlformats.org/officeDocument/2006/relationships/hyperlink" Target="https://www.nature.com/nature/" TargetMode="External" /><ns0:Relationship Id="journalLink5" Type="http://schemas.openxmlformats.org/officeDocument/2006/relationships/hyperlink" Target="https://www.nature.com/nature/" TargetMode="External" /><ns0:Relationship Id="journalLink6" Type="http://schemas.openxmlformats.org/officeDocument/2006/relationships/hyperlink" Target="https://www.niic.nsc.ru/phocadownload/publications/2025/JCR_JournalImpactFactor_2026.pdf#page=2" TargetMode="External" /><ns0:Relationship Id="journalLink7" Type="http://schemas.openxmlformats.org/officeDocument/2006/relationships/hyperlink" Target="https://huaxue.hebtu.edu.cn/a/2025/09/23/A5A5BBD96F6B4410B87B6D4C43BDFD63.html" TargetMode="External" /><ns0:Relationship Id="journalLink8" Type="http://schemas.openxmlformats.org/officeDocument/2006/relationships/hyperlink" Target="https://www.science.org/journal/science" TargetMode="External" /><ns0:Relationship Id="journalLink9" Type="http://schemas.openxmlformats.org/officeDocument/2006/relationships/hyperlink" Target="https://www.science.org/journal/science" TargetMode="External" /><ns0:Relationship Id="journalLink10" Type="http://schemas.openxmlformats.org/officeDocument/2006/relationships/hyperlink" Target="https://www.niic.nsc.ru/phocadownload/publications/2025/JCR_JournalImpactFactor_2026.pdf#page=2" TargetMode="External" /><ns0:Relationship Id="journalLink11" Type="http://schemas.openxmlformats.org/officeDocument/2006/relationships/hyperlink" Target="https://huaxue.hebtu.edu.cn/a/2025/09/23/A5A5BBD96F6B4410B87B6D4C43BDFD63.html" TargetMode="External" /><ns0:Relationship Id="journalLink12" Type="http://schemas.openxmlformats.org/officeDocument/2006/relationships/hyperlink" Target="https://www.cell.com/cell/home" TargetMode="External" /><ns0:Relationship Id="journalLink13" Type="http://schemas.openxmlformats.org/officeDocument/2006/relationships/hyperlink" Target="https://www.cell.com/cell/home" TargetMode="External" /><ns0:Relationship Id="journalLink14" Type="http://schemas.openxmlformats.org/officeDocument/2006/relationships/hyperlink" Target="https://www.niic.nsc.ru/phocadownload/publications/2025/JCR_JournalImpactFactor_2026.pdf#page=2" TargetMode="External" /><ns0:Relationship Id="journalLink15" Type="http://schemas.openxmlformats.org/officeDocument/2006/relationships/hyperlink" Target="https://huaxue.hebtu.edu.cn/a/2025/09/23/A5A5BBD96F6B4410B87B6D4C43BDFD63.html" TargetMode="External" /><ns0:Relationship Id="journalLink16" Type="http://schemas.openxmlformats.org/officeDocument/2006/relationships/hyperlink" Target="https://www.journals.elsevier.com/the-innovation" TargetMode="External" /><ns0:Relationship Id="journalLink17" Type="http://schemas.openxmlformats.org/officeDocument/2006/relationships/hyperlink" Target="https://openalex.org/S4210236180" TargetMode="External" /><ns0:Relationship Id="journalLink18" Type="http://schemas.openxmlformats.org/officeDocument/2006/relationships/hyperlink" Target="https://www.niic.nsc.ru/phocadownload/publications/2025/JCR_JournalImpactFactor_2026.pdf#page=6" TargetMode="External" /><ns0:Relationship Id="journalLink19" Type="http://schemas.openxmlformats.org/officeDocument/2006/relationships/hyperlink" Target="https://huaxue.hebtu.edu.cn/a/2025/09/23/A5A5BBD96F6B4410B87B6D4C43BDFD63.html" TargetMode="External" /><ns0:Relationship Id="journalLink20" Type="http://schemas.openxmlformats.org/officeDocument/2006/relationships/hyperlink" Target="https://www.sciencedirect.com/journal/science-bulletin" TargetMode="External" /><ns0:Relationship Id="journalLink21" Type="http://schemas.openxmlformats.org/officeDocument/2006/relationships/hyperlink" Target="https://www.sciencedirect.com/journal/science-bulletin" TargetMode="External" /><ns0:Relationship Id="journalLink22" Type="http://schemas.openxmlformats.org/officeDocument/2006/relationships/hyperlink" Target="https://www.niic.nsc.ru/phocadownload/publications/2025/JCR_JournalImpactFactor_2026.pdf#page=8" TargetMode="External" /><ns0:Relationship Id="journalLink23" Type="http://schemas.openxmlformats.org/officeDocument/2006/relationships/hyperlink" Target="https://huaxue.hebtu.edu.cn/a/2025/09/23/A5A5BBD96F6B4410B87B6D4C43BDFD63.html" TargetMode="External" /><ns0:Relationship Id="journalLink24" Type="http://schemas.openxmlformats.org/officeDocument/2006/relationships/hyperlink" Target="https://academic.oup.com/nsr" TargetMode="External" /><ns0:Relationship Id="journalLink25" Type="http://schemas.openxmlformats.org/officeDocument/2006/relationships/hyperlink" Target="https://openalex.org/S2734413303" TargetMode="External" /><ns0:Relationship Id="journalLink26" Type="http://schemas.openxmlformats.org/officeDocument/2006/relationships/hyperlink" Target="https://www.niic.nsc.ru/phocadownload/publications/2025/JCR_JournalImpactFactor_2026.pdf#page=8" TargetMode="External" /><ns0:Relationship Id="journalLink27" Type="http://schemas.openxmlformats.org/officeDocument/2006/relationships/hyperlink" Target="https://huaxue.hebtu.edu.cn/a/2025/09/23/A5A5BBD96F6B4410B87B6D4C43BDFD63.html" TargetMode="External" /><ns0:Relationship Id="journalLink28" Type="http://schemas.openxmlformats.org/officeDocument/2006/relationships/hyperlink" Target="http://www.nature.com/ncomms/index.html" TargetMode="External" /><ns0:Relationship Id="journalLink29" Type="http://schemas.openxmlformats.org/officeDocument/2006/relationships/hyperlink" Target="https://openalex.org/S64187185" TargetMode="External" /><ns0:Relationship Id="journalLink30" Type="http://schemas.openxmlformats.org/officeDocument/2006/relationships/hyperlink" Target="https://www.niic.nsc.ru/phocadownload/publications/2025/JCR_JournalImpactFactor_2026.pdf#page=12" TargetMode="External" /><ns0:Relationship Id="journalLink31" Type="http://schemas.openxmlformats.org/officeDocument/2006/relationships/hyperlink" Target="https://huaxue.hebtu.edu.cn/a/2025/09/23/A5A5BBD96F6B4410B87B6D4C43BDFD63.html" TargetMode="External" /><ns0:Relationship Id="journalLink32" Type="http://schemas.openxmlformats.org/officeDocument/2006/relationships/hyperlink" Target="https://onlinelibrary.wiley.com/journal/21983844" TargetMode="External" /><ns0:Relationship Id="journalLink33" Type="http://schemas.openxmlformats.org/officeDocument/2006/relationships/hyperlink" Target="https://openalex.org/S2737737698" TargetMode="External" /><ns0:Relationship Id="journalLink34" Type="http://schemas.openxmlformats.org/officeDocument/2006/relationships/hyperlink" Target="https://www.niic.nsc.ru/phocadownload/publications/2025/JCR_JournalImpactFactor_2026.pdf#page=13" TargetMode="External" /><ns0:Relationship Id="journalLink35" Type="http://schemas.openxmlformats.org/officeDocument/2006/relationships/hyperlink" Target="https://huaxue.hebtu.edu.cn/a/2025/09/23/A5A5BBD96F6B4410B87B6D4C43BDFD63.html" TargetMode="External" /><ns0:Relationship Id="journalLink36" Type="http://schemas.openxmlformats.org/officeDocument/2006/relationships/hyperlink" Target="https://www.science.org/journal/sciadv" TargetMode="External" /><ns0:Relationship Id="journalLink37" Type="http://schemas.openxmlformats.org/officeDocument/2006/relationships/hyperlink" Target="https://openalex.org/S2737427234" TargetMode="External" /><ns0:Relationship Id="journalLink38" Type="http://schemas.openxmlformats.org/officeDocument/2006/relationships/hyperlink" Target="https://www.niic.nsc.ru/phocadownload/publications/2025/JCR_JournalImpactFactor_2026.pdf#page=15" TargetMode="External" /><ns0:Relationship Id="journalLink39" Type="http://schemas.openxmlformats.org/officeDocument/2006/relationships/hyperlink" Target="https://huaxue.hebtu.edu.cn/a/2025/09/23/A5A5BBD96F6B4410B87B6D4C43BDFD63.html" TargetMode="External" /><ns0:Relationship Id="journalLink40" Type="http://schemas.openxmlformats.org/officeDocument/2006/relationships/hyperlink" Target="https://spj.sciencemag.org/research/" TargetMode="External" /><ns0:Relationship Id="journalLink41" Type="http://schemas.openxmlformats.org/officeDocument/2006/relationships/hyperlink" Target="https://openalex.org/S4210218516" TargetMode="External" /><ns0:Relationship Id="journalLink42" Type="http://schemas.openxmlformats.org/officeDocument/2006/relationships/hyperlink" Target="https://www.niic.nsc.ru/phocadownload/publications/2025/JCR_JournalImpactFactor_2026.pdf#page=26" TargetMode="External" /><ns0:Relationship Id="journalLink43" Type="http://schemas.openxmlformats.org/officeDocument/2006/relationships/hyperlink" Target="https://huaxue.hebtu.edu.cn/a/2025/09/23/A5A5BBD96F6B4410B87B6D4C43BDFD63.html" TargetMode="External" /><ns0:Relationship Id="journalLink44" Type="http://schemas.openxmlformats.org/officeDocument/2006/relationships/hyperlink" Target="http://www.pnas.org/" TargetMode="External" /><ns0:Relationship Id="journalLink45" Type="http://schemas.openxmlformats.org/officeDocument/2006/relationships/hyperlink" Target="https://openalex.org/S125754415" TargetMode="External" /><ns0:Relationship Id="journalLink46" Type="http://schemas.openxmlformats.org/officeDocument/2006/relationships/hyperlink" Target="https://www.niic.nsc.ru/phocadownload/publications/2025/JCR_JournalImpactFactor_2026.pdf#page=730" TargetMode="External" /><ns0:Relationship Id="journalLink47" Type="http://schemas.openxmlformats.org/officeDocument/2006/relationships/hyperlink" Target="https://huaxue.hebtu.edu.cn/a/2025/09/23/A5A5BBD96F6B4410B87B6D4C43BDFD63.html" TargetMode="External" /><ns0:Relationship Id="journalLink48" Type="http://schemas.openxmlformats.org/officeDocument/2006/relationships/hyperlink" Target="http://elifesciences.org/" TargetMode="External" /><ns0:Relationship Id="journalLink49" Type="http://schemas.openxmlformats.org/officeDocument/2006/relationships/hyperlink" Target="https://openalex.org/S1336409049" TargetMode="External" /><ns0:Relationship Id="journalLink50" Type="http://schemas.openxmlformats.org/officeDocument/2006/relationships/hyperlink" Target="https://www.niic.nsc.ru/phocadownload/publications/2025/JCR_JournalImpactFactor_2026.pdf#page=44" TargetMode="External" /><ns0:Relationship Id="journalLink51" Type="http://schemas.openxmlformats.org/officeDocument/2006/relationships/hyperlink" Target="https://huaxue.hebtu.edu.cn/a/2025/09/23/A5A5BBD96F6B4410B87B6D4C43BDFD63.html" TargetMode="External" /><ns0:Relationship Id="journalLink52" Type="http://schemas.openxmlformats.org/officeDocument/2006/relationships/hyperlink" Target="https://www.nature.com/sdata/" TargetMode="External" /><ns0:Relationship Id="journalLink53" Type="http://schemas.openxmlformats.org/officeDocument/2006/relationships/hyperlink" Target="https://openalex.org/S2607323502" TargetMode="External" /><ns0:Relationship Id="journalLink54" Type="http://schemas.openxmlformats.org/officeDocument/2006/relationships/hyperlink" Target="https://www.niic.nsc.ru/phocadownload/publications/2025/JCR_JournalImpactFactor_2026.pdf#page=103" TargetMode="External" /><ns0:Relationship Id="journalLink55" Type="http://schemas.openxmlformats.org/officeDocument/2006/relationships/hyperlink" Target="https://huaxue.hebtu.edu.cn/a/2025/09/23/A5A5BBD96F6B4410B87B6D4C43BDFD63.html" TargetMode="External" /><ns0:Relationship Id="journalLink56" Type="http://schemas.openxmlformats.org/officeDocument/2006/relationships/hyperlink" Target="https://www.sciencedirect.com/journal/iscience" TargetMode="External" /><ns0:Relationship Id="journalLink57" Type="http://schemas.openxmlformats.org/officeDocument/2006/relationships/hyperlink" Target="https://openalex.org/S2898358376" TargetMode="External" /><ns0:Relationship Id="journalLink58" Type="http://schemas.openxmlformats.org/officeDocument/2006/relationships/hyperlink" Target="https://www.niic.nsc.ru/phocadownload/publications/2025/JCR_JournalImpactFactor_2026.pdf#page=85" TargetMode="External" /><ns0:Relationship Id="journalLink59" Type="http://schemas.openxmlformats.org/officeDocument/2006/relationships/hyperlink" Target="https://huaxue.hebtu.edu.cn/a/2025/09/23/A5A5BBD96F6B4410B87B6D4C43BDFD63.html" TargetMode="External" /><ns0:Relationship Id="journalLink60" Type="http://schemas.openxmlformats.org/officeDocument/2006/relationships/hyperlink" Target="https://academic.oup.com/gigascience" TargetMode="External" /><ns0:Relationship Id="journalLink61" Type="http://schemas.openxmlformats.org/officeDocument/2006/relationships/hyperlink" Target="https://openalex.org/S2735135405" TargetMode="External" /><ns0:Relationship Id="journalLink62" Type="http://schemas.openxmlformats.org/officeDocument/2006/relationships/hyperlink" Target="https://www.niic.nsc.ru/phocadownload/publications/2025/JCR_JournalImpactFactor_2026.pdf#page=88" TargetMode="External" /><ns0:Relationship Id="journalLink63" Type="http://schemas.openxmlformats.org/officeDocument/2006/relationships/hyperlink" Target="https://huaxue.hebtu.edu.cn/a/2025/09/23/A5A5BBD96F6B4410B87B6D4C43BDFD63.html" TargetMode="External" /><ns0:Relationship Id="journalLink64" Type="http://schemas.openxmlformats.org/officeDocument/2006/relationships/hyperlink" Target="http://www.nature.com/srep/index.html" TargetMode="External" /><ns0:Relationship Id="journalLink65" Type="http://schemas.openxmlformats.org/officeDocument/2006/relationships/hyperlink" Target="https://openalex.org/S196734849" TargetMode="External" /><ns0:Relationship Id="journalLink66" Type="http://schemas.openxmlformats.org/officeDocument/2006/relationships/hyperlink" Target="https://www.niic.nsc.ru/phocadownload/publications/2025/JCR_JournalImpactFactor_2026.pdf#page=91" TargetMode="External" /><ns0:Relationship Id="journalLink67" Type="http://schemas.openxmlformats.org/officeDocument/2006/relationships/hyperlink" Target="https://huaxue.hebtu.edu.cn/a/2025/09/23/A5A5BBD96F6B4410B87B6D4C43BDFD63.html" TargetMode="External" /><ns0:Relationship Id="journalLink68" Type="http://schemas.openxmlformats.org/officeDocument/2006/relationships/hyperlink" Target="https://academic.oup.com/pnasnexus" TargetMode="External" /><ns0:Relationship Id="journalLink69" Type="http://schemas.openxmlformats.org/officeDocument/2006/relationships/hyperlink" Target="https://academic.oup.com/pnasnexus" TargetMode="External" /><ns0:Relationship Id="journalLink70" Type="http://schemas.openxmlformats.org/officeDocument/2006/relationships/hyperlink" Target="https://www.niic.nsc.ru/phocadownload/publications/2025/JCR_JournalImpactFactor_2026.pdf#page=194" TargetMode="External" /><ns0:Relationship Id="journalLink71" Type="http://schemas.openxmlformats.org/officeDocument/2006/relationships/hyperlink" Target="https://huaxue.hebtu.edu.cn/a/2025/09/23/A5A5BBD96F6B4410B87B6D4C43BDFD63.html" TargetMode="External" /><ns0:Relationship Id="journalLink72" Type="http://schemas.openxmlformats.org/officeDocument/2006/relationships/hyperlink" Target="https://royalsocietypublishing.org/journal/rsos" TargetMode="External" /><ns0:Relationship Id="journalLink73" Type="http://schemas.openxmlformats.org/officeDocument/2006/relationships/hyperlink" Target="https://openalex.org/S2737558550" TargetMode="External" /><ns0:Relationship Id="journalLink74" Type="http://schemas.openxmlformats.org/officeDocument/2006/relationships/hyperlink" Target="https://www.niic.nsc.ru/phocadownload/publications/2025/JCR_JournalImpactFactor_2026.pdf#page=212" TargetMode="External" /><ns0:Relationship Id="journalLink75" Type="http://schemas.openxmlformats.org/officeDocument/2006/relationships/hyperlink" Target="https://huaxue.hebtu.edu.cn/a/2025/09/23/A5A5BBD96F6B4410B87B6D4C43BDFD63.html" TargetMode="External" /><ns0:Relationship Id="journalLink76" Type="http://schemas.openxmlformats.org/officeDocument/2006/relationships/hyperlink" Target="http://www.plosone.org/" TargetMode="External" /><ns0:Relationship Id="journalLink77" Type="http://schemas.openxmlformats.org/officeDocument/2006/relationships/hyperlink" Target="https://openalex.org/S202381698" TargetMode="External" /><ns0:Relationship Id="journalLink78" Type="http://schemas.openxmlformats.org/officeDocument/2006/relationships/hyperlink" Target="https://www.niic.nsc.ru/phocadownload/publications/2025/JCR_JournalImpactFactor_2026.pdf#page=203" TargetMode="External" /><ns0:Relationship Id="journalLink79" Type="http://schemas.openxmlformats.org/officeDocument/2006/relationships/hyperlink" Target="https://huaxue.hebtu.edu.cn/a/2025/09/23/A5A5BBD96F6B4410B87B6D4C43BDFD63.html" TargetMode="External" /><ns0:Relationship Id="journalLink80" Type="http://schemas.openxmlformats.org/officeDocument/2006/relationships/hyperlink" Target="http://www.peerj.com/" TargetMode="External" /><ns0:Relationship Id="journalLink81" Type="http://schemas.openxmlformats.org/officeDocument/2006/relationships/hyperlink" Target="https://openalex.org/S1983995261" TargetMode="External" /><ns0:Relationship Id="journalLink82" Type="http://schemas.openxmlformats.org/officeDocument/2006/relationships/hyperlink" Target="https://www.niic.nsc.ru/phocadownload/publications/2025/JCR_JournalImpactFactor_2026.pdf" TargetMode="External" /><ns0:Relationship Id="journalLink83" Type="http://schemas.openxmlformats.org/officeDocument/2006/relationships/hyperlink" Target="https://huaxue.hebtu.edu.cn/a/2025/09/23/A5A5BBD96F6B4410B87B6D4C43BDFD63.html" TargetMode="External" /><ns0:Relationship Id="journalLink84" Type="http://schemas.openxmlformats.org/officeDocument/2006/relationships/hyperlink" Target="https://www.sciencedirect.com/journal/heliyon" TargetMode="External" /><ns0:Relationship Id="journalLink85" Type="http://schemas.openxmlformats.org/officeDocument/2006/relationships/hyperlink" Target="https://openalex.org/S2898612692" TargetMode="External" /><ns0:Relationship Id="journalLink86" Type="http://schemas.openxmlformats.org/officeDocument/2006/relationships/hyperlink" Target="https://www.niic.nsc.ru/phocadownload/publications/2025/JCR_JournalImpactFactor_2026.pdf#page=4" TargetMode="External" /><ns0:Relationship Id="journalLink87" Type="http://schemas.openxmlformats.org/officeDocument/2006/relationships/hyperlink" Target="https://huaxue.hebtu.edu.cn/a/2025/09/23/A5A5BBD96F6B4410B87B6D4C43BDFD63.html" TargetMode="External" /><ns0:Relationship Id="journalLink88" Type="http://schemas.openxmlformats.org/officeDocument/2006/relationships/hyperlink" Target="http://www.annualreviews.org/journal/arplant" TargetMode="External" /><ns0:Relationship Id="journalLink89" Type="http://schemas.openxmlformats.org/officeDocument/2006/relationships/hyperlink" Target="https://openalex.org/S176558078" TargetMode="External" /><ns0:Relationship Id="journalLink90" Type="http://schemas.openxmlformats.org/officeDocument/2006/relationships/hyperlink" Target="https://www.niic.nsc.ru/phocadownload/publications/2025/JCR_JournalImpactFactor_2026.pdf#page=3" TargetMode="External" /><ns0:Relationship Id="journalLink91" Type="http://schemas.openxmlformats.org/officeDocument/2006/relationships/hyperlink" Target="https://huaxue.hebtu.edu.cn/a/2025/09/23/A5A5BBD96F6B4410B87B6D4C43BDFD63.html" TargetMode="External" /><ns0:Relationship Id="journalLink92" Type="http://schemas.openxmlformats.org/officeDocument/2006/relationships/hyperlink" Target="https://www.journals.elsevier.com/molecular-plant" TargetMode="External" /><ns0:Relationship Id="journalLink93" Type="http://schemas.openxmlformats.org/officeDocument/2006/relationships/hyperlink" Target="https://openalex.org/S150334665" TargetMode="External" /><ns0:Relationship Id="journalLink94" Type="http://schemas.openxmlformats.org/officeDocument/2006/relationships/hyperlink" Target="https://www.niic.nsc.ru/phocadownload/publications/2025/JCR_JournalImpactFactor_2026.pdf#page=6" TargetMode="External" /><ns0:Relationship Id="journalLink95" Type="http://schemas.openxmlformats.org/officeDocument/2006/relationships/hyperlink" Target="https://huaxue.hebtu.edu.cn/a/2025/09/23/A5A5BBD96F6B4410B87B6D4C43BDFD63.html" TargetMode="External" /><ns0:Relationship Id="journalLink96" Type="http://schemas.openxmlformats.org/officeDocument/2006/relationships/hyperlink" Target="https://www.sciencedirect.com/journal/trends-in-plant-science" TargetMode="External" /><ns0:Relationship Id="journalLink97" Type="http://schemas.openxmlformats.org/officeDocument/2006/relationships/hyperlink" Target="https://openalex.org/S201780205" TargetMode="External" /><ns0:Relationship Id="journalLink98" Type="http://schemas.openxmlformats.org/officeDocument/2006/relationships/hyperlink" Target="https://www.niic.nsc.ru/phocadownload/publications/2025/JCR_JournalImpactFactor_2026.pdf#page=11" TargetMode="External" /><ns0:Relationship Id="journalLink99" Type="http://schemas.openxmlformats.org/officeDocument/2006/relationships/hyperlink" Target="https://huaxue.hebtu.edu.cn/a/2025/09/23/A5A5BBD96F6B4410B87B6D4C43BDFD63.html" TargetMode="External" /><ns0:Relationship Id="journalLink100" Type="http://schemas.openxmlformats.org/officeDocument/2006/relationships/hyperlink" Target="https://www.nature.com/nplants/" TargetMode="External" /><ns0:Relationship Id="journalLink101" Type="http://schemas.openxmlformats.org/officeDocument/2006/relationships/hyperlink" Target="https://openalex.org/S2764671299" TargetMode="External" /><ns0:Relationship Id="journalLink102" Type="http://schemas.openxmlformats.org/officeDocument/2006/relationships/hyperlink" Target="https://www.niic.nsc.ru/phocadownload/publications/2025/JCR_JournalImpactFactor_2026.pdf#page=13" TargetMode="External" /><ns0:Relationship Id="journalLink103" Type="http://schemas.openxmlformats.org/officeDocument/2006/relationships/hyperlink" Target="https://huaxue.hebtu.edu.cn/a/2025/09/23/A5A5BBD96F6B4410B87B6D4C43BDFD63.html" TargetMode="External" /><ns0:Relationship Id="journalLink104" Type="http://schemas.openxmlformats.org/officeDocument/2006/relationships/hyperlink" Target="http://www.plantcell.org/" TargetMode="External" /><ns0:Relationship Id="journalLink105" Type="http://schemas.openxmlformats.org/officeDocument/2006/relationships/hyperlink" Target="https://openalex.org/S48849333" TargetMode="External" /><ns0:Relationship Id="journalLink106" Type="http://schemas.openxmlformats.org/officeDocument/2006/relationships/hyperlink" Target="https://www.niic.nsc.ru/phocadownload/publications/2025/JCR_JournalImpactFactor_2026.pdf#page=13" TargetMode="External" /><ns0:Relationship Id="journalLink107" Type="http://schemas.openxmlformats.org/officeDocument/2006/relationships/hyperlink" Target="https://huaxue.hebtu.edu.cn/a/2025/09/23/A5A5BBD96F6B4410B87B6D4C43BDFD63.html" TargetMode="External" /><ns0:Relationship Id="journalLink108" Type="http://schemas.openxmlformats.org/officeDocument/2006/relationships/hyperlink" Target="https://www.cell.com/plant-communications/home" TargetMode="External" /><ns0:Relationship Id="journalLink109" Type="http://schemas.openxmlformats.org/officeDocument/2006/relationships/hyperlink" Target="https://openalex.org/S4210223803" TargetMode="External" /><ns0:Relationship Id="journalLink110" Type="http://schemas.openxmlformats.org/officeDocument/2006/relationships/hyperlink" Target="https://www.niic.nsc.ru/phocadownload/publications/2025/JCR_JournalImpactFactor_2026.pdf#page=15" TargetMode="External" /><ns0:Relationship Id="journalLink111" Type="http://schemas.openxmlformats.org/officeDocument/2006/relationships/hyperlink" Target="https://huaxue.hebtu.edu.cn/a/2025/09/23/A5A5BBD96F6B4410B87B6D4C43BDFD63.html" TargetMode="External" /><ns0:Relationship Id="journalLink112" Type="http://schemas.openxmlformats.org/officeDocument/2006/relationships/hyperlink" Target="https://onlinelibrary.wiley.com/journal/14677652" TargetMode="External" /><ns0:Relationship Id="journalLink113" Type="http://schemas.openxmlformats.org/officeDocument/2006/relationships/hyperlink" Target="https://openalex.org/S36510773" TargetMode="External" /><ns0:Relationship Id="journalLink114" Type="http://schemas.openxmlformats.org/officeDocument/2006/relationships/hyperlink" Target="https://www.niic.nsc.ru/phocadownload/publications/2025/JCR_JournalImpactFactor_2026.pdf#page=16" TargetMode="External" /><ns0:Relationship Id="journalLink115" Type="http://schemas.openxmlformats.org/officeDocument/2006/relationships/hyperlink" Target="https://huaxue.hebtu.edu.cn/a/2025/09/23/A5A5BBD96F6B4410B87B6D4C43BDFD63.html" TargetMode="External" /><ns0:Relationship Id="journalLink116" Type="http://schemas.openxmlformats.org/officeDocument/2006/relationships/hyperlink" Target="https://onlinelibrary.wiley.com/journal/17447909" TargetMode="External" /><ns0:Relationship Id="journalLink117" Type="http://schemas.openxmlformats.org/officeDocument/2006/relationships/hyperlink" Target="https://openalex.org/S58990993" TargetMode="External" /><ns0:Relationship Id="journalLink118" Type="http://schemas.openxmlformats.org/officeDocument/2006/relationships/hyperlink" Target="https://www.niic.nsc.ru/phocadownload/publications/2025/JCR_JournalImpactFactor_2026.pdf#page=26" TargetMode="External" /><ns0:Relationship Id="journalLink119" Type="http://schemas.openxmlformats.org/officeDocument/2006/relationships/hyperlink" Target="https://huaxue.hebtu.edu.cn/a/2025/09/23/A5A5BBD96F6B4410B87B6D4C43BDFD63.html" TargetMode="External" /><ns0:Relationship Id="journalLink120" Type="http://schemas.openxmlformats.org/officeDocument/2006/relationships/hyperlink" Target="https://www.nature.com/hortres/" TargetMode="External" /><ns0:Relationship Id="journalLink121" Type="http://schemas.openxmlformats.org/officeDocument/2006/relationships/hyperlink" Target="https://openalex.org/S2764753230" TargetMode="External" /><ns0:Relationship Id="journalLink122" Type="http://schemas.openxmlformats.org/officeDocument/2006/relationships/hyperlink" Target="https://www.niic.nsc.ru/phocadownload/publications/2025/JCR_JournalImpactFactor_2026.pdf#page=30" TargetMode="External" /><ns0:Relationship Id="journalLink123" Type="http://schemas.openxmlformats.org/officeDocument/2006/relationships/hyperlink" Target="https://huaxue.hebtu.edu.cn/a/2025/09/23/A5A5BBD96F6B4410B87B6D4C43BDFD63.html" TargetMode="External" /><ns0:Relationship Id="journalLink124" Type="http://schemas.openxmlformats.org/officeDocument/2006/relationships/hyperlink" Target="https://nph.onlinelibrary.wiley.com/journal/14698137" TargetMode="External" /><ns0:Relationship Id="journalLink125" Type="http://schemas.openxmlformats.org/officeDocument/2006/relationships/hyperlink" Target="https://openalex.org/S58631098" TargetMode="External" /><ns0:Relationship Id="journalLink126" Type="http://schemas.openxmlformats.org/officeDocument/2006/relationships/hyperlink" Target="https://www.niic.nsc.ru/phocadownload/publications/2025/JCR_JournalImpactFactor_2026.pdf#page=34" TargetMode="External" /><ns0:Relationship Id="journalLink127" Type="http://schemas.openxmlformats.org/officeDocument/2006/relationships/hyperlink" Target="https://huaxue.hebtu.edu.cn/a/2025/09/23/A5A5BBD96F6B4410B87B6D4C43BDFD63.html" TargetMode="External" /><ns0:Relationship Id="journalLink128" Type="http://schemas.openxmlformats.org/officeDocument/2006/relationships/hyperlink" Target="http://www.plantphysiol.org/" TargetMode="External" /><ns0:Relationship Id="journalLink129" Type="http://schemas.openxmlformats.org/officeDocument/2006/relationships/hyperlink" Target="https://openalex.org/S42294715" TargetMode="External" /><ns0:Relationship Id="journalLink130" Type="http://schemas.openxmlformats.org/officeDocument/2006/relationships/hyperlink" Target="https://www.niic.nsc.ru/phocadownload/publications/2025/JCR_JournalImpactFactor_2026.pdf#page=34" TargetMode="External" /><ns0:Relationship Id="journalLink131" Type="http://schemas.openxmlformats.org/officeDocument/2006/relationships/hyperlink" Target="https://huaxue.hebtu.edu.cn/a/2025/09/23/A5A5BBD96F6B4410B87B6D4C43BDFD63.html" TargetMode="External" /><ns0:Relationship Id="journalLink132" Type="http://schemas.openxmlformats.org/officeDocument/2006/relationships/hyperlink" Target="https://spj.sciencemag.org/plantphenomics/" TargetMode="External" /><ns0:Relationship Id="journalLink133" Type="http://schemas.openxmlformats.org/officeDocument/2006/relationships/hyperlink" Target="https://openalex.org/S4210217755" TargetMode="External" /><ns0:Relationship Id="journalLink134" Type="http://schemas.openxmlformats.org/officeDocument/2006/relationships/hyperlink" Target="https://www.niic.nsc.ru/phocadownload/publications/2025/JCR_JournalImpactFactor_2026.pdf#page=48" TargetMode="External" /><ns0:Relationship Id="journalLink135" Type="http://schemas.openxmlformats.org/officeDocument/2006/relationships/hyperlink" Target="https://huaxue.hebtu.edu.cn/a/2025/09/23/A5A5BBD96F6B4410B87B6D4C43BDFD63.html" TargetMode="External" /><ns0:Relationship Id="journalLink136" Type="http://schemas.openxmlformats.org/officeDocument/2006/relationships/hyperlink" Target="https://onlinelibrary.wiley.com/journal/13653040" TargetMode="External" /><ns0:Relationship Id="journalLink137" Type="http://schemas.openxmlformats.org/officeDocument/2006/relationships/hyperlink" Target="https://openalex.org/S170036492" TargetMode="External" /><ns0:Relationship Id="journalLink138" Type="http://schemas.openxmlformats.org/officeDocument/2006/relationships/hyperlink" Target="https://www.niic.nsc.ru/phocadownload/publications/2025/JCR_JournalImpactFactor_2026.pdf#page=63" TargetMode="External" /><ns0:Relationship Id="journalLink139" Type="http://schemas.openxmlformats.org/officeDocument/2006/relationships/hyperlink" Target="https://huaxue.hebtu.edu.cn/a/2025/09/23/A5A5BBD96F6B4410B87B6D4C43BDFD63.html" TargetMode="External" /><ns0:Relationship Id="journalLink140" Type="http://schemas.openxmlformats.org/officeDocument/2006/relationships/hyperlink" Target="https://www.sciencedirect.com/journal/plant-diversity" TargetMode="External" /><ns0:Relationship Id="journalLink141" Type="http://schemas.openxmlformats.org/officeDocument/2006/relationships/hyperlink" Target="https://www.sciencedirect.com/journal/plant-diversity" TargetMode="External" /><ns0:Relationship Id="journalLink142" Type="http://schemas.openxmlformats.org/officeDocument/2006/relationships/hyperlink" Target="https://www.niic.nsc.ru/phocadownload/publications/2025/JCR_JournalImpactFactor_2026.pdf#page=45" TargetMode="External" /><ns0:Relationship Id="journalLink143" Type="http://schemas.openxmlformats.org/officeDocument/2006/relationships/hyperlink" Target="https://huaxue.hebtu.edu.cn/a/2025/09/23/A5A5BBD96F6B4410B87B6D4C43BDFD63.html" TargetMode="External" /><ns0:Relationship Id="journalLink144" Type="http://schemas.openxmlformats.org/officeDocument/2006/relationships/hyperlink" Target="https://www.journals.elsevier.com/horticultural-plant-journal" TargetMode="External" /><ns0:Relationship Id="journalLink145" Type="http://schemas.openxmlformats.org/officeDocument/2006/relationships/hyperlink" Target="https://openalex.org/S2898116287" TargetMode="External" /><ns0:Relationship Id="journalLink146" Type="http://schemas.openxmlformats.org/officeDocument/2006/relationships/hyperlink" Target="https://www.niic.nsc.ru/phocadownload/publications/2025/JCR_JournalImpactFactor_2026.pdf#page=58" TargetMode="External" /><ns0:Relationship Id="journalLink147" Type="http://schemas.openxmlformats.org/officeDocument/2006/relationships/hyperlink" Target="https://huaxue.hebtu.edu.cn/a/2025/09/23/A5A5BBD96F6B4410B87B6D4C43BDFD63.html" TargetMode="External" /><ns0:Relationship Id="journalLink148" Type="http://schemas.openxmlformats.org/officeDocument/2006/relationships/hyperlink" Target="https://onlinelibrary.wiley.com/journal/1365313X" TargetMode="External" /><ns0:Relationship Id="journalLink149" Type="http://schemas.openxmlformats.org/officeDocument/2006/relationships/hyperlink" Target="https://openalex.org/S67862205" TargetMode="External" /><ns0:Relationship Id="journalLink150" Type="http://schemas.openxmlformats.org/officeDocument/2006/relationships/hyperlink" Target="https://www.niic.nsc.ru/phocadownload/publications/2025/JCR_JournalImpactFactor_2026.pdf#page=54" TargetMode="External" /><ns0:Relationship Id="journalLink151" Type="http://schemas.openxmlformats.org/officeDocument/2006/relationships/hyperlink" Target="https://huaxue.hebtu.edu.cn/a/2025/09/23/A5A5BBD96F6B4410B87B6D4C43BDFD63.html" TargetMode="External" /><ns0:Relationship Id="journalLink152" Type="http://schemas.openxmlformats.org/officeDocument/2006/relationships/hyperlink" Target="http://jxb.oxfordjournals.org/" TargetMode="External" /><ns0:Relationship Id="journalLink153" Type="http://schemas.openxmlformats.org/officeDocument/2006/relationships/hyperlink" Target="https://openalex.org/S32610980" TargetMode="External" /><ns0:Relationship Id="journalLink154" Type="http://schemas.openxmlformats.org/officeDocument/2006/relationships/hyperlink" Target="https://www.niic.nsc.ru/phocadownload/publications/2025/JCR_JournalImpactFactor_2026.pdf#page=58" TargetMode="External" /><ns0:Relationship Id="journalLink155" Type="http://schemas.openxmlformats.org/officeDocument/2006/relationships/hyperlink" Target="https://huaxue.hebtu.edu.cn/a/2025/09/23/A5A5BBD96F6B4410B87B6D4C43BDFD63.html" TargetMode="External" /><ns0:Relationship Id="journalLink156" Type="http://schemas.openxmlformats.org/officeDocument/2006/relationships/hyperlink" Target="https://www.journals.elsevier.com/plant-physiology-and-biochemistry" TargetMode="External" /><ns0:Relationship Id="journalLink157" Type="http://schemas.openxmlformats.org/officeDocument/2006/relationships/hyperlink" Target="https://openalex.org/S115455909" TargetMode="External" /><ns0:Relationship Id="journalLink158" Type="http://schemas.openxmlformats.org/officeDocument/2006/relationships/hyperlink" Target="https://www.niic.nsc.ru/phocadownload/publications/2025/JCR_JournalImpactFactor_2026.pdf#page=32" TargetMode="External" /><ns0:Relationship Id="journalLink159" Type="http://schemas.openxmlformats.org/officeDocument/2006/relationships/hyperlink" Target="https://huaxue.hebtu.edu.cn/a/2025/09/23/A5A5BBD96F6B4410B87B6D4C43BDFD63.html" TargetMode="External" /><ns0:Relationship Id="journalLink160" Type="http://schemas.openxmlformats.org/officeDocument/2006/relationships/hyperlink" Target="https://www.springer.com/journal/42994" TargetMode="External" /><ns0:Relationship Id="journalLink161" Type="http://schemas.openxmlformats.org/officeDocument/2006/relationships/hyperlink" Target="https://openalex.org/S4210188184" TargetMode="External" /><ns0:Relationship Id="journalLink162" Type="http://schemas.openxmlformats.org/officeDocument/2006/relationships/hyperlink" Target="https://www.niic.nsc.ru/phocadownload/publications/2025/JCR_JournalImpactFactor_2026.pdf#page=70" TargetMode="External" /><ns0:Relationship Id="journalLink163" Type="http://schemas.openxmlformats.org/officeDocument/2006/relationships/hyperlink" Target="https://huaxue.hebtu.edu.cn/a/2025/09/23/A5A5BBD96F6B4410B87B6D4C43BDFD63.html" TargetMode="External" /><ns0:Relationship Id="journalLink164" Type="http://schemas.openxmlformats.org/officeDocument/2006/relationships/hyperlink" Target="https://link.springer.com/journal/12870" TargetMode="External" /><ns0:Relationship Id="journalLink165" Type="http://schemas.openxmlformats.org/officeDocument/2006/relationships/hyperlink" Target="https://openalex.org/S6444338" TargetMode="External" /><ns0:Relationship Id="journalLink166" Type="http://schemas.openxmlformats.org/officeDocument/2006/relationships/hyperlink" Target="https://www.niic.nsc.ru/phocadownload/publications/2025/JCR_JournalImpactFactor_2026.pdf#page=64" TargetMode="External" /><ns0:Relationship Id="journalLink167" Type="http://schemas.openxmlformats.org/officeDocument/2006/relationships/hyperlink" Target="https://huaxue.hebtu.edu.cn/a/2025/09/23/A5A5BBD96F6B4410B87B6D4C43BDFD63.html" TargetMode="External" /><ns0:Relationship Id="journalLink168" Type="http://schemas.openxmlformats.org/officeDocument/2006/relationships/hyperlink" Target="http://journal.frontiersin.org/journal/plant-science" TargetMode="External" /><ns0:Relationship Id="journalLink169" Type="http://schemas.openxmlformats.org/officeDocument/2006/relationships/hyperlink" Target="https://openalex.org/S2493613807" TargetMode="External" /><ns0:Relationship Id="journalLink170" Type="http://schemas.openxmlformats.org/officeDocument/2006/relationships/hyperlink" Target="https://www.niic.nsc.ru/phocadownload/publications/2025/JCR_JournalImpactFactor_2026.pdf#page=83" TargetMode="External" /><ns0:Relationship Id="journalLink171" Type="http://schemas.openxmlformats.org/officeDocument/2006/relationships/hyperlink" Target="https://huaxue.hebtu.edu.cn/a/2025/09/23/A5A5BBD96F6B4410B87B6D4C43BDFD63.html" TargetMode="External" /><ns0:Relationship Id="journalLink172" Type="http://schemas.openxmlformats.org/officeDocument/2006/relationships/hyperlink" Target="https://www.journals.elsevier.com/environmental-and-experimental-botany" TargetMode="External" /><ns0:Relationship Id="journalLink173" Type="http://schemas.openxmlformats.org/officeDocument/2006/relationships/hyperlink" Target="https://openalex.org/S202986090" TargetMode="External" /><ns0:Relationship Id="journalLink174" Type="http://schemas.openxmlformats.org/officeDocument/2006/relationships/hyperlink" Target="https://www.niic.nsc.ru/phocadownload/publications/2025/JCR_JournalImpactFactor_2026.pdf#page=77" TargetMode="External" /><ns0:Relationship Id="journalLink175" Type="http://schemas.openxmlformats.org/officeDocument/2006/relationships/hyperlink" Target="https://huaxue.hebtu.edu.cn/a/2025/09/23/A5A5BBD96F6B4410B87B6D4C43BDFD63.html" TargetMode="External" /><ns0:Relationship Id="journalLink176" Type="http://schemas.openxmlformats.org/officeDocument/2006/relationships/hyperlink" Target="http://www.springer.com/life+sciences/cell+biology/journal/299" TargetMode="External" /><ns0:Relationship Id="journalLink177" Type="http://schemas.openxmlformats.org/officeDocument/2006/relationships/hyperlink" Target="https://openalex.org/S196783408" TargetMode="External" /><ns0:Relationship Id="journalLink178" Type="http://schemas.openxmlformats.org/officeDocument/2006/relationships/hyperlink" Target="https://www.niic.nsc.ru/phocadownload/publications/2025/JCR_JournalImpactFactor_2026.pdf#page=79" TargetMode="External" /><ns0:Relationship Id="journalLink179" Type="http://schemas.openxmlformats.org/officeDocument/2006/relationships/hyperlink" Target="https://huaxue.hebtu.edu.cn/a/2025/09/23/A5A5BBD96F6B4410B87B6D4C43BDFD63.html" TargetMode="External" /><ns0:Relationship Id="journalLink180" Type="http://schemas.openxmlformats.org/officeDocument/2006/relationships/hyperlink" Target="https://plantmethods.biomedcentral.com/" TargetMode="External" /><ns0:Relationship Id="journalLink181" Type="http://schemas.openxmlformats.org/officeDocument/2006/relationships/hyperlink" Target="https://openalex.org/S184470774" TargetMode="External" /><ns0:Relationship Id="journalLink182" Type="http://schemas.openxmlformats.org/officeDocument/2006/relationships/hyperlink" Target="https://www.niic.nsc.ru/phocadownload/publications/2025/JCR_JournalImpactFactor_2026.pdf#page=91" TargetMode="External" /><ns0:Relationship Id="journalLink183" Type="http://schemas.openxmlformats.org/officeDocument/2006/relationships/hyperlink" Target="https://huaxue.hebtu.edu.cn/a/2025/09/23/A5A5BBD96F6B4410B87B6D4C43BDFD63.html" TargetMode="External" /><ns0:Relationship Id="journalLink184" Type="http://schemas.openxmlformats.org/officeDocument/2006/relationships/hyperlink" Target="https://www.journals.elsevier.com/journal-of-plant-physiology" TargetMode="External" /><ns0:Relationship Id="journalLink185" Type="http://schemas.openxmlformats.org/officeDocument/2006/relationships/hyperlink" Target="https://openalex.org/S148694123" TargetMode="External" /><ns0:Relationship Id="journalLink186" Type="http://schemas.openxmlformats.org/officeDocument/2006/relationships/hyperlink" Target="https://www.niic.nsc.ru/phocadownload/publications/2025/JCR_JournalImpactFactor_2026.pdf#page=99" TargetMode="External" /><ns0:Relationship Id="journalLink187" Type="http://schemas.openxmlformats.org/officeDocument/2006/relationships/hyperlink" Target="https://huaxue.hebtu.edu.cn/a/2025/09/23/A5A5BBD96F6B4410B87B6D4C43BDFD63.html" TargetMode="External" /><ns0:Relationship Id="journalLink188" Type="http://schemas.openxmlformats.org/officeDocument/2006/relationships/hyperlink" Target="https://www.journals.elsevier.com/plant-science" TargetMode="External" /><ns0:Relationship Id="journalLink189" Type="http://schemas.openxmlformats.org/officeDocument/2006/relationships/hyperlink" Target="https://openalex.org/S167743172" TargetMode="External" /><ns0:Relationship Id="journalLink190" Type="http://schemas.openxmlformats.org/officeDocument/2006/relationships/hyperlink" Target="https://www.niic.nsc.ru/phocadownload/publications/2025/JCR_JournalImpactFactor_2026.pdf#page=95" TargetMode="External" /><ns0:Relationship Id="journalLink191" Type="http://schemas.openxmlformats.org/officeDocument/2006/relationships/hyperlink" Target="https://huaxue.hebtu.edu.cn/a/2025/09/23/A5A5BBD96F6B4410B87B6D4C43BDFD63.html" TargetMode="External" /><ns0:Relationship Id="journalLink192" Type="http://schemas.openxmlformats.org/officeDocument/2006/relationships/hyperlink" Target="http://www.mdpi.com/journal/plants" TargetMode="External" /><ns0:Relationship Id="journalLink193" Type="http://schemas.openxmlformats.org/officeDocument/2006/relationships/hyperlink" Target="https://openalex.org/S4210230202" TargetMode="External" /><ns0:Relationship Id="journalLink194" Type="http://schemas.openxmlformats.org/officeDocument/2006/relationships/hyperlink" Target="https://www.niic.nsc.ru/phocadownload/publications/2025/JCR_JournalImpactFactor_2026.pdf#page=96" TargetMode="External" /><ns0:Relationship Id="journalLink195" Type="http://schemas.openxmlformats.org/officeDocument/2006/relationships/hyperlink" Target="https://huaxue.hebtu.edu.cn/a/2025/09/23/A5A5BBD96F6B4410B87B6D4C43BDFD63.html" TargetMode="External" /><ns0:Relationship Id="journalLink196" Type="http://schemas.openxmlformats.org/officeDocument/2006/relationships/hyperlink" Target="http://pcp.oxfordjournals.org" TargetMode="External" /><ns0:Relationship Id="journalLink197" Type="http://schemas.openxmlformats.org/officeDocument/2006/relationships/hyperlink" Target="https://openalex.org/S110997964" TargetMode="External" /><ns0:Relationship Id="journalLink198" Type="http://schemas.openxmlformats.org/officeDocument/2006/relationships/hyperlink" Target="https://www.niic.nsc.ru/phocadownload/publications/2025/JCR_JournalImpactFactor_2026.pdf#page=120" TargetMode="External" /><ns0:Relationship Id="journalLink199" Type="http://schemas.openxmlformats.org/officeDocument/2006/relationships/hyperlink" Target="https://huaxue.hebtu.edu.cn/a/2025/09/23/A5A5BBD96F6B4410B87B6D4C43BDFD63.html" TargetMode="External" /><ns0:Relationship Id="journalLink200" Type="http://schemas.openxmlformats.org/officeDocument/2006/relationships/hyperlink" Target="http://aob.oxfordjournals.org/" TargetMode="External" /><ns0:Relationship Id="journalLink201" Type="http://schemas.openxmlformats.org/officeDocument/2006/relationships/hyperlink" Target="https://openalex.org/S2254258" TargetMode="External" /><ns0:Relationship Id="journalLink202" Type="http://schemas.openxmlformats.org/officeDocument/2006/relationships/hyperlink" Target="https://www.niic.nsc.ru/phocadownload/publications/2025/JCR_JournalImpactFactor_2026.pdf#page=125" TargetMode="External" /><ns0:Relationship Id="journalLink203" Type="http://schemas.openxmlformats.org/officeDocument/2006/relationships/hyperlink" Target="https://huaxue.hebtu.edu.cn/a/2025/09/23/A5A5BBD96F6B4410B87B6D4C43BDFD63.html" TargetMode="External" /><ns0:Relationship Id="journalLink204" Type="http://schemas.openxmlformats.org/officeDocument/2006/relationships/hyperlink" Target="http://onlinelibrary.wiley.com/journal/10.1111/(ISSN)1399-3054" TargetMode="External" /><ns0:Relationship Id="journalLink205" Type="http://schemas.openxmlformats.org/officeDocument/2006/relationships/hyperlink" Target="https://openalex.org/S185046733" TargetMode="External" /><ns0:Relationship Id="journalLink206" Type="http://schemas.openxmlformats.org/officeDocument/2006/relationships/hyperlink" Target="https://www.niic.nsc.ru/phocadownload/publications/2025/JCR_JournalImpactFactor_2026.pdf#page=163" TargetMode="External" /><ns0:Relationship Id="journalLink207" Type="http://schemas.openxmlformats.org/officeDocument/2006/relationships/hyperlink" Target="https://huaxue.hebtu.edu.cn/a/2025/09/23/A5A5BBD96F6B4410B87B6D4C43BDFD63.html" TargetMode="External" /><ns0:Relationship Id="journalLink208" Type="http://schemas.openxmlformats.org/officeDocument/2006/relationships/hyperlink" Target="https://onlinelibrary.wiley.com/journal/14388677" TargetMode="External" /><ns0:Relationship Id="journalLink209" Type="http://schemas.openxmlformats.org/officeDocument/2006/relationships/hyperlink" Target="https://openalex.org/S104414929" TargetMode="External" /><ns0:Relationship Id="journalLink210" Type="http://schemas.openxmlformats.org/officeDocument/2006/relationships/hyperlink" Target="https://www.niic.nsc.ru/phocadownload/publications/2025/JCR_JournalImpactFactor_2026.pdf#page=170" TargetMode="External" /><ns0:Relationship Id="journalLink211" Type="http://schemas.openxmlformats.org/officeDocument/2006/relationships/hyperlink" Target="https://huaxue.hebtu.edu.cn/a/2025/09/23/A5A5BBD96F6B4410B87B6D4C43BDFD63.html" TargetMode="External" /><ns0:Relationship Id="journalLink212" Type="http://schemas.openxmlformats.org/officeDocument/2006/relationships/hyperlink" Target="https://as-botanicalstudies.springeropen.com/" TargetMode="External" /><ns0:Relationship Id="journalLink213" Type="http://schemas.openxmlformats.org/officeDocument/2006/relationships/hyperlink" Target="https://openalex.org/S94373075" TargetMode="External" /><ns0:Relationship Id="journalLink214" Type="http://schemas.openxmlformats.org/officeDocument/2006/relationships/hyperlink" Target="https://www.niic.nsc.ru/phocadownload/publications/2025/JCR_JournalImpactFactor_2026.pdf#page=76" TargetMode="External" /><ns0:Relationship Id="journalLink215" Type="http://schemas.openxmlformats.org/officeDocument/2006/relationships/hyperlink" Target="https://huaxue.hebtu.edu.cn/a/2025/09/23/A5A5BBD96F6B4410B87B6D4C43BDFD63.html" TargetMode="External" /><ns0:Relationship Id="journalLink216" Type="http://schemas.openxmlformats.org/officeDocument/2006/relationships/hyperlink" Target="https://www.springer.com/journal/12229" TargetMode="External" /><ns0:Relationship Id="journalLink217" Type="http://schemas.openxmlformats.org/officeDocument/2006/relationships/hyperlink" Target="https://openalex.org/S285199" TargetMode="External" /><ns0:Relationship Id="journalLink218" Type="http://schemas.openxmlformats.org/officeDocument/2006/relationships/hyperlink" Target="https://www.niic.nsc.ru/phocadownload/publications/2025/JCR_JournalImpactFactor_2026.pdf#page=177" TargetMode="External" /><ns0:Relationship Id="journalLink219" Type="http://schemas.openxmlformats.org/officeDocument/2006/relationships/hyperlink" Target="https://huaxue.hebtu.edu.cn/a/2025/09/23/A5A5BBD96F6B4410B87B6D4C43BDFD63.html" TargetMode="External" /><ns0:Relationship Id="journalLink220" Type="http://schemas.openxmlformats.org/officeDocument/2006/relationships/hyperlink" Target="https://onlinelibrary.wiley.com/journal/17596831" TargetMode="External" /><ns0:Relationship Id="journalLink221" Type="http://schemas.openxmlformats.org/officeDocument/2006/relationships/hyperlink" Target="https://openalex.org/S56397279" TargetMode="External" /><ns0:Relationship Id="journalLink222" Type="http://schemas.openxmlformats.org/officeDocument/2006/relationships/hyperlink" Target="https://www.niic.nsc.ru/phocadownload/publications/2025/JCR_JournalImpactFactor_2026.pdf#page=214" TargetMode="External" /><ns0:Relationship Id="journalLink223" Type="http://schemas.openxmlformats.org/officeDocument/2006/relationships/hyperlink" Target="https://huaxue.hebtu.edu.cn/a/2025/09/23/A5A5BBD96F6B4410B87B6D4C43BDFD63.html" TargetMode="External" /><ns0:Relationship Id="journalLink224" Type="http://schemas.openxmlformats.org/officeDocument/2006/relationships/hyperlink" Target="https://bsapubs.onlinelibrary.wiley.com/journal/15372197" TargetMode="External" /><ns0:Relationship Id="journalLink225" Type="http://schemas.openxmlformats.org/officeDocument/2006/relationships/hyperlink" Target="https://openalex.org/S205086949" TargetMode="External" /><ns0:Relationship Id="journalLink226" Type="http://schemas.openxmlformats.org/officeDocument/2006/relationships/hyperlink" Target="https://www.niic.nsc.ru/phocadownload/publications/2025/JCR_JournalImpactFactor_2026.pdf#page=298" TargetMode="External" /><ns0:Relationship Id="journalLink227" Type="http://schemas.openxmlformats.org/officeDocument/2006/relationships/hyperlink" Target="https://huaxue.hebtu.edu.cn/a/2025/09/23/A5A5BBD96F6B4410B87B6D4C43BDFD63.html" TargetMode="External" /><ns0:Relationship Id="journalLink228" Type="http://schemas.openxmlformats.org/officeDocument/2006/relationships/hyperlink" Target="https://academic.oup.com/botlinnean" TargetMode="External" /><ns0:Relationship Id="journalLink229" Type="http://schemas.openxmlformats.org/officeDocument/2006/relationships/hyperlink" Target="https://openalex.org/S159699259" TargetMode="External" /><ns0:Relationship Id="journalLink230" Type="http://schemas.openxmlformats.org/officeDocument/2006/relationships/hyperlink" Target="https://www.niic.nsc.ru/phocadownload/publications/2025/JCR_JournalImpactFactor_2026.pdf#page=328" TargetMode="External" /><ns0:Relationship Id="journalLink231" Type="http://schemas.openxmlformats.org/officeDocument/2006/relationships/hyperlink" Target="https://huaxue.hebtu.edu.cn/a/2025/09/23/A5A5BBD96F6B4410B87B6D4C43BDFD63.html" TargetMode="External" /><ns0:Relationship Id="journalLink232" Type="http://schemas.openxmlformats.org/officeDocument/2006/relationships/hyperlink" Target="https://onlinelibrary.wiley.com/journal/19968175" TargetMode="External" /><ns0:Relationship Id="journalLink233" Type="http://schemas.openxmlformats.org/officeDocument/2006/relationships/hyperlink" Target="https://openalex.org/S163860444" TargetMode="External" /><ns0:Relationship Id="journalLink234" Type="http://schemas.openxmlformats.org/officeDocument/2006/relationships/hyperlink" Target="https://www.niic.nsc.ru/phocadownload/publications/2025/JCR_JournalImpactFactor_2026.pdf#page=82" TargetMode="External" /><ns0:Relationship Id="journalLink235" Type="http://schemas.openxmlformats.org/officeDocument/2006/relationships/hyperlink" Target="https://huaxue.hebtu.edu.cn/a/2025/09/23/A5A5BBD96F6B4410B87B6D4C43BDFD63.html" TargetMode="External" /><ns0:Relationship Id="journalLink236" Type="http://schemas.openxmlformats.org/officeDocument/2006/relationships/hyperlink" Target="https://www.journals.elsevier.com/current-plant-biology" TargetMode="External" /><ns0:Relationship Id="journalLink237" Type="http://schemas.openxmlformats.org/officeDocument/2006/relationships/hyperlink" Target="https://openalex.org/S2898426492" TargetMode="External" /><ns0:Relationship Id="journalLink238" Type="http://schemas.openxmlformats.org/officeDocument/2006/relationships/hyperlink" Target="https://www.niic.nsc.ru/phocadownload/publications/2025/JCR_JournalImpactFactor_2026.pdf#page=126" TargetMode="External" /><ns0:Relationship Id="journalLink239" Type="http://schemas.openxmlformats.org/officeDocument/2006/relationships/hyperlink" Target="https://huaxue.hebtu.edu.cn/a/2025/09/23/A5A5BBD96F6B4410B87B6D4C43BDFD63.html" TargetMode="External" /><ns0:Relationship Id="journalLink240" Type="http://schemas.openxmlformats.org/officeDocument/2006/relationships/hyperlink" Target="https://link.springer.com/journal/10725" TargetMode="External" /><ns0:Relationship Id="journalLink241" Type="http://schemas.openxmlformats.org/officeDocument/2006/relationships/hyperlink" Target="https://openalex.org/S3204633" TargetMode="External" /><ns0:Relationship Id="journalLink242" Type="http://schemas.openxmlformats.org/officeDocument/2006/relationships/hyperlink" Target="https://www.niic.nsc.ru/phocadownload/publications/2025/JCR_JournalImpactFactor_2026.pdf#page=142" TargetMode="External" /><ns0:Relationship Id="journalLink243" Type="http://schemas.openxmlformats.org/officeDocument/2006/relationships/hyperlink" Target="https://huaxue.hebtu.edu.cn/a/2025/09/23/A5A5BBD96F6B4410B87B6D4C43BDFD63.html" TargetMode="External" /><ns0:Relationship Id="journalLink244" Type="http://schemas.openxmlformats.org/officeDocument/2006/relationships/hyperlink" Target="https://www.springer.com/journal/11103" TargetMode="External" /><ns0:Relationship Id="journalLink245" Type="http://schemas.openxmlformats.org/officeDocument/2006/relationships/hyperlink" Target="https://openalex.org/S189846775" TargetMode="External" /><ns0:Relationship Id="journalLink246" Type="http://schemas.openxmlformats.org/officeDocument/2006/relationships/hyperlink" Target="https://www.niic.nsc.ru/phocadownload/publications/2025/JCR_JournalImpactFactor_2026.pdf#page=108" TargetMode="External" /><ns0:Relationship Id="journalLink247" Type="http://schemas.openxmlformats.org/officeDocument/2006/relationships/hyperlink" Target="https://huaxue.hebtu.edu.cn/a/2025/09/23/A5A5BBD96F6B4410B87B6D4C43BDFD63.html" TargetMode="External" /><ns0:Relationship Id="journalLink248" Type="http://schemas.openxmlformats.org/officeDocument/2006/relationships/hyperlink" Target="http://www.springer.com/life+sciences/plant+sciences/journal/425" TargetMode="External" /><ns0:Relationship Id="journalLink249" Type="http://schemas.openxmlformats.org/officeDocument/2006/relationships/hyperlink" Target="https://openalex.org/S193523036" TargetMode="External" /><ns0:Relationship Id="journalLink250" Type="http://schemas.openxmlformats.org/officeDocument/2006/relationships/hyperlink" Target="https://www.niic.nsc.ru/phocadownload/publications/2025/JCR_JournalImpactFactor_2026.pdf#page=138" TargetMode="External" /><ns0:Relationship Id="journalLink251" Type="http://schemas.openxmlformats.org/officeDocument/2006/relationships/hyperlink" Target="https://huaxue.hebtu.edu.cn/a/2025/09/23/A5A5BBD96F6B4410B87B6D4C43BDFD63.html" TargetMode="External" /><ns0:Relationship Id="journalLink252" Type="http://schemas.openxmlformats.org/officeDocument/2006/relationships/hyperlink" Target="https://www.springer.com/journal/11120" TargetMode="External" /><ns0:Relationship Id="journalLink253" Type="http://schemas.openxmlformats.org/officeDocument/2006/relationships/hyperlink" Target="https://openalex.org/S88471346" TargetMode="External" /><ns0:Relationship Id="journalLink254" Type="http://schemas.openxmlformats.org/officeDocument/2006/relationships/hyperlink" Target="https://www.niic.nsc.ru/phocadownload/publications/2025/JCR_JournalImpactFactor_2026.pdf#page=186" TargetMode="External" /><ns0:Relationship Id="journalLink255" Type="http://schemas.openxmlformats.org/officeDocument/2006/relationships/hyperlink" Target="https://huaxue.hebtu.edu.cn/a/2025/09/23/A5A5BBD96F6B4410B87B6D4C43BDFD63.html" TargetMode="External" /><ns0:Relationship Id="journalLink256" Type="http://schemas.openxmlformats.org/officeDocument/2006/relationships/hyperlink" Target="https://www.journals.elsevier.com/south-african-journal-of-botany" TargetMode="External" /><ns0:Relationship Id="journalLink257" Type="http://schemas.openxmlformats.org/officeDocument/2006/relationships/hyperlink" Target="https://openalex.org/S31493525" TargetMode="External" /><ns0:Relationship Id="journalLink258" Type="http://schemas.openxmlformats.org/officeDocument/2006/relationships/hyperlink" Target="https://www.niic.nsc.ru/phocadownload/publications/2025/JCR_JournalImpactFactor_2026.pdf#page=226" TargetMode="External" /><ns0:Relationship Id="journalLink259" Type="http://schemas.openxmlformats.org/officeDocument/2006/relationships/hyperlink" Target="https://huaxue.hebtu.edu.cn/a/2025/09/23/A5A5BBD96F6B4410B87B6D4C43BDFD63.html" TargetMode="External" /><ns0:Relationship Id="journalLink260" Type="http://schemas.openxmlformats.org/officeDocument/2006/relationships/hyperlink" Target="https://link.springer.com/journal/709" TargetMode="External" /><ns0:Relationship Id="journalLink261" Type="http://schemas.openxmlformats.org/officeDocument/2006/relationships/hyperlink" Target="https://openalex.org/S201230245" TargetMode="External" /><ns0:Relationship Id="journalLink262" Type="http://schemas.openxmlformats.org/officeDocument/2006/relationships/hyperlink" Target="https://www.niic.nsc.ru/phocadownload/publications/2025/JCR_JournalImpactFactor_2026.pdf#page=187" TargetMode="External" /><ns0:Relationship Id="journalLink263" Type="http://schemas.openxmlformats.org/officeDocument/2006/relationships/hyperlink" Target="https://huaxue.hebtu.edu.cn/a/2025/09/23/A5A5BBD96F6B4410B87B6D4C43BDFD63.html" TargetMode="External" /><ns0:Relationship Id="journalLink264" Type="http://schemas.openxmlformats.org/officeDocument/2006/relationships/hyperlink" Target="https://academic.oup.com/aobpla" TargetMode="External" /><ns0:Relationship Id="journalLink265" Type="http://schemas.openxmlformats.org/officeDocument/2006/relationships/hyperlink" Target="https://openalex.org/S77453907" TargetMode="External" /><ns0:Relationship Id="journalLink266" Type="http://schemas.openxmlformats.org/officeDocument/2006/relationships/hyperlink" Target="https://www.niic.nsc.ru/phocadownload/publications/2025/JCR_JournalImpactFactor_2026.pdf#page=284" TargetMode="External" /><ns0:Relationship Id="journalLink267" Type="http://schemas.openxmlformats.org/officeDocument/2006/relationships/hyperlink" Target="https://huaxue.hebtu.edu.cn/a/2025/09/23/A5A5BBD96F6B4410B87B6D4C43BDFD63.html" TargetMode="External" /><ns0:Relationship Id="journalLink268" Type="http://schemas.openxmlformats.org/officeDocument/2006/relationships/hyperlink" Target="https://link.springer.com/journal/10265" TargetMode="External" /><ns0:Relationship Id="journalLink269" Type="http://schemas.openxmlformats.org/officeDocument/2006/relationships/hyperlink" Target="https://openalex.org/S6139184" TargetMode="External" /><ns0:Relationship Id="journalLink270" Type="http://schemas.openxmlformats.org/officeDocument/2006/relationships/hyperlink" Target="https://www.niic.nsc.ru/phocadownload/publications/2025/JCR_JournalImpactFactor_2026.pdf#page=214" TargetMode="External" /><ns0:Relationship Id="journalLink271" Type="http://schemas.openxmlformats.org/officeDocument/2006/relationships/hyperlink" Target="https://huaxue.hebtu.edu.cn/a/2025/09/23/A5A5BBD96F6B4410B87B6D4C43BDFD63.html" TargetMode="External" /><ns0:Relationship Id="journalLink272" Type="http://schemas.openxmlformats.org/officeDocument/2006/relationships/hyperlink" Target="https://onlinelibrary.wiley.com/journal/24754455" TargetMode="External" /><ns0:Relationship Id="journalLink273" Type="http://schemas.openxmlformats.org/officeDocument/2006/relationships/hyperlink" Target="https://openalex.org/S4210227165" TargetMode="External" /><ns0:Relationship Id="journalLink274" Type="http://schemas.openxmlformats.org/officeDocument/2006/relationships/hyperlink" Target="https://www.niic.nsc.ru/phocadownload/publications/2025/JCR_JournalImpactFactor_2026.pdf#page=270" TargetMode="External" /><ns0:Relationship Id="journalLink275" Type="http://schemas.openxmlformats.org/officeDocument/2006/relationships/hyperlink" Target="https://huaxue.hebtu.edu.cn/a/2025/09/23/A5A5BBD96F6B4410B87B6D4C43BDFD63.html" TargetMode="External" /><ns0:Relationship Id="journalLink276" Type="http://schemas.openxmlformats.org/officeDocument/2006/relationships/hyperlink" Target="https://www.springer.com/journal/468" TargetMode="External" /><ns0:Relationship Id="journalLink277" Type="http://schemas.openxmlformats.org/officeDocument/2006/relationships/hyperlink" Target="https://openalex.org/S110876149" TargetMode="External" /><ns0:Relationship Id="journalLink278" Type="http://schemas.openxmlformats.org/officeDocument/2006/relationships/hyperlink" Target="https://www.niic.nsc.ru/phocadownload/publications/2025/JCR_JournalImpactFactor_2026.pdf#page=287" TargetMode="External" /><ns0:Relationship Id="journalLink279" Type="http://schemas.openxmlformats.org/officeDocument/2006/relationships/hyperlink" Target="https://huaxue.hebtu.edu.cn/a/2025/09/23/A5A5BBD96F6B4410B87B6D4C43BDFD63.html" TargetMode="External" /><ns0:Relationship Id="journalLink280" Type="http://schemas.openxmlformats.org/officeDocument/2006/relationships/hyperlink" Target="http://www.springer.com/journal/11627/" TargetMode="External" /><ns0:Relationship Id="journalLink281" Type="http://schemas.openxmlformats.org/officeDocument/2006/relationships/hyperlink" Target="https://openalex.org/S200668369" TargetMode="External" /><ns0:Relationship Id="journalLink282" Type="http://schemas.openxmlformats.org/officeDocument/2006/relationships/hyperlink" Target="https://www.niic.nsc.ru/phocadownload/publications/2025/JCR_JournalImpactFactor_2026.pdf#page=360" TargetMode="External" /><ns0:Relationship Id="journalLink283" Type="http://schemas.openxmlformats.org/officeDocument/2006/relationships/hyperlink" Target="https://huaxue.hebtu.edu.cn/a/2025/09/23/A5A5BBD96F6B4410B87B6D4C43BDFD63.html" TargetMode="External" /><ns0:Relationship Id="journalLink284" Type="http://schemas.openxmlformats.org/officeDocument/2006/relationships/hyperlink" Target="https://link.springer.com/journal/606" TargetMode="External" /><ns0:Relationship Id="journalLink285" Type="http://schemas.openxmlformats.org/officeDocument/2006/relationships/hyperlink" Target="https://openalex.org/S50870786" TargetMode="External" /><ns0:Relationship Id="journalLink286" Type="http://schemas.openxmlformats.org/officeDocument/2006/relationships/hyperlink" Target="https://www.niic.nsc.ru/phocadownload/publications/2025/JCR_JournalImpactFactor_2026.pdf#page=121" TargetMode="External" /><ns0:Relationship Id="journalLink287" Type="http://schemas.openxmlformats.org/officeDocument/2006/relationships/hyperlink" Target="https://huaxue.hebtu.edu.cn/a/2025/09/23/A5A5BBD96F6B4410B87B6D4C43BDFD63.html" TargetMode="External" /><ns0:Relationship Id="journalLink288" Type="http://schemas.openxmlformats.org/officeDocument/2006/relationships/hyperlink" Target="https://www.tandfonline.com/journals/kpsb20" TargetMode="External" /><ns0:Relationship Id="journalLink289" Type="http://schemas.openxmlformats.org/officeDocument/2006/relationships/hyperlink" Target="https://www.tandfonline.com/journals/kpsb20" TargetMode="External" /><ns0:Relationship Id="journalLink290" Type="http://schemas.openxmlformats.org/officeDocument/2006/relationships/hyperlink" Target="https://www.niic.nsc.ru/phocadownload/publications/2025/JCR_JournalImpactFactor_2026.pdf#page=203" TargetMode="External" /><ns0:Relationship Id="journalLink291" Type="http://schemas.openxmlformats.org/officeDocument/2006/relationships/hyperlink" Target="https://huaxue.hebtu.edu.cn/a/2025/09/23/A5A5BBD96F6B4410B87B6D4C43BDFD63.html" TargetMode="External" /><ns0:Relationship Id="journalLink292" Type="http://schemas.openxmlformats.org/officeDocument/2006/relationships/hyperlink" Target="http://www.publish.csiro.au/fp" TargetMode="External" /><ns0:Relationship Id="journalLink293" Type="http://schemas.openxmlformats.org/officeDocument/2006/relationships/hyperlink" Target="https://openalex.org/S660994" TargetMode="External" /><ns0:Relationship Id="journalLink294" Type="http://schemas.openxmlformats.org/officeDocument/2006/relationships/hyperlink" Target="https://www.niic.nsc.ru/phocadownload/publications/2025/JCR_JournalImpactFactor_2026.pdf#page=272" TargetMode="External" /><ns0:Relationship Id="journalLink295" Type="http://schemas.openxmlformats.org/officeDocument/2006/relationships/hyperlink" Target="https://huaxue.hebtu.edu.cn/a/2025/09/23/A5A5BBD96F6B4410B87B6D4C43BDFD63.html" TargetMode="External" /><ns0:Relationship Id="journalLink296" Type="http://schemas.openxmlformats.org/officeDocument/2006/relationships/hyperlink" Target="https://www.springer.com/journal/11738" TargetMode="External" /><ns0:Relationship Id="journalLink297" Type="http://schemas.openxmlformats.org/officeDocument/2006/relationships/hyperlink" Target="https://openalex.org/S194146006" TargetMode="External" /><ns0:Relationship Id="journalLink298" Type="http://schemas.openxmlformats.org/officeDocument/2006/relationships/hyperlink" Target="https://www.niic.nsc.ru/phocadownload/publications/2025/JCR_JournalImpactFactor_2026.pdf#page=314" TargetMode="External" /><ns0:Relationship Id="journalLink299" Type="http://schemas.openxmlformats.org/officeDocument/2006/relationships/hyperlink" Target="https://huaxue.hebtu.edu.cn/a/2025/09/23/A5A5BBD96F6B4410B87B6D4C43BDFD63.html" TargetMode="External" /><ns0:Relationship Id="journalLink300" Type="http://schemas.openxmlformats.org/officeDocument/2006/relationships/hyperlink" Target="https://ps.ueb.cas.cz/" TargetMode="External" /><ns0:Relationship Id="journalLink301" Type="http://schemas.openxmlformats.org/officeDocument/2006/relationships/hyperlink" Target="https://openalex.org/S201514771" TargetMode="External" /><ns0:Relationship Id="journalLink302" Type="http://schemas.openxmlformats.org/officeDocument/2006/relationships/hyperlink" Target="https://www.niic.nsc.ru/phocadownload/publications/2025/JCR_JournalImpactFactor_2026.pdf#page=347" TargetMode="External" /><ns0:Relationship Id="journalLink303" Type="http://schemas.openxmlformats.org/officeDocument/2006/relationships/hyperlink" Target="https://huaxue.hebtu.edu.cn/a/2025/09/23/A5A5BBD96F6B4410B87B6D4C43BDFD63.html" TargetMode="External" /><ns0:Relationship Id="journalLink304" Type="http://schemas.openxmlformats.org/officeDocument/2006/relationships/hyperlink" Target="https://www.springer.com/journal/11816" TargetMode="External" /><ns0:Relationship Id="journalLink305" Type="http://schemas.openxmlformats.org/officeDocument/2006/relationships/hyperlink" Target="https://openalex.org/S44784542" TargetMode="External" /><ns0:Relationship Id="journalLink306" Type="http://schemas.openxmlformats.org/officeDocument/2006/relationships/hyperlink" Target="https://www.niic.nsc.ru/phocadownload/publications/2025/JCR_JournalImpactFactor_2026.pdf#page=460" TargetMode="External" /><ns0:Relationship Id="journalLink307" Type="http://schemas.openxmlformats.org/officeDocument/2006/relationships/hyperlink" Target="https://huaxue.hebtu.edu.cn/a/2025/09/23/A5A5BBD96F6B4410B87B6D4C43BDFD63.html" TargetMode="External" /><ns0:Relationship Id="journalLink308" Type="http://schemas.openxmlformats.org/officeDocument/2006/relationships/hyperlink" Target="http://onlinelibrary.wiley.com/journal/10.1111/(ISSN)1756-1051" TargetMode="External" /><ns0:Relationship Id="journalLink309" Type="http://schemas.openxmlformats.org/officeDocument/2006/relationships/hyperlink" Target="https://openalex.org/S178451187" TargetMode="External" /><ns0:Relationship Id="journalLink310" Type="http://schemas.openxmlformats.org/officeDocument/2006/relationships/hyperlink" Target="https://www.niic.nsc.ru/phocadownload/publications/2025/JCR_JournalImpactFactor_2026.pdf#page=444" TargetMode="External" /><ns0:Relationship Id="journalLink311" Type="http://schemas.openxmlformats.org/officeDocument/2006/relationships/hyperlink" Target="https://huaxue.hebtu.edu.cn/a/2025/09/23/A5A5BBD96F6B4410B87B6D4C43BDFD63.html" TargetMode="External" /><ns0:Relationship Id="journalLink312" Type="http://schemas.openxmlformats.org/officeDocument/2006/relationships/hyperlink" Target="http://www.mapress.com/phytotaxa/" TargetMode="External" /><ns0:Relationship Id="journalLink313" Type="http://schemas.openxmlformats.org/officeDocument/2006/relationships/hyperlink" Target="https://openalex.org/S100787194" TargetMode="External" /><ns0:Relationship Id="journalLink314" Type="http://schemas.openxmlformats.org/officeDocument/2006/relationships/hyperlink" Target="https://www.niic.nsc.ru/phocadownload/publications/2025/JCR_JournalImpactFactor_2026.pdf#page=498" TargetMode="External" /><ns0:Relationship Id="journalLink315" Type="http://schemas.openxmlformats.org/officeDocument/2006/relationships/hyperlink" Target="https://huaxue.hebtu.edu.cn/a/2025/09/23/A5A5BBD96F6B4410B87B6D4C43BDFD63.html" TargetMode="External" /><ns0:Relationship Id="journalLink316" Type="http://schemas.openxmlformats.org/officeDocument/2006/relationships/hyperlink" Target="https://www.bp.ueb.cas.cz/" TargetMode="External" /><ns0:Relationship Id="journalLink317" Type="http://schemas.openxmlformats.org/officeDocument/2006/relationships/hyperlink" Target="https://www.bp.ueb.cas.cz/" TargetMode="External" /><ns0:Relationship Id="journalLink318" Type="http://schemas.openxmlformats.org/officeDocument/2006/relationships/hyperlink" Target="https://www.niic.nsc.ru/phocadownload/publications/2025/JCR_JournalImpactFactor_2026.pdf#page=496" TargetMode="External" /><ns0:Relationship Id="journalLink319" Type="http://schemas.openxmlformats.org/officeDocument/2006/relationships/hyperlink" Target="https://huaxue.hebtu.edu.cn/a/2025/09/23/A5A5BBD96F6B4410B87B6D4C43BDFD63.html" TargetMode="External" /><ns0:Relationship Id="journalLink320" Type="http://schemas.openxmlformats.org/officeDocument/2006/relationships/hyperlink" Target="http://www.aspt.net/publications/sysbot" TargetMode="External" /><ns0:Relationship Id="journalLink321" Type="http://schemas.openxmlformats.org/officeDocument/2006/relationships/hyperlink" Target="https://openalex.org/S191717031" TargetMode="External" /><ns0:Relationship Id="journalLink322" Type="http://schemas.openxmlformats.org/officeDocument/2006/relationships/hyperlink" Target="https://www.niic.nsc.ru/phocadownload/publications/2025/JCR_JournalImpactFactor_2026.pdf#page=56" TargetMode="External" /><ns0:Relationship Id="journalLink323" Type="http://schemas.openxmlformats.org/officeDocument/2006/relationships/hyperlink" Target="https://www.springer.com/journal/44154" TargetMode="External" /><ns0:Relationship Id="journalLink324" Type="http://schemas.openxmlformats.org/officeDocument/2006/relationships/hyperlink" Target="https://openalex.org/S4210217490" TargetMode="External" /><ns0:Relationship Id="journalLink325" Type="http://schemas.openxmlformats.org/officeDocument/2006/relationships/hyperlink" Target="https://www.niic.nsc.ru/phocadownload/publications/2025/JCR_JournalImpactFactor_2026.pdf#page=10" TargetMode="External" /><ns0:Relationship Id="journalLink326" Type="http://schemas.openxmlformats.org/officeDocument/2006/relationships/hyperlink" Target="https://huaxue.hebtu.edu.cn/a/2025/09/23/A5A5BBD96F6B4410B87B6D4C43BDFD63.html" TargetMode="External" /><ns0:Relationship Id="journalLink327" Type="http://schemas.openxmlformats.org/officeDocument/2006/relationships/hyperlink" Target="https://www.sciencedirect.com/journal/artificial-intelligence-in-agriculture" TargetMode="External" /><ns0:Relationship Id="journalLink328" Type="http://schemas.openxmlformats.org/officeDocument/2006/relationships/hyperlink" Target="https://openalex.org/S4210228435" TargetMode="External" /><ns0:Relationship Id="journalLink329" Type="http://schemas.openxmlformats.org/officeDocument/2006/relationships/hyperlink" Target="https://www.niic.nsc.ru/phocadownload/publications/2025/JCR_JournalImpactFactor_2026.pdf#page=15" TargetMode="External" /><ns0:Relationship Id="journalLink330" Type="http://schemas.openxmlformats.org/officeDocument/2006/relationships/hyperlink" Target="https://huaxue.hebtu.edu.cn/a/2025/09/23/A5A5BBD96F6B4410B87B6D4C43BDFD63.html" TargetMode="External" /><ns0:Relationship Id="journalLink331" Type="http://schemas.openxmlformats.org/officeDocument/2006/relationships/hyperlink" Target="https://www.journals.elsevier.com/isprs-journal-of-photogrammetry-and-remote-sensing" TargetMode="External" /><ns0:Relationship Id="journalLink332" Type="http://schemas.openxmlformats.org/officeDocument/2006/relationships/hyperlink" Target="https://openalex.org/S173339282" TargetMode="External" /><ns0:Relationship Id="journalLink333" Type="http://schemas.openxmlformats.org/officeDocument/2006/relationships/hyperlink" Target="https://www.niic.nsc.ru/phocadownload/publications/2025/JCR_JournalImpactFactor_2026.pdf#page=16" TargetMode="External" /><ns0:Relationship Id="journalLink334" Type="http://schemas.openxmlformats.org/officeDocument/2006/relationships/hyperlink" Target="https://huaxue.hebtu.edu.cn/a/2025/09/23/A5A5BBD96F6B4410B87B6D4C43BDFD63.html" TargetMode="External" /><ns0:Relationship Id="journalLink335" Type="http://schemas.openxmlformats.org/officeDocument/2006/relationships/hyperlink" Target="https://www.journals.elsevier.com/remote-sensing-of-environment" TargetMode="External" /><ns0:Relationship Id="journalLink336" Type="http://schemas.openxmlformats.org/officeDocument/2006/relationships/hyperlink" Target="https://openalex.org/S141808269" TargetMode="External" /><ns0:Relationship Id="journalLink337" Type="http://schemas.openxmlformats.org/officeDocument/2006/relationships/hyperlink" Target="https://www.niic.nsc.ru/phocadownload/publications/2025/JCR_JournalImpactFactor_2026.pdf#page=41" TargetMode="External" /><ns0:Relationship Id="journalLink338" Type="http://schemas.openxmlformats.org/officeDocument/2006/relationships/hyperlink" Target="https://huaxue.hebtu.edu.cn/a/2025/09/23/A5A5BBD96F6B4410B87B6D4C43BDFD63.html" TargetMode="External" /><ns0:Relationship Id="journalLink339" Type="http://schemas.openxmlformats.org/officeDocument/2006/relationships/hyperlink" Target="https://www.journals.elsevier.com/global-food-security" TargetMode="External" /><ns0:Relationship Id="journalLink340" Type="http://schemas.openxmlformats.org/officeDocument/2006/relationships/hyperlink" Target="https://openalex.org/S2764561087" TargetMode="External" /><ns0:Relationship Id="journalLink341" Type="http://schemas.openxmlformats.org/officeDocument/2006/relationships/hyperlink" Target="https://www.niic.nsc.ru/phocadownload/publications/2025/JCR_JournalImpactFactor_2026.pdf#page=22" TargetMode="External" /><ns0:Relationship Id="journalLink342" Type="http://schemas.openxmlformats.org/officeDocument/2006/relationships/hyperlink" Target="https://huaxue.hebtu.edu.cn/a/2025/09/23/A5A5BBD96F6B4410B87B6D4C43BDFD63.html" TargetMode="External" /><ns0:Relationship Id="journalLink343" Type="http://schemas.openxmlformats.org/officeDocument/2006/relationships/hyperlink" Target="https://www.journals.elsevier.com/computers-and-electronics-in-agriculture" TargetMode="External" /><ns0:Relationship Id="journalLink344" Type="http://schemas.openxmlformats.org/officeDocument/2006/relationships/hyperlink" Target="https://openalex.org/S116775814" TargetMode="External" /><ns0:Relationship Id="journalLink345" Type="http://schemas.openxmlformats.org/officeDocument/2006/relationships/hyperlink" Target="https://www.niic.nsc.ru/phocadownload/publications/2025/JCR_JournalImpactFactor_2026.pdf#page=34" TargetMode="External" /><ns0:Relationship Id="journalLink346" Type="http://schemas.openxmlformats.org/officeDocument/2006/relationships/hyperlink" Target="https://huaxue.hebtu.edu.cn/a/2025/09/23/A5A5BBD96F6B4410B87B6D4C43BDFD63.html" TargetMode="External" /><ns0:Relationship Id="journalLink347" Type="http://schemas.openxmlformats.org/officeDocument/2006/relationships/hyperlink" Target="http://www.springerlink.com/content/122168/" TargetMode="External" /><ns0:Relationship Id="journalLink348" Type="http://schemas.openxmlformats.org/officeDocument/2006/relationships/hyperlink" Target="https://openalex.org/S17425584" TargetMode="External" /><ns0:Relationship Id="journalLink349" Type="http://schemas.openxmlformats.org/officeDocument/2006/relationships/hyperlink" Target="https://www.niic.nsc.ru/phocadownload/publications/2025/JCR_JournalImpactFactor_2026.pdf#page=37" TargetMode="External" /><ns0:Relationship Id="journalLink350" Type="http://schemas.openxmlformats.org/officeDocument/2006/relationships/hyperlink" Target="https://huaxue.hebtu.edu.cn/a/2025/09/23/A5A5BBD96F6B4410B87B6D4C43BDFD63.html" TargetMode="External" /><ns0:Relationship Id="journalLink351" Type="http://schemas.openxmlformats.org/officeDocument/2006/relationships/hyperlink" Target="https://www.journals.elsevier.com/agricultural-water-management" TargetMode="External" /><ns0:Relationship Id="journalLink352" Type="http://schemas.openxmlformats.org/officeDocument/2006/relationships/hyperlink" Target="https://openalex.org/S104641133" TargetMode="External" /><ns0:Relationship Id="journalLink353" Type="http://schemas.openxmlformats.org/officeDocument/2006/relationships/hyperlink" Target="https://www.niic.nsc.ru/phocadownload/publications/2025/JCR_JournalImpactFactor_2026.pdf#page=39" TargetMode="External" /><ns0:Relationship Id="journalLink354" Type="http://schemas.openxmlformats.org/officeDocument/2006/relationships/hyperlink" Target="https://huaxue.hebtu.edu.cn/a/2025/09/23/A5A5BBD96F6B4410B87B6D4C43BDFD63.html" TargetMode="External" /><ns0:Relationship Id="journalLink355" Type="http://schemas.openxmlformats.org/officeDocument/2006/relationships/hyperlink" Target="http://www.journals.elsevier.com/agriculture-ecosystems-and-environment/" TargetMode="External" /><ns0:Relationship Id="journalLink356" Type="http://schemas.openxmlformats.org/officeDocument/2006/relationships/hyperlink" Target="https://openalex.org/S185297315" TargetMode="External" /><ns0:Relationship Id="journalLink357" Type="http://schemas.openxmlformats.org/officeDocument/2006/relationships/hyperlink" Target="https://www.niic.nsc.ru/phocadownload/publications/2025/JCR_JournalImpactFactor_2026.pdf#page=36" TargetMode="External" /><ns0:Relationship Id="journalLink358" Type="http://schemas.openxmlformats.org/officeDocument/2006/relationships/hyperlink" Target="https://huaxue.hebtu.edu.cn/a/2025/09/23/A5A5BBD96F6B4410B87B6D4C43BDFD63.html" TargetMode="External" /><ns0:Relationship Id="journalLink359" Type="http://schemas.openxmlformats.org/officeDocument/2006/relationships/hyperlink" Target="https://www.journals.elsevier.com/field-crops-research" TargetMode="External" /><ns0:Relationship Id="journalLink360" Type="http://schemas.openxmlformats.org/officeDocument/2006/relationships/hyperlink" Target="https://openalex.org/S148071443" TargetMode="External" /><ns0:Relationship Id="journalLink361" Type="http://schemas.openxmlformats.org/officeDocument/2006/relationships/hyperlink" Target="https://www.niic.nsc.ru/phocadownload/publications/2025/JCR_JournalImpactFactor_2026.pdf#page=55" TargetMode="External" /><ns0:Relationship Id="journalLink362" Type="http://schemas.openxmlformats.org/officeDocument/2006/relationships/hyperlink" Target="https://huaxue.hebtu.edu.cn/a/2025/09/23/A5A5BBD96F6B4410B87B6D4C43BDFD63.html" TargetMode="External" /><ns0:Relationship Id="journalLink363" Type="http://schemas.openxmlformats.org/officeDocument/2006/relationships/hyperlink" Target="https://www.journals.elsevier.com/industrial-crops-and-products" TargetMode="External" /><ns0:Relationship Id="journalLink364" Type="http://schemas.openxmlformats.org/officeDocument/2006/relationships/hyperlink" Target="https://openalex.org/S178362034" TargetMode="External" /><ns0:Relationship Id="journalLink365" Type="http://schemas.openxmlformats.org/officeDocument/2006/relationships/hyperlink" Target="https://www.niic.nsc.ru/phocadownload/publications/2025/JCR_JournalImpactFactor_2026.pdf#page=58" TargetMode="External" /><ns0:Relationship Id="journalLink366" Type="http://schemas.openxmlformats.org/officeDocument/2006/relationships/hyperlink" Target="https://huaxue.hebtu.edu.cn/a/2025/09/23/A5A5BBD96F6B4410B87B6D4C43BDFD63.html" TargetMode="External" /><ns0:Relationship Id="journalLink367" Type="http://schemas.openxmlformats.org/officeDocument/2006/relationships/hyperlink" Target="https://www.journals.elsevier.com/agricultural-systems" TargetMode="External" /><ns0:Relationship Id="journalLink368" Type="http://schemas.openxmlformats.org/officeDocument/2006/relationships/hyperlink" Target="https://openalex.org/S157560195" TargetMode="External" /><ns0:Relationship Id="journalLink369" Type="http://schemas.openxmlformats.org/officeDocument/2006/relationships/hyperlink" Target="https://www.niic.nsc.ru/phocadownload/publications/2025/JCR_JournalImpactFactor_2026.pdf#page=49" TargetMode="External" /><ns0:Relationship Id="journalLink370" Type="http://schemas.openxmlformats.org/officeDocument/2006/relationships/hyperlink" Target="https://huaxue.hebtu.edu.cn/a/2025/09/23/A5A5BBD96F6B4410B87B6D4C43BDFD63.html" TargetMode="External" /><ns0:Relationship Id="journalLink371" Type="http://schemas.openxmlformats.org/officeDocument/2006/relationships/hyperlink" Target="https://www.journals.elsevier.com/food-policy" TargetMode="External" /><ns0:Relationship Id="journalLink372" Type="http://schemas.openxmlformats.org/officeDocument/2006/relationships/hyperlink" Target="https://openalex.org/S63571384" TargetMode="External" /><ns0:Relationship Id="journalLink373" Type="http://schemas.openxmlformats.org/officeDocument/2006/relationships/hyperlink" Target="https://www.niic.nsc.ru/phocadownload/publications/2025/JCR_JournalImpactFactor_2026.pdf#page=52" TargetMode="External" /><ns0:Relationship Id="journalLink374" Type="http://schemas.openxmlformats.org/officeDocument/2006/relationships/hyperlink" Target="https://huaxue.hebtu.edu.cn/a/2025/09/23/A5A5BBD96F6B4410B87B6D4C43BDFD63.html" TargetMode="External" /><ns0:Relationship Id="journalLink375" Type="http://schemas.openxmlformats.org/officeDocument/2006/relationships/hyperlink" Target="http://www.elsevier.com/wps/find/journaldescription.cws_home/503295/description" TargetMode="External" /><ns0:Relationship Id="journalLink376" Type="http://schemas.openxmlformats.org/officeDocument/2006/relationships/hyperlink" Target="https://openalex.org/S17729819" TargetMode="External" /><ns0:Relationship Id="journalLink377" Type="http://schemas.openxmlformats.org/officeDocument/2006/relationships/hyperlink" Target="https://www.niic.nsc.ru/phocadownload/publications/2025/JCR_JournalImpactFactor_2026.pdf#page=50" TargetMode="External" /><ns0:Relationship Id="journalLink378" Type="http://schemas.openxmlformats.org/officeDocument/2006/relationships/hyperlink" Target="https://huaxue.hebtu.edu.cn/a/2025/09/23/A5A5BBD96F6B4410B87B6D4C43BDFD63.html" TargetMode="External" /><ns0:Relationship Id="journalLink379" Type="http://schemas.openxmlformats.org/officeDocument/2006/relationships/hyperlink" Target="https://www.sciencedirect.com/journal/the-crop-journal" TargetMode="External" /><ns0:Relationship Id="journalLink380" Type="http://schemas.openxmlformats.org/officeDocument/2006/relationships/hyperlink" Target="https://openalex.org/S2736600276" TargetMode="External" /><ns0:Relationship Id="journalLink381" Type="http://schemas.openxmlformats.org/officeDocument/2006/relationships/hyperlink" Target="https://www.niic.nsc.ru/phocadownload/publications/2025/JCR_JournalImpactFactor_2026.pdf#page=50" TargetMode="External" /><ns0:Relationship Id="journalLink382" Type="http://schemas.openxmlformats.org/officeDocument/2006/relationships/hyperlink" Target="https://huaxue.hebtu.edu.cn/a/2025/09/23/A5A5BBD96F6B4410B87B6D4C43BDFD63.html" TargetMode="External" /><ns0:Relationship Id="journalLink383" Type="http://schemas.openxmlformats.org/officeDocument/2006/relationships/hyperlink" Target="https://www.journals.elsevier.com/european-journal-of-agronomy" TargetMode="External" /><ns0:Relationship Id="journalLink384" Type="http://schemas.openxmlformats.org/officeDocument/2006/relationships/hyperlink" Target="https://openalex.org/S129843401" TargetMode="External" /><ns0:Relationship Id="journalLink385" Type="http://schemas.openxmlformats.org/officeDocument/2006/relationships/hyperlink" Target="https://www.niic.nsc.ru/phocadownload/publications/2025/JCR_JournalImpactFactor_2026.pdf#page=65" TargetMode="External" /><ns0:Relationship Id="journalLink386" Type="http://schemas.openxmlformats.org/officeDocument/2006/relationships/hyperlink" Target="https://huaxue.hebtu.edu.cn/a/2025/09/23/A5A5BBD96F6B4410B87B6D4C43BDFD63.html" TargetMode="External" /><ns0:Relationship Id="journalLink387" Type="http://schemas.openxmlformats.org/officeDocument/2006/relationships/hyperlink" Target="https://thericejournal.springeropen.com/" TargetMode="External" /><ns0:Relationship Id="journalLink388" Type="http://schemas.openxmlformats.org/officeDocument/2006/relationships/hyperlink" Target="https://openalex.org/S39864733" TargetMode="External" /><ns0:Relationship Id="journalLink389" Type="http://schemas.openxmlformats.org/officeDocument/2006/relationships/hyperlink" Target="https://www.niic.nsc.ru/phocadownload/publications/2025/JCR_JournalImpactFactor_2026.pdf#page=68" TargetMode="External" /><ns0:Relationship Id="journalLink390" Type="http://schemas.openxmlformats.org/officeDocument/2006/relationships/hyperlink" Target="https://huaxue.hebtu.edu.cn/a/2025/09/23/A5A5BBD96F6B4410B87B6D4C43BDFD63.html" TargetMode="External" /><ns0:Relationship Id="journalLink391" Type="http://schemas.openxmlformats.org/officeDocument/2006/relationships/hyperlink" Target="https://www.journals.elsevier.com/journal-of-integrative-agriculture" TargetMode="External" /><ns0:Relationship Id="journalLink392" Type="http://schemas.openxmlformats.org/officeDocument/2006/relationships/hyperlink" Target="https://openalex.org/S2491286908" TargetMode="External" /><ns0:Relationship Id="journalLink393" Type="http://schemas.openxmlformats.org/officeDocument/2006/relationships/hyperlink" Target="https://www.niic.nsc.ru/phocadownload/publications/2025/JCR_JournalImpactFactor_2026.pdf#page=119" TargetMode="External" /><ns0:Relationship Id="journalLink394" Type="http://schemas.openxmlformats.org/officeDocument/2006/relationships/hyperlink" Target="https://huaxue.hebtu.edu.cn/a/2025/09/23/A5A5BBD96F6B4410B87B6D4C43BDFD63.html" TargetMode="External" /><ns0:Relationship Id="journalLink395" Type="http://schemas.openxmlformats.org/officeDocument/2006/relationships/hyperlink" Target="http://www.springer.com/new+%26+forthcoming+titles+%28default%29/journal/122" TargetMode="External" /><ns0:Relationship Id="journalLink396" Type="http://schemas.openxmlformats.org/officeDocument/2006/relationships/hyperlink" Target="https://openalex.org/S96685181" TargetMode="External" /><ns0:Relationship Id="journalLink397" Type="http://schemas.openxmlformats.org/officeDocument/2006/relationships/hyperlink" Target="https://www.niic.nsc.ru/phocadownload/publications/2025/JCR_JournalImpactFactor_2026.pdf#page=40" TargetMode="External" /><ns0:Relationship Id="journalLink398" Type="http://schemas.openxmlformats.org/officeDocument/2006/relationships/hyperlink" Target="https://huaxue.hebtu.edu.cn/a/2025/09/23/A5A5BBD96F6B4410B87B6D4C43BDFD63.html" TargetMode="External" /><ns0:Relationship Id="journalLink399" Type="http://schemas.openxmlformats.org/officeDocument/2006/relationships/hyperlink" Target="https://link.springer.com/journal/11119" TargetMode="External" /><ns0:Relationship Id="journalLink400" Type="http://schemas.openxmlformats.org/officeDocument/2006/relationships/hyperlink" Target="https://openalex.org/S42419699" TargetMode="External" /><ns0:Relationship Id="journalLink401" Type="http://schemas.openxmlformats.org/officeDocument/2006/relationships/hyperlink" Target="https://www.niic.nsc.ru/phocadownload/publications/2025/JCR_JournalImpactFactor_2026.pdf#page=103" TargetMode="External" /><ns0:Relationship Id="journalLink402" Type="http://schemas.openxmlformats.org/officeDocument/2006/relationships/hyperlink" Target="https://huaxue.hebtu.edu.cn/a/2025/09/23/A5A5BBD96F6B4410B87B6D4C43BDFD63.html" TargetMode="External" /><ns0:Relationship Id="journalLink403" Type="http://schemas.openxmlformats.org/officeDocument/2006/relationships/hyperlink" Target="https://www.springer.com/journal/12571" TargetMode="External" /><ns0:Relationship Id="journalLink404" Type="http://schemas.openxmlformats.org/officeDocument/2006/relationships/hyperlink" Target="https://openalex.org/S73449225" TargetMode="External" /><ns0:Relationship Id="journalLink405" Type="http://schemas.openxmlformats.org/officeDocument/2006/relationships/hyperlink" Target="https://www.niic.nsc.ru/phocadownload/publications/2025/JCR_JournalImpactFactor_2026.pdf#page=42" TargetMode="External" /><ns0:Relationship Id="journalLink406" Type="http://schemas.openxmlformats.org/officeDocument/2006/relationships/hyperlink" Target="https://huaxue.hebtu.edu.cn/a/2025/09/23/A5A5BBD96F6B4410B87B6D4C43BDFD63.html" TargetMode="External" /><ns0:Relationship Id="journalLink407" Type="http://schemas.openxmlformats.org/officeDocument/2006/relationships/hyperlink" Target="https://www.journals.elsevier.com/rice-science" TargetMode="External" /><ns0:Relationship Id="journalLink408" Type="http://schemas.openxmlformats.org/officeDocument/2006/relationships/hyperlink" Target="https://openalex.org/S154879107" TargetMode="External" /><ns0:Relationship Id="journalLink409" Type="http://schemas.openxmlformats.org/officeDocument/2006/relationships/hyperlink" Target="https://www.niic.nsc.ru/phocadownload/publications/2025/JCR_JournalImpactFactor_2026.pdf#page=45" TargetMode="External" /><ns0:Relationship Id="journalLink410" Type="http://schemas.openxmlformats.org/officeDocument/2006/relationships/hyperlink" Target="https://huaxue.hebtu.edu.cn/a/2025/09/23/A5A5BBD96F6B4410B87B6D4C43BDFD63.html" TargetMode="External" /><ns0:Relationship Id="journalLink411" Type="http://schemas.openxmlformats.org/officeDocument/2006/relationships/hyperlink" Target="https://www.journals.elsevier.com/smart-agricultural-technology" TargetMode="External" /><ns0:Relationship Id="journalLink412" Type="http://schemas.openxmlformats.org/officeDocument/2006/relationships/hyperlink" Target="https://openalex.org/S4210238883" TargetMode="External" /><ns0:Relationship Id="journalLink413" Type="http://schemas.openxmlformats.org/officeDocument/2006/relationships/hyperlink" Target="https://www.niic.nsc.ru/phocadownload/publications/2025/JCR_JournalImpactFactor_2026.pdf#page=38" TargetMode="External" /><ns0:Relationship Id="journalLink414" Type="http://schemas.openxmlformats.org/officeDocument/2006/relationships/hyperlink" Target="https://huaxue.hebtu.edu.cn/a/2025/09/23/A5A5BBD96F6B4410B87B6D4C43BDFD63.html" TargetMode="External" /><ns0:Relationship Id="journalLink415" Type="http://schemas.openxmlformats.org/officeDocument/2006/relationships/hyperlink" Target="https://www.journals.elsevier.com/biosystems-engineering" TargetMode="External" /><ns0:Relationship Id="journalLink416" Type="http://schemas.openxmlformats.org/officeDocument/2006/relationships/hyperlink" Target="https://openalex.org/S65230043" TargetMode="External" /><ns0:Relationship Id="journalLink417" Type="http://schemas.openxmlformats.org/officeDocument/2006/relationships/hyperlink" Target="https://www.niic.nsc.ru/phocadownload/publications/2025/JCR_JournalImpactFactor_2026.pdf#page=112" TargetMode="External" /><ns0:Relationship Id="journalLink418" Type="http://schemas.openxmlformats.org/officeDocument/2006/relationships/hyperlink" Target="https://huaxue.hebtu.edu.cn/a/2025/09/23/A5A5BBD96F6B4410B87B6D4C43BDFD63.html" TargetMode="External" /><ns0:Relationship Id="journalLink419" Type="http://schemas.openxmlformats.org/officeDocument/2006/relationships/hyperlink" Target="http://www.mdpi.com/journal/remotesensing" TargetMode="External" /><ns0:Relationship Id="journalLink420" Type="http://schemas.openxmlformats.org/officeDocument/2006/relationships/hyperlink" Target="https://openalex.org/S43295729" TargetMode="External" /><ns0:Relationship Id="journalLink421" Type="http://schemas.openxmlformats.org/officeDocument/2006/relationships/hyperlink" Target="https://www.niic.nsc.ru/phocadownload/publications/2025/JCR_JournalImpactFactor_2026.pdf#page=95" TargetMode="External" /><ns0:Relationship Id="journalLink422" Type="http://schemas.openxmlformats.org/officeDocument/2006/relationships/hyperlink" Target="https://huaxue.hebtu.edu.cn/a/2025/09/23/A5A5BBD96F6B4410B87B6D4C43BDFD63.html" TargetMode="External" /><ns0:Relationship Id="journalLink423" Type="http://schemas.openxmlformats.org/officeDocument/2006/relationships/hyperlink" Target="http://onlinelibrary.wiley.com/journal/10.1111/(ISSN)1574-0862" TargetMode="External" /><ns0:Relationship Id="journalLink424" Type="http://schemas.openxmlformats.org/officeDocument/2006/relationships/hyperlink" Target="https://openalex.org/S154775064" TargetMode="External" /><ns0:Relationship Id="journalLink425" Type="http://schemas.openxmlformats.org/officeDocument/2006/relationships/hyperlink" Target="https://www.niic.nsc.ru/phocadownload/publications/2025/JCR_JournalImpactFactor_2026.pdf#page=111" TargetMode="External" /><ns0:Relationship Id="journalLink426" Type="http://schemas.openxmlformats.org/officeDocument/2006/relationships/hyperlink" Target="https://huaxue.hebtu.edu.cn/a/2025/09/23/A5A5BBD96F6B4410B87B6D4C43BDFD63.html" TargetMode="External" /><ns0:Relationship Id="journalLink427" Type="http://schemas.openxmlformats.org/officeDocument/2006/relationships/hyperlink" Target="https://acsess.onlinelibrary.wiley.com/journal/19403372" TargetMode="External" /><ns0:Relationship Id="journalLink428" Type="http://schemas.openxmlformats.org/officeDocument/2006/relationships/hyperlink" Target="https://openalex.org/S84695101" TargetMode="External" /><ns0:Relationship Id="journalLink429" Type="http://schemas.openxmlformats.org/officeDocument/2006/relationships/hyperlink" Target="https://www.niic.nsc.ru/phocadownload/publications/2025/JCR_JournalImpactFactor_2026.pdf#page=112" TargetMode="External" /><ns0:Relationship Id="journalLink430" Type="http://schemas.openxmlformats.org/officeDocument/2006/relationships/hyperlink" Target="https://huaxue.hebtu.edu.cn/a/2025/09/23/A5A5BBD96F6B4410B87B6D4C43BDFD63.html" TargetMode="External" /><ns0:Relationship Id="journalLink431" Type="http://schemas.openxmlformats.org/officeDocument/2006/relationships/hyperlink" Target="https://www.sciencedirect.com/journal/journal-of-cereal-science" TargetMode="External" /><ns0:Relationship Id="journalLink432" Type="http://schemas.openxmlformats.org/officeDocument/2006/relationships/hyperlink" Target="https://openalex.org/S2456228" TargetMode="External" /><ns0:Relationship Id="journalLink433" Type="http://schemas.openxmlformats.org/officeDocument/2006/relationships/hyperlink" Target="https://www.niic.nsc.ru/phocadownload/publications/2025/JCR_JournalImpactFactor_2026.pdf#page=102" TargetMode="External" /><ns0:Relationship Id="journalLink434" Type="http://schemas.openxmlformats.org/officeDocument/2006/relationships/hyperlink" Target="https://huaxue.hebtu.edu.cn/a/2025/09/23/A5A5BBD96F6B4410B87B6D4C43BDFD63.html" TargetMode="External" /><ns0:Relationship Id="journalLink435" Type="http://schemas.openxmlformats.org/officeDocument/2006/relationships/hyperlink" Target="http://www.mdpi.com/journal/agriculture" TargetMode="External" /><ns0:Relationship Id="journalLink436" Type="http://schemas.openxmlformats.org/officeDocument/2006/relationships/hyperlink" Target="https://openalex.org/S4210202585" TargetMode="External" /><ns0:Relationship Id="journalLink437" Type="http://schemas.openxmlformats.org/officeDocument/2006/relationships/hyperlink" Target="https://www.niic.nsc.ru/phocadownload/publications/2025/JCR_JournalImpactFactor_2026.pdf#page=162" TargetMode="External" /><ns0:Relationship Id="journalLink438" Type="http://schemas.openxmlformats.org/officeDocument/2006/relationships/hyperlink" Target="https://huaxue.hebtu.edu.cn/a/2025/09/23/A5A5BBD96F6B4410B87B6D4C43BDFD63.html" TargetMode="External" /><ns0:Relationship Id="journalLink439" Type="http://schemas.openxmlformats.org/officeDocument/2006/relationships/hyperlink" Target="https://link.springer.com/journal/271" TargetMode="External" /><ns0:Relationship Id="journalLink440" Type="http://schemas.openxmlformats.org/officeDocument/2006/relationships/hyperlink" Target="https://openalex.org/S84263908" TargetMode="External" /><ns0:Relationship Id="journalLink441" Type="http://schemas.openxmlformats.org/officeDocument/2006/relationships/hyperlink" Target="https://www.niic.nsc.ru/phocadownload/publications/2025/JCR_JournalImpactFactor_2026.pdf#page=120" TargetMode="External" /><ns0:Relationship Id="journalLink442" Type="http://schemas.openxmlformats.org/officeDocument/2006/relationships/hyperlink" Target="https://huaxue.hebtu.edu.cn/a/2025/09/23/A5A5BBD96F6B4410B87B6D4C43BDFD63.html" TargetMode="External" /><ns0:Relationship Id="journalLink443" Type="http://schemas.openxmlformats.org/officeDocument/2006/relationships/hyperlink" Target="http://www.mdpi.com/journal/agronomy" TargetMode="External" /><ns0:Relationship Id="journalLink444" Type="http://schemas.openxmlformats.org/officeDocument/2006/relationships/hyperlink" Target="https://openalex.org/S2738977497" TargetMode="External" /><ns0:Relationship Id="journalLink445" Type="http://schemas.openxmlformats.org/officeDocument/2006/relationships/hyperlink" Target="https://www.niic.nsc.ru/phocadownload/publications/2025/JCR_JournalImpactFactor_2026.pdf#page=88" TargetMode="External" /><ns0:Relationship Id="journalLink446" Type="http://schemas.openxmlformats.org/officeDocument/2006/relationships/hyperlink" Target="https://huaxue.hebtu.edu.cn/a/2025/09/23/A5A5BBD96F6B4410B87B6D4C43BDFD63.html" TargetMode="External" /><ns0:Relationship Id="journalLink447" Type="http://schemas.openxmlformats.org/officeDocument/2006/relationships/hyperlink" Target="https://onlinelibrary.wiley.com/journal/14678276" TargetMode="External" /><ns0:Relationship Id="journalLink448" Type="http://schemas.openxmlformats.org/officeDocument/2006/relationships/hyperlink" Target="https://openalex.org/S91754907" TargetMode="External" /><ns0:Relationship Id="journalLink449" Type="http://schemas.openxmlformats.org/officeDocument/2006/relationships/hyperlink" Target="https://www.niic.nsc.ru/phocadownload/publications/2025/JCR_JournalImpactFactor_2026.pdf#page=177" TargetMode="External" /><ns0:Relationship Id="journalLink450" Type="http://schemas.openxmlformats.org/officeDocument/2006/relationships/hyperlink" Target="https://huaxue.hebtu.edu.cn/a/2025/09/23/A5A5BBD96F6B4410B87B6D4C43BDFD63.html" TargetMode="External" /><ns0:Relationship Id="journalLink451" Type="http://schemas.openxmlformats.org/officeDocument/2006/relationships/hyperlink" Target="https://onlinelibrary.wiley.com/journal/1439037X" TargetMode="External" /><ns0:Relationship Id="journalLink452" Type="http://schemas.openxmlformats.org/officeDocument/2006/relationships/hyperlink" Target="https://openalex.org/S56137335" TargetMode="External" /><ns0:Relationship Id="journalLink453" Type="http://schemas.openxmlformats.org/officeDocument/2006/relationships/hyperlink" Target="https://www.niic.nsc.ru/phocadownload/publications/2025/JCR_JournalImpactFactor_2026.pdf#page=127" TargetMode="External" /><ns0:Relationship Id="journalLink454" Type="http://schemas.openxmlformats.org/officeDocument/2006/relationships/hyperlink" Target="https://huaxue.hebtu.edu.cn/a/2025/09/23/A5A5BBD96F6B4410B87B6D4C43BDFD63.html" TargetMode="External" /><ns0:Relationship Id="journalLink455" Type="http://schemas.openxmlformats.org/officeDocument/2006/relationships/hyperlink" Target="http://onlinelibrary.wiley.com/journal/10.1002/(ISSN)1097-0010" TargetMode="External" /><ns0:Relationship Id="journalLink456" Type="http://schemas.openxmlformats.org/officeDocument/2006/relationships/hyperlink" Target="https://openalex.org/S206298197" TargetMode="External" /><ns0:Relationship Id="journalLink457" Type="http://schemas.openxmlformats.org/officeDocument/2006/relationships/hyperlink" Target="https://www.niic.nsc.ru/phocadownload/publications/2025/JCR_JournalImpactFactor_2026.pdf#page=147" TargetMode="External" /><ns0:Relationship Id="journalLink458" Type="http://schemas.openxmlformats.org/officeDocument/2006/relationships/hyperlink" Target="https://huaxue.hebtu.edu.cn/a/2025/09/23/A5A5BBD96F6B4410B87B6D4C43BDFD63.html" TargetMode="External" /><ns0:Relationship Id="journalLink459" Type="http://schemas.openxmlformats.org/officeDocument/2006/relationships/hyperlink" Target="https://www.springer.com/journal/11032" TargetMode="External" /><ns0:Relationship Id="journalLink460" Type="http://schemas.openxmlformats.org/officeDocument/2006/relationships/hyperlink" Target="https://openalex.org/S114992436" TargetMode="External" /><ns0:Relationship Id="journalLink461" Type="http://schemas.openxmlformats.org/officeDocument/2006/relationships/hyperlink" Target="https://www.niic.nsc.ru/phocadownload/publications/2025/JCR_JournalImpactFactor_2026.pdf#page=118" TargetMode="External" /><ns0:Relationship Id="journalLink462" Type="http://schemas.openxmlformats.org/officeDocument/2006/relationships/hyperlink" Target="https://huaxue.hebtu.edu.cn/a/2025/09/23/A5A5BBD96F6B4410B87B6D4C43BDFD63.html" TargetMode="External" /><ns0:Relationship Id="journalLink463" Type="http://schemas.openxmlformats.org/officeDocument/2006/relationships/hyperlink" Target="http://www.seedtest.org/en/content---1--1084.html" TargetMode="External" /><ns0:Relationship Id="journalLink464" Type="http://schemas.openxmlformats.org/officeDocument/2006/relationships/hyperlink" Target="https://openalex.org/S157718187" TargetMode="External" /><ns0:Relationship Id="journalLink465" Type="http://schemas.openxmlformats.org/officeDocument/2006/relationships/hyperlink" Target="https://www.niic.nsc.ru/phocadownload/publications/2025/JCR_JournalImpactFactor_2026.pdf#page=246" TargetMode="External" /><ns0:Relationship Id="journalLink466" Type="http://schemas.openxmlformats.org/officeDocument/2006/relationships/hyperlink" Target="https://huaxue.hebtu.edu.cn/a/2025/09/23/A5A5BBD96F6B4410B87B6D4C43BDFD63.html" TargetMode="External" /><ns0:Relationship Id="journalLink467" Type="http://schemas.openxmlformats.org/officeDocument/2006/relationships/hyperlink" Target="https://acsess.onlinelibrary.wiley.com/journal/14350645" TargetMode="External" /><ns0:Relationship Id="journalLink468" Type="http://schemas.openxmlformats.org/officeDocument/2006/relationships/hyperlink" Target="https://openalex.org/S139950591" TargetMode="External" /><ns0:Relationship Id="journalLink469" Type="http://schemas.openxmlformats.org/officeDocument/2006/relationships/hyperlink" Target="https://www.niic.nsc.ru/phocadownload/publications/2025/JCR_JournalImpactFactor_2026.pdf#page=259" TargetMode="External" /><ns0:Relationship Id="journalLink470" Type="http://schemas.openxmlformats.org/officeDocument/2006/relationships/hyperlink" Target="https://huaxue.hebtu.edu.cn/a/2025/09/23/A5A5BBD96F6B4410B87B6D4C43BDFD63.html" TargetMode="External" /><ns0:Relationship Id="journalLink471" Type="http://schemas.openxmlformats.org/officeDocument/2006/relationships/hyperlink" Target="https://acsess.onlinelibrary.wiley.com/journal/14350653" TargetMode="External" /><ns0:Relationship Id="journalLink472" Type="http://schemas.openxmlformats.org/officeDocument/2006/relationships/hyperlink" Target="https://openalex.org/S48277251" TargetMode="External" /><ns0:Relationship Id="journalLink473" Type="http://schemas.openxmlformats.org/officeDocument/2006/relationships/hyperlink" Target="https://www.niic.nsc.ru/phocadownload/publications/2025/JCR_JournalImpactFactor_2026.pdf#page=301" TargetMode="External" /><ns0:Relationship Id="journalLink474" Type="http://schemas.openxmlformats.org/officeDocument/2006/relationships/hyperlink" Target="https://huaxue.hebtu.edu.cn/a/2025/09/23/A5A5BBD96F6B4410B87B6D4C43BDFD63.html" TargetMode="External" /><ns0:Relationship Id="journalLink475" Type="http://schemas.openxmlformats.org/officeDocument/2006/relationships/hyperlink" Target="http://journals.cambridge.org/SSR" TargetMode="External" /><ns0:Relationship Id="journalLink476" Type="http://schemas.openxmlformats.org/officeDocument/2006/relationships/hyperlink" Target="https://openalex.org/S130555258" TargetMode="External" /><ns0:Relationship Id="journalLink477" Type="http://schemas.openxmlformats.org/officeDocument/2006/relationships/hyperlink" Target="https://www.niic.nsc.ru/phocadownload/publications/2025/JCR_JournalImpactFactor_2026.pdf#page=344" TargetMode="External" /><ns0:Relationship Id="journalLink478" Type="http://schemas.openxmlformats.org/officeDocument/2006/relationships/hyperlink" Target="https://huaxue.hebtu.edu.cn/a/2025/09/23/A5A5BBD96F6B4410B87B6D4C43BDFD63.html" TargetMode="External" /><ns0:Relationship Id="journalLink479" Type="http://schemas.openxmlformats.org/officeDocument/2006/relationships/hyperlink" Target="https://link.springer.com/journal/10681" TargetMode="External" /><ns0:Relationship Id="journalLink480" Type="http://schemas.openxmlformats.org/officeDocument/2006/relationships/hyperlink" Target="https://openalex.org/S149191589" TargetMode="External" /><ns0:Relationship Id="journalLink481" Type="http://schemas.openxmlformats.org/officeDocument/2006/relationships/hyperlink" Target="https://www.niic.nsc.ru/phocadownload/publications/2025/JCR_JournalImpactFactor_2026.pdf#page=329" TargetMode="External" /><ns0:Relationship Id="journalLink482" Type="http://schemas.openxmlformats.org/officeDocument/2006/relationships/hyperlink" Target="https://huaxue.hebtu.edu.cn/a/2025/09/23/A5A5BBD96F6B4410B87B6D4C43BDFD63.html" TargetMode="External" /><ns0:Relationship Id="journalLink483" Type="http://schemas.openxmlformats.org/officeDocument/2006/relationships/hyperlink" Target="https://link.springer.com/journal/10722" TargetMode="External" /><ns0:Relationship Id="journalLink484" Type="http://schemas.openxmlformats.org/officeDocument/2006/relationships/hyperlink" Target="https://openalex.org/S96567077" TargetMode="External" /><ns0:Relationship Id="journalLink485" Type="http://schemas.openxmlformats.org/officeDocument/2006/relationships/hyperlink" Target="https://www.niic.nsc.ru/phocadownload/publications/2025/JCR_JournalImpactFactor_2026.pdf#page=263" TargetMode="External" /><ns0:Relationship Id="journalLink486" Type="http://schemas.openxmlformats.org/officeDocument/2006/relationships/hyperlink" Target="https://huaxue.hebtu.edu.cn/a/2025/09/23/A5A5BBD96F6B4410B87B6D4C43BDFD63.html" TargetMode="External" /><ns0:Relationship Id="journalLink487" Type="http://schemas.openxmlformats.org/officeDocument/2006/relationships/hyperlink" Target="https://onlinelibrary.wiley.com/journal/19433638" TargetMode="External" /><ns0:Relationship Id="journalLink488" Type="http://schemas.openxmlformats.org/officeDocument/2006/relationships/hyperlink" Target="https://openalex.org/S4210216257" TargetMode="External" /><ns0:Relationship Id="journalLink489" Type="http://schemas.openxmlformats.org/officeDocument/2006/relationships/hyperlink" Target="https://www.niic.nsc.ru/phocadownload/publications/2025/JCR_JournalImpactFactor_2026.pdf#page=361" TargetMode="External" /><ns0:Relationship Id="journalLink490" Type="http://schemas.openxmlformats.org/officeDocument/2006/relationships/hyperlink" Target="https://huaxue.hebtu.edu.cn/a/2025/09/23/A5A5BBD96F6B4410B87B6D4C43BDFD63.html" TargetMode="External" /><ns0:Relationship Id="journalLink491" Type="http://schemas.openxmlformats.org/officeDocument/2006/relationships/hyperlink" Target="https://www.jstage.jst.go.jp/browse/jsbbs/" TargetMode="External" /><ns0:Relationship Id="journalLink492" Type="http://schemas.openxmlformats.org/officeDocument/2006/relationships/hyperlink" Target="https://www.jstage.jst.go.jp/browse/jsbbs/" TargetMode="External" /><ns0:Relationship Id="journalLink493" Type="http://schemas.openxmlformats.org/officeDocument/2006/relationships/hyperlink" Target="https://www.niic.nsc.ru/phocadownload/publications/2025/JCR_JournalImpactFactor_2026.pdf#page=257" TargetMode="External" /><ns0:Relationship Id="journalLink494" Type="http://schemas.openxmlformats.org/officeDocument/2006/relationships/hyperlink" Target="https://huaxue.hebtu.edu.cn/a/2025/09/23/A5A5BBD96F6B4410B87B6D4C43BDFD63.html" TargetMode="External" /><ns0:Relationship Id="journalLink495" Type="http://schemas.openxmlformats.org/officeDocument/2006/relationships/hyperlink" Target="http://www.g3journal.org/" TargetMode="External" /><ns0:Relationship Id="journalLink496" Type="http://schemas.openxmlformats.org/officeDocument/2006/relationships/hyperlink" Target="https://openalex.org/S109822313" TargetMode="External" /><ns0:Relationship Id="journalLink497" Type="http://schemas.openxmlformats.org/officeDocument/2006/relationships/hyperlink" Target="https://www.niic.nsc.ru/phocadownload/publications/2025/JCR_JournalImpactFactor_2026.pdf#page=276" TargetMode="External" /><ns0:Relationship Id="journalLink498" Type="http://schemas.openxmlformats.org/officeDocument/2006/relationships/hyperlink" Target="https://huaxue.hebtu.edu.cn/a/2025/09/23/A5A5BBD96F6B4410B87B6D4C43BDFD63.html" TargetMode="External" /><ns0:Relationship Id="journalLink499" Type="http://schemas.openxmlformats.org/officeDocument/2006/relationships/hyperlink" Target="http://journals.cambridge.org/action/displayJournal?jid=AGS" TargetMode="External" /><ns0:Relationship Id="journalLink500" Type="http://schemas.openxmlformats.org/officeDocument/2006/relationships/hyperlink" Target="https://openalex.org/S12429487" TargetMode="External" /><ns0:Relationship Id="journalLink501" Type="http://schemas.openxmlformats.org/officeDocument/2006/relationships/hyperlink" Target="https://www.niic.nsc.ru/phocadownload/publications/2025/JCR_JournalImpactFactor_2026.pdf#page=300" TargetMode="External" /><ns0:Relationship Id="journalLink502" Type="http://schemas.openxmlformats.org/officeDocument/2006/relationships/hyperlink" Target="https://huaxue.hebtu.edu.cn/a/2025/09/23/A5A5BBD96F6B4410B87B6D4C43BDFD63.html" TargetMode="External" /><ns0:Relationship Id="journalLink503" Type="http://schemas.openxmlformats.org/officeDocument/2006/relationships/hyperlink" Target="https://www.springer.com/journal/10333" TargetMode="External" /><ns0:Relationship Id="journalLink504" Type="http://schemas.openxmlformats.org/officeDocument/2006/relationships/hyperlink" Target="https://openalex.org/S73408372" TargetMode="External" /><ns0:Relationship Id="journalLink505" Type="http://schemas.openxmlformats.org/officeDocument/2006/relationships/hyperlink" Target="https://www.niic.nsc.ru/phocadownload/publications/2025/JCR_JournalImpactFactor_2026.pdf#page=344" TargetMode="External" /><ns0:Relationship Id="journalLink506" Type="http://schemas.openxmlformats.org/officeDocument/2006/relationships/hyperlink" Target="https://huaxue.hebtu.edu.cn/a/2025/09/23/A5A5BBD96F6B4410B87B6D4C43BDFD63.html" TargetMode="External" /><ns0:Relationship Id="journalLink507" Type="http://schemas.openxmlformats.org/officeDocument/2006/relationships/hyperlink" Target="https://www.publish.csiro.au/cp" TargetMode="External" /><ns0:Relationship Id="journalLink508" Type="http://schemas.openxmlformats.org/officeDocument/2006/relationships/hyperlink" Target="https://www.publish.csiro.au/cp" TargetMode="External" /><ns0:Relationship Id="journalLink509" Type="http://schemas.openxmlformats.org/officeDocument/2006/relationships/hyperlink" Target="https://www.niic.nsc.ru/phocadownload/publications/2025/JCR_JournalImpactFactor_2026.pdf#page=234" TargetMode="External" /><ns0:Relationship Id="journalLink510" Type="http://schemas.openxmlformats.org/officeDocument/2006/relationships/hyperlink" Target="https://huaxue.hebtu.edu.cn/a/2025/09/23/A5A5BBD96F6B4410B87B6D4C43BDFD63.html" TargetMode="External" /><ns0:Relationship Id="journalLink511" Type="http://schemas.openxmlformats.org/officeDocument/2006/relationships/hyperlink" Target="http://journals.cambridge.org/action/displayJournal?jid=EAG" TargetMode="External" /><ns0:Relationship Id="journalLink512" Type="http://schemas.openxmlformats.org/officeDocument/2006/relationships/hyperlink" Target="https://openalex.org/S167675576" TargetMode="External" /><ns0:Relationship Id="journalLink513" Type="http://schemas.openxmlformats.org/officeDocument/2006/relationships/hyperlink" Target="https://www.niic.nsc.ru/phocadownload/publications/2025/JCR_JournalImpactFactor_2026.pdf#page=287" TargetMode="External" /><ns0:Relationship Id="journalLink514" Type="http://schemas.openxmlformats.org/officeDocument/2006/relationships/hyperlink" Target="https://huaxue.hebtu.edu.cn/a/2025/09/23/A5A5BBD96F6B4410B87B6D4C43BDFD63.html" TargetMode="External" /><ns0:Relationship Id="journalLink515" Type="http://schemas.openxmlformats.org/officeDocument/2006/relationships/hyperlink" Target="http://www.tandf.co.uk/journals/titles/03650340.asp" TargetMode="External" /><ns0:Relationship Id="journalLink516" Type="http://schemas.openxmlformats.org/officeDocument/2006/relationships/hyperlink" Target="https://openalex.org/S50537447" TargetMode="External" /><ns0:Relationship Id="journalLink517" Type="http://schemas.openxmlformats.org/officeDocument/2006/relationships/hyperlink" Target="https://www.niic.nsc.ru/phocadownload/publications/2025/JCR_JournalImpactFactor_2026.pdf#page=359" TargetMode="External" /><ns0:Relationship Id="journalLink518" Type="http://schemas.openxmlformats.org/officeDocument/2006/relationships/hyperlink" Target="https://huaxue.hebtu.edu.cn/a/2025/09/23/A5A5BBD96F6B4410B87B6D4C43BDFD63.html" TargetMode="External" /><ns0:Relationship Id="journalLink519" Type="http://schemas.openxmlformats.org/officeDocument/2006/relationships/hyperlink" Target="https://www.chileanjar.cl/online-journal.php" TargetMode="External" /><ns0:Relationship Id="journalLink520" Type="http://schemas.openxmlformats.org/officeDocument/2006/relationships/hyperlink" Target="https://www.chileanjar.cl/online-journal.php" TargetMode="External" /><ns0:Relationship Id="journalLink521" Type="http://schemas.openxmlformats.org/officeDocument/2006/relationships/hyperlink" Target="https://www.niic.nsc.ru/phocadownload/publications/2025/JCR_JournalImpactFactor_2026.pdf#page=302" TargetMode="External" /><ns0:Relationship Id="journalLink522" Type="http://schemas.openxmlformats.org/officeDocument/2006/relationships/hyperlink" Target="https://huaxue.hebtu.edu.cn/a/2025/09/23/A5A5BBD96F6B4410B87B6D4C43BDFD63.html" TargetMode="External" /><ns0:Relationship Id="journalLink523" Type="http://schemas.openxmlformats.org/officeDocument/2006/relationships/hyperlink" Target="http://www.agriculturejournals.cz/web/cjgpb.htm" TargetMode="External" /><ns0:Relationship Id="journalLink524" Type="http://schemas.openxmlformats.org/officeDocument/2006/relationships/hyperlink" Target="https://openalex.org/S93990902" TargetMode="External" /><ns0:Relationship Id="journalLink525" Type="http://schemas.openxmlformats.org/officeDocument/2006/relationships/hyperlink" Target="https://www.niic.nsc.ru/phocadownload/publications/2025/JCR_JournalImpactFactor_2026.pdf#page=362" TargetMode="External" /><ns0:Relationship Id="journalLink526" Type="http://schemas.openxmlformats.org/officeDocument/2006/relationships/hyperlink" Target="https://huaxue.hebtu.edu.cn/a/2025/09/23/A5A5BBD96F6B4410B87B6D4C43BDFD63.html" TargetMode="External" /><ns0:Relationship Id="journalLink527" Type="http://schemas.openxmlformats.org/officeDocument/2006/relationships/hyperlink" Target="https://onlinelibrary.wiley.com/journal/14390523" TargetMode="External" /><ns0:Relationship Id="journalLink528" Type="http://schemas.openxmlformats.org/officeDocument/2006/relationships/hyperlink" Target="https://openalex.org/S192387442" TargetMode="External" /><ns0:Relationship Id="journalLink529" Type="http://schemas.openxmlformats.org/officeDocument/2006/relationships/hyperlink" Target="https://www.niic.nsc.ru/phocadownload/publications/2025/JCR_JournalImpactFactor_2026.pdf#page=331" TargetMode="External" /><ns0:Relationship Id="journalLink530" Type="http://schemas.openxmlformats.org/officeDocument/2006/relationships/hyperlink" Target="https://huaxue.hebtu.edu.cn/a/2025/09/23/A5A5BBD96F6B4410B87B6D4C43BDFD63.html" TargetMode="External" /><ns0:Relationship Id="journalLink531" Type="http://schemas.openxmlformats.org/officeDocument/2006/relationships/hyperlink" Target="https://onlinelibrary.wiley.com/journal/15310361" TargetMode="External" /><ns0:Relationship Id="journalLink532" Type="http://schemas.openxmlformats.org/officeDocument/2006/relationships/hyperlink" Target="https://openalex.org/S22216944" TargetMode="External" /><ns0:Relationship Id="journalLink533" Type="http://schemas.openxmlformats.org/officeDocument/2006/relationships/hyperlink" Target="https://www.niic.nsc.ru/phocadownload/publications/2025/JCR_JournalImpactFactor_2026.pdf#page=442" TargetMode="External" /><ns0:Relationship Id="journalLink534" Type="http://schemas.openxmlformats.org/officeDocument/2006/relationships/hyperlink" Target="https://huaxue.hebtu.edu.cn/a/2025/09/23/A5A5BBD96F6B4410B87B6D4C43BDFD63.html" TargetMode="External" /><ns0:Relationship Id="journalLink535" Type="http://schemas.openxmlformats.org/officeDocument/2006/relationships/hyperlink" Target="https://sabraojournal.org/" TargetMode="External" /><ns0:Relationship Id="journalLink536" Type="http://schemas.openxmlformats.org/officeDocument/2006/relationships/hyperlink" Target="https://sabraojournal.org/" TargetMode="External" /><ns0:Relationship Id="journalLink537" Type="http://schemas.openxmlformats.org/officeDocument/2006/relationships/hyperlink" Target="https://www.niic.nsc.ru/phocadownload/publications/2025/JCR_JournalImpactFactor_2026.pdf#page=478" TargetMode="External" /><ns0:Relationship Id="journalLink538" Type="http://schemas.openxmlformats.org/officeDocument/2006/relationships/hyperlink" Target="https://huaxue.hebtu.edu.cn/a/2025/09/23/A5A5BBD96F6B4410B87B6D4C43BDFD63.html" TargetMode="External" /><ns0:Relationship Id="journalLink539" Type="http://schemas.openxmlformats.org/officeDocument/2006/relationships/hyperlink" Target="https://www.tandfonline.com/toc/wcim20/current" TargetMode="External" /><ns0:Relationship Id="journalLink540" Type="http://schemas.openxmlformats.org/officeDocument/2006/relationships/hyperlink" Target="https://openalex.org/S198172604" TargetMode="External" /><ns0:Relationship Id="journalLink541" Type="http://schemas.openxmlformats.org/officeDocument/2006/relationships/hyperlink" Target="https://www.niic.nsc.ru/phocadownload/publications/2025/JCR_JournalImpactFactor_2026.pdf#page=431" TargetMode="External" /><ns0:Relationship Id="journalLink542" Type="http://schemas.openxmlformats.org/officeDocument/2006/relationships/hyperlink" Target="https://huaxue.hebtu.edu.cn/a/2025/09/23/A5A5BBD96F6B4410B87B6D4C43BDFD63.html" TargetMode="External" /><ns0:Relationship Id="journalLink543" Type="http://schemas.openxmlformats.org/officeDocument/2006/relationships/hyperlink" Target="https://www.tandfonline.com/toc/tnza20/current" TargetMode="External" /><ns0:Relationship Id="journalLink544" Type="http://schemas.openxmlformats.org/officeDocument/2006/relationships/hyperlink" Target="https://openalex.org/S122949266" TargetMode="External" /><ns0:Relationship Id="journalLink545" Type="http://schemas.openxmlformats.org/officeDocument/2006/relationships/hyperlink" Target="https://www.niic.nsc.ru/phocadownload/publications/2025/JCR_JournalImpactFactor_2026.pdf#page=361" TargetMode="External" /><ns0:Relationship Id="journalLink546" Type="http://schemas.openxmlformats.org/officeDocument/2006/relationships/hyperlink" Target="https://huaxue.hebtu.edu.cn/a/2025/09/23/A5A5BBD96F6B4410B87B6D4C43BDFD63.html" TargetMode="External" /><ns0:Relationship Id="journalLink547" Type="http://schemas.openxmlformats.org/officeDocument/2006/relationships/hyperlink" Target="http://pubs.aic.ca/journal/cjps" TargetMode="External" /><ns0:Relationship Id="journalLink548" Type="http://schemas.openxmlformats.org/officeDocument/2006/relationships/hyperlink" Target="https://openalex.org/S34720450" TargetMode="External" /><ns0:Relationship Id="journalLink549" Type="http://schemas.openxmlformats.org/officeDocument/2006/relationships/hyperlink" Target="https://www.niic.nsc.ru/phocadownload/publications/2025/JCR_JournalImpactFactor_2026.pdf#page=300" TargetMode="External" /><ns0:Relationship Id="journalLink550" Type="http://schemas.openxmlformats.org/officeDocument/2006/relationships/hyperlink" Target="https://huaxue.hebtu.edu.cn/a/2025/09/23/A5A5BBD96F6B4410B87B6D4C43BDFD63.html" TargetMode="External" /><ns0:Relationship Id="journalLink551" Type="http://schemas.openxmlformats.org/officeDocument/2006/relationships/hyperlink" Target="https://www.tandfonline.com/toc/tpps20/current" TargetMode="External" /><ns0:Relationship Id="journalLink552" Type="http://schemas.openxmlformats.org/officeDocument/2006/relationships/hyperlink" Target="https://openalex.org/S207539002" TargetMode="External" /><ns0:Relationship Id="journalLink553" Type="http://schemas.openxmlformats.org/officeDocument/2006/relationships/hyperlink" Target="https://www.niic.nsc.ru/phocadownload/publications/2025/JCR_JournalImpactFactor_2026.pdf#page=479" TargetMode="External" /><ns0:Relationship Id="journalLink554" Type="http://schemas.openxmlformats.org/officeDocument/2006/relationships/hyperlink" Target="https://huaxue.hebtu.edu.cn/a/2025/09/23/A5A5BBD96F6B4410B87B6D4C43BDFD63.html" TargetMode="External" /><ns0:Relationship Id="journalLink555" Type="http://schemas.openxmlformats.org/officeDocument/2006/relationships/hyperlink" Target="http://ojs.tsv.fi/index.php/AFS/index" TargetMode="External" /><ns0:Relationship Id="journalLink556" Type="http://schemas.openxmlformats.org/officeDocument/2006/relationships/hyperlink" Target="https://openalex.org/S166660306" TargetMode="External" /><ns0:Relationship Id="journalLink557" Type="http://schemas.openxmlformats.org/officeDocument/2006/relationships/hyperlink" Target="https://www.niic.nsc.ru/phocadownload/publications/2025/JCR_JournalImpactFactor_2026.pdf#page=480" TargetMode="External" /><ns0:Relationship Id="journalLink558" Type="http://schemas.openxmlformats.org/officeDocument/2006/relationships/hyperlink" Target="https://huaxue.hebtu.edu.cn/a/2025/09/23/A5A5BBD96F6B4410B87B6D4C43BDFD63.html" TargetMode="External" /><ns0:Relationship Id="journalLink559" Type="http://schemas.openxmlformats.org/officeDocument/2006/relationships/hyperlink" Target="http://journals.cambridge.org/PGR" TargetMode="External" /><ns0:Relationship Id="journalLink560" Type="http://schemas.openxmlformats.org/officeDocument/2006/relationships/hyperlink" Target="https://openalex.org/S116331598" TargetMode="External" /><ns0:Relationship Id="journalLink561" Type="http://schemas.openxmlformats.org/officeDocument/2006/relationships/hyperlink" Target="https://www.niic.nsc.ru/phocadownload/publications/2025/JCR_JournalImpactFactor_2026.pdf#page=614" TargetMode="External" /><ns0:Relationship Id="journalLink562" Type="http://schemas.openxmlformats.org/officeDocument/2006/relationships/hyperlink" Target="https://huaxue.hebtu.edu.cn/a/2025/09/23/A5A5BBD96F6B4410B87B6D4C43BDFD63.html" TargetMode="External" /><ns0:Relationship Id="journalLink563" Type="http://schemas.openxmlformats.org/officeDocument/2006/relationships/hyperlink" Target="http://www.maydica.org" TargetMode="External" /><ns0:Relationship Id="journalLink564" Type="http://schemas.openxmlformats.org/officeDocument/2006/relationships/hyperlink" Target="https://openalex.org/S25143868" TargetMode="External" /><ns0:Relationship Id="journalLink565" Type="http://schemas.openxmlformats.org/officeDocument/2006/relationships/hyperlink" Target="https://www.niic.nsc.ru/phocadownload/publications/2025/JCR_JournalImpactFactor_2026.pdf" TargetMode="External" /><ns0:Relationship Id="journalLink566" Type="http://schemas.openxmlformats.org/officeDocument/2006/relationships/hyperlink" Target="https://cropj.com/" TargetMode="External" /><ns0:Relationship Id="journalLink567" Type="http://schemas.openxmlformats.org/officeDocument/2006/relationships/hyperlink" Target="https://cropj.com/" TargetMode="External" /><ns0:Relationship Id="journalLink568" Type="http://schemas.openxmlformats.org/officeDocument/2006/relationships/hyperlink" Target="https://www.niic.nsc.ru/phocadownload/publications/2025/JCR_JournalImpactFactor_2026.pdf" TargetMode="External" /><ns0:Relationship Id="journalLink569" Type="http://schemas.openxmlformats.org/officeDocument/2006/relationships/hyperlink" Target="https://www.fspublishers.org/" TargetMode="External" /><ns0:Relationship Id="journalLink570" Type="http://schemas.openxmlformats.org/officeDocument/2006/relationships/hyperlink" Target="https://www.fspublishers.org/" TargetMode="External" /><ns0:Relationship Id="journalLink571" Type="http://schemas.openxmlformats.org/officeDocument/2006/relationships/hyperlink" Target="https://www.niic.nsc.ru/phocadownload/publications/2025/JCR_JournalImpactFactor_2026.pdf" TargetMode="External" /><ns0:Relationship Id="journalLink572" Type="http://schemas.openxmlformats.org/officeDocument/2006/relationships/hyperlink" Target="https://www.jarts.info/index.php/jarts" TargetMode="External" /><ns0:Relationship Id="journalLink573" Type="http://schemas.openxmlformats.org/officeDocument/2006/relationships/hyperlink" Target="https://www.jarts.info/index.php/jarts" TargetMode="External" /><ns0:Relationship Id="journalLink574" Type="http://schemas.openxmlformats.org/officeDocument/2006/relationships/hyperlink" Target="https://www.niic.nsc.ru/phocadownload/publications/2025/JCR_JournalImpactFactor_2026.pdf#page=43" TargetMode="External" /><ns0:Relationship Id="journalLink575" Type="http://schemas.openxmlformats.org/officeDocument/2006/relationships/hyperlink" Target="https://huaxue.hebtu.edu.cn/a/2025/09/23/A5A5BBD96F6B4410B87B6D4C43BDFD63.html" TargetMode="External" /><ns0:Relationship Id="journalLink576" Type="http://schemas.openxmlformats.org/officeDocument/2006/relationships/hyperlink" Target="https://www.journals.elsevier.com/postharvest-biology-and-technology" TargetMode="External" /><ns0:Relationship Id="journalLink577" Type="http://schemas.openxmlformats.org/officeDocument/2006/relationships/hyperlink" Target="https://openalex.org/S70397842" TargetMode="External" /><ns0:Relationship Id="journalLink578" Type="http://schemas.openxmlformats.org/officeDocument/2006/relationships/hyperlink" Target="https://www.niic.nsc.ru/phocadownload/publications/2025/JCR_JournalImpactFactor_2026.pdf#page=98" TargetMode="External" /><ns0:Relationship Id="journalLink579" Type="http://schemas.openxmlformats.org/officeDocument/2006/relationships/hyperlink" Target="https://huaxue.hebtu.edu.cn/a/2025/09/23/A5A5BBD96F6B4410B87B6D4C43BDFD63.html" TargetMode="External" /><ns0:Relationship Id="journalLink580" Type="http://schemas.openxmlformats.org/officeDocument/2006/relationships/hyperlink" Target="https://www.journals.elsevier.com/scientia-horticulturae" TargetMode="External" /><ns0:Relationship Id="journalLink581" Type="http://schemas.openxmlformats.org/officeDocument/2006/relationships/hyperlink" Target="https://openalex.org/S193620188" TargetMode="External" /><ns0:Relationship Id="journalLink582" Type="http://schemas.openxmlformats.org/officeDocument/2006/relationships/hyperlink" Target="https://www.niic.nsc.ru/phocadownload/publications/2025/JCR_JournalImpactFactor_2026.pdf#page=161" TargetMode="External" /><ns0:Relationship Id="journalLink583" Type="http://schemas.openxmlformats.org/officeDocument/2006/relationships/hyperlink" Target="https://huaxue.hebtu.edu.cn/a/2025/09/23/A5A5BBD96F6B4410B87B6D4C43BDFD63.html" TargetMode="External" /><ns0:Relationship Id="journalLink584" Type="http://schemas.openxmlformats.org/officeDocument/2006/relationships/hyperlink" Target="http://www.mdpi.com/journal/horticulturae" TargetMode="External" /><ns0:Relationship Id="journalLink585" Type="http://schemas.openxmlformats.org/officeDocument/2006/relationships/hyperlink" Target="https://openalex.org/S2737241975" TargetMode="External" /><ns0:Relationship Id="journalLink586" Type="http://schemas.openxmlformats.org/officeDocument/2006/relationships/hyperlink" Target="https://www.niic.nsc.ru/phocadownload/publications/2025/JCR_JournalImpactFactor_2026.pdf#page=212" TargetMode="External" /><ns0:Relationship Id="journalLink587" Type="http://schemas.openxmlformats.org/officeDocument/2006/relationships/hyperlink" Target="https://huaxue.hebtu.edu.cn/a/2025/09/23/A5A5BBD96F6B4410B87B6D4C43BDFD63.html" TargetMode="External" /><ns0:Relationship Id="journalLink588" Type="http://schemas.openxmlformats.org/officeDocument/2006/relationships/hyperlink" Target="https://www.springer.com/journal/13580" TargetMode="External" /><ns0:Relationship Id="journalLink589" Type="http://schemas.openxmlformats.org/officeDocument/2006/relationships/hyperlink" Target="https://openalex.org/S47343090" TargetMode="External" /><ns0:Relationship Id="journalLink590" Type="http://schemas.openxmlformats.org/officeDocument/2006/relationships/hyperlink" Target="https://www.niic.nsc.ru/phocadownload/publications/2025/JCR_JournalImpactFactor_2026.pdf#page=172" TargetMode="External" /><ns0:Relationship Id="journalLink591" Type="http://schemas.openxmlformats.org/officeDocument/2006/relationships/hyperlink" Target="https://huaxue.hebtu.edu.cn/a/2025/09/23/A5A5BBD96F6B4410B87B6D4C43BDFD63.html" TargetMode="External" /><ns0:Relationship Id="journalLink592" Type="http://schemas.openxmlformats.org/officeDocument/2006/relationships/hyperlink" Target="https://onlinelibrary.wiley.com/journal/17550238" TargetMode="External" /><ns0:Relationship Id="journalLink593" Type="http://schemas.openxmlformats.org/officeDocument/2006/relationships/hyperlink" Target="https://openalex.org/S62863702" TargetMode="External" /><ns0:Relationship Id="journalLink594" Type="http://schemas.openxmlformats.org/officeDocument/2006/relationships/hyperlink" Target="https://www.niic.nsc.ru/phocadownload/publications/2025/JCR_JournalImpactFactor_2026.pdf#page=162" TargetMode="External" /><ns0:Relationship Id="journalLink595" Type="http://schemas.openxmlformats.org/officeDocument/2006/relationships/hyperlink" Target="https://huaxue.hebtu.edu.cn/a/2025/09/23/A5A5BBD96F6B4410B87B6D4C43BDFD63.html" TargetMode="External" /><ns0:Relationship Id="journalLink596" Type="http://schemas.openxmlformats.org/officeDocument/2006/relationships/hyperlink" Target="https://link.springer.com/journal/11540" TargetMode="External" /><ns0:Relationship Id="journalLink597" Type="http://schemas.openxmlformats.org/officeDocument/2006/relationships/hyperlink" Target="https://openalex.org/S52251279" TargetMode="External" /><ns0:Relationship Id="journalLink598" Type="http://schemas.openxmlformats.org/officeDocument/2006/relationships/hyperlink" Target="https://www.niic.nsc.ru/phocadownload/publications/2025/JCR_JournalImpactFactor_2026.pdf#page=288" TargetMode="External" /><ns0:Relationship Id="journalLink599" Type="http://schemas.openxmlformats.org/officeDocument/2006/relationships/hyperlink" Target="https://huaxue.hebtu.edu.cn/a/2025/09/23/A5A5BBD96F6B4410B87B6D4C43BDFD63.html" TargetMode="External" /><ns0:Relationship Id="journalLink600" Type="http://schemas.openxmlformats.org/officeDocument/2006/relationships/hyperlink" Target="http://www.ajevonline.org/" TargetMode="External" /><ns0:Relationship Id="journalLink601" Type="http://schemas.openxmlformats.org/officeDocument/2006/relationships/hyperlink" Target="https://openalex.org/S14903550" TargetMode="External" /><ns0:Relationship Id="journalLink602" Type="http://schemas.openxmlformats.org/officeDocument/2006/relationships/hyperlink" Target="https://www.niic.nsc.ru/phocadownload/publications/2025/JCR_JournalImpactFactor_2026.pdf#page=361" TargetMode="External" /><ns0:Relationship Id="journalLink603" Type="http://schemas.openxmlformats.org/officeDocument/2006/relationships/hyperlink" Target="https://huaxue.hebtu.edu.cn/a/2025/09/23/A5A5BBD96F6B4410B87B6D4C43BDFD63.html" TargetMode="External" /><ns0:Relationship Id="journalLink604" Type="http://schemas.openxmlformats.org/officeDocument/2006/relationships/hyperlink" Target="http://www.scielo.br/sa" TargetMode="External" /><ns0:Relationship Id="journalLink605" Type="http://schemas.openxmlformats.org/officeDocument/2006/relationships/hyperlink" Target="https://openalex.org/S44148602" TargetMode="External" /><ns0:Relationship Id="journalLink606" Type="http://schemas.openxmlformats.org/officeDocument/2006/relationships/hyperlink" Target="https://www.niic.nsc.ru/phocadownload/publications/2025/JCR_JournalImpactFactor_2026.pdf#page=287" TargetMode="External" /><ns0:Relationship Id="journalLink607" Type="http://schemas.openxmlformats.org/officeDocument/2006/relationships/hyperlink" Target="https://huaxue.hebtu.edu.cn/a/2025/09/23/A5A5BBD96F6B4410B87B6D4C43BDFD63.html" TargetMode="External" /><ns0:Relationship Id="journalLink608" Type="http://schemas.openxmlformats.org/officeDocument/2006/relationships/hyperlink" Target="https://www.tandfonline.com/toc/thsb19/current" TargetMode="External" /><ns0:Relationship Id="journalLink609" Type="http://schemas.openxmlformats.org/officeDocument/2006/relationships/hyperlink" Target="https://openalex.org/S55420515" TargetMode="External" /><ns0:Relationship Id="journalLink610" Type="http://schemas.openxmlformats.org/officeDocument/2006/relationships/hyperlink" Target="https://www.niic.nsc.ru/phocadownload/publications/2025/JCR_JournalImpactFactor_2026.pdf#page=391" TargetMode="External" /><ns0:Relationship Id="journalLink611" Type="http://schemas.openxmlformats.org/officeDocument/2006/relationships/hyperlink" Target="https://huaxue.hebtu.edu.cn/a/2025/09/23/A5A5BBD96F6B4410B87B6D4C43BDFD63.html" TargetMode="External" /><ns0:Relationship Id="journalLink612" Type="http://schemas.openxmlformats.org/officeDocument/2006/relationships/hyperlink" Target="https://link.springer.com/journal/12230" TargetMode="External" /><ns0:Relationship Id="journalLink613" Type="http://schemas.openxmlformats.org/officeDocument/2006/relationships/hyperlink" Target="https://openalex.org/S130908126" TargetMode="External" /><ns0:Relationship Id="journalLink614" Type="http://schemas.openxmlformats.org/officeDocument/2006/relationships/hyperlink" Target="https://www.niic.nsc.ru/phocadownload/publications/2025/JCR_JournalImpactFactor_2026.pdf#page=329" TargetMode="External" /><ns0:Relationship Id="journalLink615" Type="http://schemas.openxmlformats.org/officeDocument/2006/relationships/hyperlink" Target="https://huaxue.hebtu.edu.cn/a/2025/09/23/A5A5BBD96F6B4410B87B6D4C43BDFD63.html" TargetMode="External" /><ns0:Relationship Id="journalLink616" Type="http://schemas.openxmlformats.org/officeDocument/2006/relationships/hyperlink" Target="https://journals.ashs.org/hortsci/view/journals/hortsci/hortsci-overview.xml" TargetMode="External" /><ns0:Relationship Id="journalLink617" Type="http://schemas.openxmlformats.org/officeDocument/2006/relationships/hyperlink" Target="https://openalex.org/S183652945" TargetMode="External" /><ns0:Relationship Id="journalLink618" Type="http://schemas.openxmlformats.org/officeDocument/2006/relationships/hyperlink" Target="https://www.niic.nsc.ru/phocadownload/publications/2025/JCR_JournalImpactFactor_2026.pdf#page=342" TargetMode="External" /><ns0:Relationship Id="journalLink619" Type="http://schemas.openxmlformats.org/officeDocument/2006/relationships/hyperlink" Target="https://huaxue.hebtu.edu.cn/a/2025/09/23/A5A5BBD96F6B4410B87B6D4C43BDFD63.html" TargetMode="External" /><ns0:Relationship Id="journalLink620" Type="http://schemas.openxmlformats.org/officeDocument/2006/relationships/hyperlink" Target="http://www.scielo.br/brag" TargetMode="External" /><ns0:Relationship Id="journalLink621" Type="http://schemas.openxmlformats.org/officeDocument/2006/relationships/hyperlink" Target="https://openalex.org/S35664357" TargetMode="External" /><ns0:Relationship Id="journalLink622" Type="http://schemas.openxmlformats.org/officeDocument/2006/relationships/hyperlink" Target="https://www.niic.nsc.ru/phocadownload/publications/2025/JCR_JournalImpactFactor_2026.pdf#page=407" TargetMode="External" /><ns0:Relationship Id="journalLink623" Type="http://schemas.openxmlformats.org/officeDocument/2006/relationships/hyperlink" Target="https://huaxue.hebtu.edu.cn/a/2025/09/23/A5A5BBD96F6B4410B87B6D4C43BDFD63.html" TargetMode="External" /><ns0:Relationship Id="journalLink624" Type="http://schemas.openxmlformats.org/officeDocument/2006/relationships/hyperlink" Target="https://journals.ashs.org/horttech/view/journals/horttech/horttech-overview.xml" TargetMode="External" /><ns0:Relationship Id="journalLink625" Type="http://schemas.openxmlformats.org/officeDocument/2006/relationships/hyperlink" Target="https://openalex.org/S204691207" TargetMode="External" /><ns0:Relationship Id="journalLink626" Type="http://schemas.openxmlformats.org/officeDocument/2006/relationships/hyperlink" Target="https://www.niic.nsc.ru/phocadownload/publications/2025/JCR_JournalImpactFactor_2026.pdf#page=392" TargetMode="External" /><ns0:Relationship Id="journalLink627" Type="http://schemas.openxmlformats.org/officeDocument/2006/relationships/hyperlink" Target="https://huaxue.hebtu.edu.cn/a/2025/09/23/A5A5BBD96F6B4410B87B6D4C43BDFD63.html" TargetMode="External" /><ns0:Relationship Id="journalLink628" Type="http://schemas.openxmlformats.org/officeDocument/2006/relationships/hyperlink" Target="http://journal.ashspublications.org/archive" TargetMode="External" /><ns0:Relationship Id="journalLink629" Type="http://schemas.openxmlformats.org/officeDocument/2006/relationships/hyperlink" Target="https://openalex.org/S2764541395" TargetMode="External" /><ns0:Relationship Id="journalLink630" Type="http://schemas.openxmlformats.org/officeDocument/2006/relationships/hyperlink" Target="https://www.niic.nsc.ru/phocadownload/publications/2025/JCR_JournalImpactFactor_2026.pdf#page=464" TargetMode="External" /><ns0:Relationship Id="journalLink631" Type="http://schemas.openxmlformats.org/officeDocument/2006/relationships/hyperlink" Target="https://huaxue.hebtu.edu.cn/a/2025/09/23/A5A5BBD96F6B4410B87B6D4C43BDFD63.html" TargetMode="External" /><ns0:Relationship Id="journalLink632" Type="http://schemas.openxmlformats.org/officeDocument/2006/relationships/hyperlink" Target="https://ornamentalhorticulture.emnuvens.com.br/rbho/index" TargetMode="External" /><ns0:Relationship Id="journalLink633" Type="http://schemas.openxmlformats.org/officeDocument/2006/relationships/hyperlink" Target="https://openalex.org/S2737511393" TargetMode="External" /><ns0:Relationship Id="journalLink634" Type="http://schemas.openxmlformats.org/officeDocument/2006/relationships/hyperlink" Target="https://www.niic.nsc.ru/phocadownload/publications/2025/JCR_JournalImpactFactor_2026.pdf#page=537" TargetMode="External" /><ns0:Relationship Id="journalLink635" Type="http://schemas.openxmlformats.org/officeDocument/2006/relationships/hyperlink" Target="https://huaxue.hebtu.edu.cn/a/2025/09/23/A5A5BBD96F6B4410B87B6D4C43BDFD63.html" TargetMode="External" /><ns0:Relationship Id="journalLink636" Type="http://schemas.openxmlformats.org/officeDocument/2006/relationships/hyperlink" Target="https://ojs.openagrar.de/index.php/VITIS" TargetMode="External" /><ns0:Relationship Id="journalLink637" Type="http://schemas.openxmlformats.org/officeDocument/2006/relationships/hyperlink" Target="https://openalex.org/S109093769" TargetMode="External" /><ns0:Relationship Id="journalLink638" Type="http://schemas.openxmlformats.org/officeDocument/2006/relationships/hyperlink" Target="https://www.niic.nsc.ru/phocadownload/publications/2025/JCR_JournalImpactFactor_2026.pdf#page=558" TargetMode="External" /><ns0:Relationship Id="journalLink639" Type="http://schemas.openxmlformats.org/officeDocument/2006/relationships/hyperlink" Target="https://huaxue.hebtu.edu.cn/a/2025/09/23/A5A5BBD96F6B4410B87B6D4C43BDFD63.html" TargetMode="External" /><ns0:Relationship Id="journalLink640" Type="http://schemas.openxmlformats.org/officeDocument/2006/relationships/hyperlink" Target="https://www.ishs.org/ejhs" TargetMode="External" /><ns0:Relationship Id="journalLink641" Type="http://schemas.openxmlformats.org/officeDocument/2006/relationships/hyperlink" Target="https://openalex.org/S170604008" TargetMode="External" /><ns0:Relationship Id="journalLink642" Type="http://schemas.openxmlformats.org/officeDocument/2006/relationships/hyperlink" Target="https://www.niic.nsc.ru/phocadownload/publications/2025/JCR_JournalImpactFactor_2026.pdf" TargetMode="External" /><ns0:Relationship Id="journalLink643" Type="http://schemas.openxmlformats.org/officeDocument/2006/relationships/hyperlink" Target="https://huaxue.hebtu.edu.cn/a/2025/09/23/A5A5BBD96F6B4410B87B6D4C43BDFD63.html" TargetMode="External" /><ns0:Relationship Id="journalLink644" Type="http://schemas.openxmlformats.org/officeDocument/2006/relationships/hyperlink" Target="http://www.edpsciences.com/docinfos/FRUITS" TargetMode="External" /><ns0:Relationship Id="journalLink645" Type="http://schemas.openxmlformats.org/officeDocument/2006/relationships/hyperlink" Target="https://openalex.org/S100664636" TargetMode="External" /><ns0:Relationship Id="journalLink646" Type="http://schemas.openxmlformats.org/officeDocument/2006/relationships/hyperlink" Target="https://www.niic.nsc.ru/phocadownload/publications/2025/JCR_JournalImpactFactor_2026.pdf#page=9" TargetMode="External" /><ns0:Relationship Id="journalLink647" Type="http://schemas.openxmlformats.org/officeDocument/2006/relationships/hyperlink" Target="https://huaxue.hebtu.edu.cn/a/2025/09/23/A5A5BBD96F6B4410B87B6D4C43BDFD63.html" TargetMode="External" /><ns0:Relationship Id="journalLink648" Type="http://schemas.openxmlformats.org/officeDocument/2006/relationships/hyperlink" Target="http://www.annualreviews.org/journal/ento" TargetMode="External" /><ns0:Relationship Id="journalLink649" Type="http://schemas.openxmlformats.org/officeDocument/2006/relationships/hyperlink" Target="https://openalex.org/S92576693" TargetMode="External" /><ns0:Relationship Id="journalLink650" Type="http://schemas.openxmlformats.org/officeDocument/2006/relationships/hyperlink" Target="https://www.niic.nsc.ru/phocadownload/publications/2025/JCR_JournalImpactFactor_2026.pdf#page=14" TargetMode="External" /><ns0:Relationship Id="journalLink651" Type="http://schemas.openxmlformats.org/officeDocument/2006/relationships/hyperlink" Target="https://huaxue.hebtu.edu.cn/a/2025/09/23/A5A5BBD96F6B4410B87B6D4C43BDFD63.html" TargetMode="External" /><ns0:Relationship Id="journalLink652" Type="http://schemas.openxmlformats.org/officeDocument/2006/relationships/hyperlink" Target="http://www.annualreviews.org/loi/phyto" TargetMode="External" /><ns0:Relationship Id="journalLink653" Type="http://schemas.openxmlformats.org/officeDocument/2006/relationships/hyperlink" Target="https://openalex.org/S165675472" TargetMode="External" /><ns0:Relationship Id="journalLink654" Type="http://schemas.openxmlformats.org/officeDocument/2006/relationships/hyperlink" Target="https://www.niic.nsc.ru/phocadownload/publications/2025/JCR_JournalImpactFactor_2026.pdf#page=85" TargetMode="External" /><ns0:Relationship Id="journalLink655" Type="http://schemas.openxmlformats.org/officeDocument/2006/relationships/hyperlink" Target="https://huaxue.hebtu.edu.cn/a/2025/09/23/A5A5BBD96F6B4410B87B6D4C43BDFD63.html" TargetMode="External" /><ns0:Relationship Id="journalLink656" Type="http://schemas.openxmlformats.org/officeDocument/2006/relationships/hyperlink" Target="http://www.blackwellpublishing.com/journal.asp?ref=1464-6722&amp;site=1" TargetMode="External" /><ns0:Relationship Id="journalLink657" Type="http://schemas.openxmlformats.org/officeDocument/2006/relationships/hyperlink" Target="https://openalex.org/S207933444" TargetMode="External" /><ns0:Relationship Id="journalLink658" Type="http://schemas.openxmlformats.org/officeDocument/2006/relationships/hyperlink" Target="https://www.niic.nsc.ru/phocadownload/publications/2025/JCR_JournalImpactFactor_2026.pdf#page=110" TargetMode="External" /><ns0:Relationship Id="journalLink659" Type="http://schemas.openxmlformats.org/officeDocument/2006/relationships/hyperlink" Target="https://huaxue.hebtu.edu.cn/a/2025/09/23/A5A5BBD96F6B4410B87B6D4C43BDFD63.html" TargetMode="External" /><ns0:Relationship Id="journalLink660" Type="http://schemas.openxmlformats.org/officeDocument/2006/relationships/hyperlink" Target="https://onlinelibrary.wiley.com/journal/13653113" TargetMode="External" /><ns0:Relationship Id="journalLink661" Type="http://schemas.openxmlformats.org/officeDocument/2006/relationships/hyperlink" Target="https://openalex.org/S40752542" TargetMode="External" /><ns0:Relationship Id="journalLink662" Type="http://schemas.openxmlformats.org/officeDocument/2006/relationships/hyperlink" Target="https://www.niic.nsc.ru/phocadownload/publications/2025/JCR_JournalImpactFactor_2026.pdf#page=105" TargetMode="External" /><ns0:Relationship Id="journalLink663" Type="http://schemas.openxmlformats.org/officeDocument/2006/relationships/hyperlink" Target="https://huaxue.hebtu.edu.cn/a/2025/09/23/A5A5BBD96F6B4410B87B6D4C43BDFD63.html" TargetMode="External" /><ns0:Relationship Id="journalLink664" Type="http://schemas.openxmlformats.org/officeDocument/2006/relationships/hyperlink" Target="https://link.springer.com/journal/10340" TargetMode="External" /><ns0:Relationship Id="journalLink665" Type="http://schemas.openxmlformats.org/officeDocument/2006/relationships/hyperlink" Target="https://openalex.org/S34015784" TargetMode="External" /><ns0:Relationship Id="journalLink666" Type="http://schemas.openxmlformats.org/officeDocument/2006/relationships/hyperlink" Target="https://www.niic.nsc.ru/phocadownload/publications/2025/JCR_JournalImpactFactor_2026.pdf#page=91" TargetMode="External" /><ns0:Relationship Id="journalLink667" Type="http://schemas.openxmlformats.org/officeDocument/2006/relationships/hyperlink" Target="https://huaxue.hebtu.edu.cn/a/2025/09/23/A5A5BBD96F6B4410B87B6D4C43BDFD63.html" TargetMode="External" /><ns0:Relationship Id="journalLink668" Type="http://schemas.openxmlformats.org/officeDocument/2006/relationships/hyperlink" Target="https://www.journals.elsevier.com/pesticide-biochemistry-and-physiology" TargetMode="External" /><ns0:Relationship Id="journalLink669" Type="http://schemas.openxmlformats.org/officeDocument/2006/relationships/hyperlink" Target="https://openalex.org/S9324707" TargetMode="External" /><ns0:Relationship Id="journalLink670" Type="http://schemas.openxmlformats.org/officeDocument/2006/relationships/hyperlink" Target="https://www.niic.nsc.ru/phocadownload/publications/2025/JCR_JournalImpactFactor_2026.pdf#page=114" TargetMode="External" /><ns0:Relationship Id="journalLink671" Type="http://schemas.openxmlformats.org/officeDocument/2006/relationships/hyperlink" Target="https://huaxue.hebtu.edu.cn/a/2025/09/23/A5A5BBD96F6B4410B87B6D4C43BDFD63.html" TargetMode="External" /><ns0:Relationship Id="journalLink672" Type="http://schemas.openxmlformats.org/officeDocument/2006/relationships/hyperlink" Target="https://onlinelibrary.wiley.com/journal/15264998" TargetMode="External" /><ns0:Relationship Id="journalLink673" Type="http://schemas.openxmlformats.org/officeDocument/2006/relationships/hyperlink" Target="https://openalex.org/S31777576" TargetMode="External" /><ns0:Relationship Id="journalLink674" Type="http://schemas.openxmlformats.org/officeDocument/2006/relationships/hyperlink" Target="https://www.niic.nsc.ru/phocadownload/publications/2025/JCR_JournalImpactFactor_2026.pdf#page=110" TargetMode="External" /><ns0:Relationship Id="journalLink675" Type="http://schemas.openxmlformats.org/officeDocument/2006/relationships/hyperlink" Target="https://huaxue.hebtu.edu.cn/a/2025/09/23/A5A5BBD96F6B4410B87B6D4C43BDFD63.html" TargetMode="External" /><ns0:Relationship Id="journalLink676" Type="http://schemas.openxmlformats.org/officeDocument/2006/relationships/hyperlink" Target="https://www.journals.elsevier.com/insect-biochemistry-and-molecular-biology" TargetMode="External" /><ns0:Relationship Id="journalLink677" Type="http://schemas.openxmlformats.org/officeDocument/2006/relationships/hyperlink" Target="https://openalex.org/S130917594" TargetMode="External" /><ns0:Relationship Id="journalLink678" Type="http://schemas.openxmlformats.org/officeDocument/2006/relationships/hyperlink" Target="https://www.niic.nsc.ru/phocadownload/publications/2025/JCR_JournalImpactFactor_2026.pdf#page=140" TargetMode="External" /><ns0:Relationship Id="journalLink679" Type="http://schemas.openxmlformats.org/officeDocument/2006/relationships/hyperlink" Target="https://huaxue.hebtu.edu.cn/a/2025/09/23/A5A5BBD96F6B4410B87B6D4C43BDFD63.html" TargetMode="External" /><ns0:Relationship Id="journalLink680" Type="http://schemas.openxmlformats.org/officeDocument/2006/relationships/hyperlink" Target="https://onlinelibrary.wiley.com/journal/17447917" TargetMode="External" /><ns0:Relationship Id="journalLink681" Type="http://schemas.openxmlformats.org/officeDocument/2006/relationships/hyperlink" Target="https://openalex.org/S77581241" TargetMode="External" /><ns0:Relationship Id="journalLink682" Type="http://schemas.openxmlformats.org/officeDocument/2006/relationships/hyperlink" Target="https://www.niic.nsc.ru/phocadownload/publications/2025/JCR_JournalImpactFactor_2026.pdf#page=215" TargetMode="External" /><ns0:Relationship Id="journalLink683" Type="http://schemas.openxmlformats.org/officeDocument/2006/relationships/hyperlink" Target="https://huaxue.hebtu.edu.cn/a/2025/09/23/A5A5BBD96F6B4410B87B6D4C43BDFD63.html" TargetMode="External" /><ns0:Relationship Id="journalLink684" Type="http://schemas.openxmlformats.org/officeDocument/2006/relationships/hyperlink" Target="https://apsjournals.apsnet.org/journal/pdis" TargetMode="External" /><ns0:Relationship Id="journalLink685" Type="http://schemas.openxmlformats.org/officeDocument/2006/relationships/hyperlink" Target="https://apsjournals.apsnet.org/journal/pdis" TargetMode="External" /><ns0:Relationship Id="journalLink686" Type="http://schemas.openxmlformats.org/officeDocument/2006/relationships/hyperlink" Target="https://www.niic.nsc.ru/phocadownload/publications/2025/JCR_JournalImpactFactor_2026.pdf#page=124" TargetMode="External" /><ns0:Relationship Id="journalLink687" Type="http://schemas.openxmlformats.org/officeDocument/2006/relationships/hyperlink" Target="https://huaxue.hebtu.edu.cn/a/2025/09/23/A5A5BBD96F6B4410B87B6D4C43BDFD63.html" TargetMode="External" /><ns0:Relationship Id="journalLink688" Type="http://schemas.openxmlformats.org/officeDocument/2006/relationships/hyperlink" Target="https://www.journals.elsevier.com/biological-control" TargetMode="External" /><ns0:Relationship Id="journalLink689" Type="http://schemas.openxmlformats.org/officeDocument/2006/relationships/hyperlink" Target="https://openalex.org/S161676133" TargetMode="External" /><ns0:Relationship Id="journalLink690" Type="http://schemas.openxmlformats.org/officeDocument/2006/relationships/hyperlink" Target="https://www.niic.nsc.ru/phocadownload/publications/2025/JCR_JournalImpactFactor_2026.pdf#page=162" TargetMode="External" /><ns0:Relationship Id="journalLink691" Type="http://schemas.openxmlformats.org/officeDocument/2006/relationships/hyperlink" Target="https://huaxue.hebtu.edu.cn/a/2025/09/23/A5A5BBD96F6B4410B87B6D4C43BDFD63.html" TargetMode="External" /><ns0:Relationship Id="journalLink692" Type="http://schemas.openxmlformats.org/officeDocument/2006/relationships/hyperlink" Target="http://apsjournals.apsnet.org/loi/phyto" TargetMode="External" /><ns0:Relationship Id="journalLink693" Type="http://schemas.openxmlformats.org/officeDocument/2006/relationships/hyperlink" Target="https://openalex.org/S85201822" TargetMode="External" /><ns0:Relationship Id="journalLink694" Type="http://schemas.openxmlformats.org/officeDocument/2006/relationships/hyperlink" Target="https://www.niic.nsc.ru/phocadownload/publications/2025/JCR_JournalImpactFactor_2026.pdf#page=192" TargetMode="External" /><ns0:Relationship Id="journalLink695" Type="http://schemas.openxmlformats.org/officeDocument/2006/relationships/hyperlink" Target="https://huaxue.hebtu.edu.cn/a/2025/09/23/A5A5BBD96F6B4410B87B6D4C43BDFD63.html" TargetMode="External" /><ns0:Relationship Id="journalLink696" Type="http://schemas.openxmlformats.org/officeDocument/2006/relationships/hyperlink" Target="http://www.mdpi.com/journal/insects/" TargetMode="External" /><ns0:Relationship Id="journalLink697" Type="http://schemas.openxmlformats.org/officeDocument/2006/relationships/hyperlink" Target="https://openalex.org/S28057480" TargetMode="External" /><ns0:Relationship Id="journalLink698" Type="http://schemas.openxmlformats.org/officeDocument/2006/relationships/hyperlink" Target="https://www.niic.nsc.ru/phocadownload/publications/2025/JCR_JournalImpactFactor_2026.pdf#page=241" TargetMode="External" /><ns0:Relationship Id="journalLink699" Type="http://schemas.openxmlformats.org/officeDocument/2006/relationships/hyperlink" Target="https://huaxue.hebtu.edu.cn/a/2025/09/23/A5A5BBD96F6B4410B87B6D4C43BDFD63.html" TargetMode="External" /><ns0:Relationship Id="journalLink700" Type="http://schemas.openxmlformats.org/officeDocument/2006/relationships/hyperlink" Target="https://www.springer.com/journal/10526" TargetMode="External" /><ns0:Relationship Id="journalLink701" Type="http://schemas.openxmlformats.org/officeDocument/2006/relationships/hyperlink" Target="https://openalex.org/S141531615" TargetMode="External" /><ns0:Relationship Id="journalLink702" Type="http://schemas.openxmlformats.org/officeDocument/2006/relationships/hyperlink" Target="https://www.niic.nsc.ru/phocadownload/publications/2025/JCR_JournalImpactFactor_2026.pdf#page=170" TargetMode="External" /><ns0:Relationship Id="journalLink703" Type="http://schemas.openxmlformats.org/officeDocument/2006/relationships/hyperlink" Target="https://huaxue.hebtu.edu.cn/a/2025/09/23/A5A5BBD96F6B4410B87B6D4C43BDFD63.html" TargetMode="External" /><ns0:Relationship Id="journalLink704" Type="http://schemas.openxmlformats.org/officeDocument/2006/relationships/hyperlink" Target="https://www.journals.elsevier.com/crop-protection" TargetMode="External" /><ns0:Relationship Id="journalLink705" Type="http://schemas.openxmlformats.org/officeDocument/2006/relationships/hyperlink" Target="https://openalex.org/S98430239" TargetMode="External" /><ns0:Relationship Id="journalLink706" Type="http://schemas.openxmlformats.org/officeDocument/2006/relationships/hyperlink" Target="https://www.niic.nsc.ru/phocadownload/publications/2025/JCR_JournalImpactFactor_2026.pdf#page=241" TargetMode="External" /><ns0:Relationship Id="journalLink707" Type="http://schemas.openxmlformats.org/officeDocument/2006/relationships/hyperlink" Target="https://huaxue.hebtu.edu.cn/a/2025/09/23/A5A5BBD96F6B4410B87B6D4C43BDFD63.html" TargetMode="External" /><ns0:Relationship Id="journalLink708" Type="http://schemas.openxmlformats.org/officeDocument/2006/relationships/hyperlink" Target="https://academic.oup.com/jee" TargetMode="External" /><ns0:Relationship Id="journalLink709" Type="http://schemas.openxmlformats.org/officeDocument/2006/relationships/hyperlink" Target="https://openalex.org/S146976949" TargetMode="External" /><ns0:Relationship Id="journalLink710" Type="http://schemas.openxmlformats.org/officeDocument/2006/relationships/hyperlink" Target="https://www.niic.nsc.ru/phocadownload/publications/2025/JCR_JournalImpactFactor_2026.pdf#page=230" TargetMode="External" /><ns0:Relationship Id="journalLink711" Type="http://schemas.openxmlformats.org/officeDocument/2006/relationships/hyperlink" Target="https://huaxue.hebtu.edu.cn/a/2025/09/23/A5A5BBD96F6B4410B87B6D4C43BDFD63.html" TargetMode="External" /><ns0:Relationship Id="journalLink712" Type="http://schemas.openxmlformats.org/officeDocument/2006/relationships/hyperlink" Target="https://www.journals.elsevier.com/journal-of-insect-physiology" TargetMode="External" /><ns0:Relationship Id="journalLink713" Type="http://schemas.openxmlformats.org/officeDocument/2006/relationships/hyperlink" Target="https://openalex.org/S98276404" TargetMode="External" /><ns0:Relationship Id="journalLink714" Type="http://schemas.openxmlformats.org/officeDocument/2006/relationships/hyperlink" Target="https://www.niic.nsc.ru/phocadownload/publications/2025/JCR_JournalImpactFactor_2026.pdf#page=281" TargetMode="External" /><ns0:Relationship Id="journalLink715" Type="http://schemas.openxmlformats.org/officeDocument/2006/relationships/hyperlink" Target="https://huaxue.hebtu.edu.cn/a/2025/09/23/A5A5BBD96F6B4410B87B6D4C43BDFD63.html" TargetMode="External" /><ns0:Relationship Id="journalLink716" Type="http://schemas.openxmlformats.org/officeDocument/2006/relationships/hyperlink" Target="http://www.springer.com/life+sciences/entomology/journal/10493" TargetMode="External" /><ns0:Relationship Id="journalLink717" Type="http://schemas.openxmlformats.org/officeDocument/2006/relationships/hyperlink" Target="https://openalex.org/S150156781" TargetMode="External" /><ns0:Relationship Id="journalLink718" Type="http://schemas.openxmlformats.org/officeDocument/2006/relationships/hyperlink" Target="https://www.niic.nsc.ru/phocadownload/publications/2025/JCR_JournalImpactFactor_2026.pdf#page=131" TargetMode="External" /><ns0:Relationship Id="journalLink719" Type="http://schemas.openxmlformats.org/officeDocument/2006/relationships/hyperlink" Target="https://huaxue.hebtu.edu.cn/a/2025/09/23/A5A5BBD96F6B4410B87B6D4C43BDFD63.html" TargetMode="External" /><ns0:Relationship Id="journalLink720" Type="http://schemas.openxmlformats.org/officeDocument/2006/relationships/hyperlink" Target="https://apsjournals.apsnet.org/journal/mpmi" TargetMode="External" /><ns0:Relationship Id="journalLink721" Type="http://schemas.openxmlformats.org/officeDocument/2006/relationships/hyperlink" Target="https://openalex.org/S88768767" TargetMode="External" /><ns0:Relationship Id="journalLink722" Type="http://schemas.openxmlformats.org/officeDocument/2006/relationships/hyperlink" Target="https://www.niic.nsc.ru/phocadownload/publications/2025/JCR_JournalImpactFactor_2026.pdf#page=175" TargetMode="External" /><ns0:Relationship Id="journalLink723" Type="http://schemas.openxmlformats.org/officeDocument/2006/relationships/hyperlink" Target="https://huaxue.hebtu.edu.cn/a/2025/09/23/A5A5BBD96F6B4410B87B6D4C43BDFD63.html" TargetMode="External" /><ns0:Relationship Id="journalLink724" Type="http://schemas.openxmlformats.org/officeDocument/2006/relationships/hyperlink" Target="https://academic.oup.com/jipm" TargetMode="External" /><ns0:Relationship Id="journalLink725" Type="http://schemas.openxmlformats.org/officeDocument/2006/relationships/hyperlink" Target="https://openalex.org/S2734996914" TargetMode="External" /><ns0:Relationship Id="journalLink726" Type="http://schemas.openxmlformats.org/officeDocument/2006/relationships/hyperlink" Target="https://www.niic.nsc.ru/phocadownload/publications/2025/JCR_JournalImpactFactor_2026.pdf#page=215" TargetMode="External" /><ns0:Relationship Id="journalLink727" Type="http://schemas.openxmlformats.org/officeDocument/2006/relationships/hyperlink" Target="https://huaxue.hebtu.edu.cn/a/2025/09/23/A5A5BBD96F6B4410B87B6D4C43BDFD63.html" TargetMode="External" /><ns0:Relationship Id="journalLink728" Type="http://schemas.openxmlformats.org/officeDocument/2006/relationships/hyperlink" Target="http://www.blackwellpublishing.com/journal.asp?ref=0032-0862" TargetMode="External" /><ns0:Relationship Id="journalLink729" Type="http://schemas.openxmlformats.org/officeDocument/2006/relationships/hyperlink" Target="https://openalex.org/S63107127" TargetMode="External" /><ns0:Relationship Id="journalLink730" Type="http://schemas.openxmlformats.org/officeDocument/2006/relationships/hyperlink" Target="https://www.niic.nsc.ru/phocadownload/publications/2025/JCR_JournalImpactFactor_2026.pdf#page=170" TargetMode="External" /><ns0:Relationship Id="journalLink731" Type="http://schemas.openxmlformats.org/officeDocument/2006/relationships/hyperlink" Target="https://huaxue.hebtu.edu.cn/a/2025/09/23/A5A5BBD96F6B4410B87B6D4C43BDFD63.html" TargetMode="External" /><ns0:Relationship Id="journalLink732" Type="http://schemas.openxmlformats.org/officeDocument/2006/relationships/hyperlink" Target="https://onlinelibrary.wiley.com/journal/13652583" TargetMode="External" /><ns0:Relationship Id="journalLink733" Type="http://schemas.openxmlformats.org/officeDocument/2006/relationships/hyperlink" Target="https://openalex.org/S137961447" TargetMode="External" /><ns0:Relationship Id="journalLink734" Type="http://schemas.openxmlformats.org/officeDocument/2006/relationships/hyperlink" Target="https://www.niic.nsc.ru/phocadownload/publications/2025/JCR_JournalImpactFactor_2026.pdf#page=338" TargetMode="External" /><ns0:Relationship Id="journalLink735" Type="http://schemas.openxmlformats.org/officeDocument/2006/relationships/hyperlink" Target="https://huaxue.hebtu.edu.cn/a/2025/09/23/A5A5BBD96F6B4410B87B6D4C43BDFD63.html" TargetMode="External" /><ns0:Relationship Id="journalLink736" Type="http://schemas.openxmlformats.org/officeDocument/2006/relationships/hyperlink" Target="https://onlinelibrary.wiley.com/journal/14390418" TargetMode="External" /><ns0:Relationship Id="journalLink737" Type="http://schemas.openxmlformats.org/officeDocument/2006/relationships/hyperlink" Target="https://openalex.org/S87930725" TargetMode="External" /><ns0:Relationship Id="journalLink738" Type="http://schemas.openxmlformats.org/officeDocument/2006/relationships/hyperlink" Target="https://www.niic.nsc.ru/phocadownload/publications/2025/JCR_JournalImpactFactor_2026.pdf#page=267" TargetMode="External" /><ns0:Relationship Id="journalLink739" Type="http://schemas.openxmlformats.org/officeDocument/2006/relationships/hyperlink" Target="https://huaxue.hebtu.edu.cn/a/2025/09/23/A5A5BBD96F6B4410B87B6D4C43BDFD63.html" TargetMode="External" /><ns0:Relationship Id="journalLink740" Type="http://schemas.openxmlformats.org/officeDocument/2006/relationships/hyperlink" Target="https://onlinelibrary.wiley.com/journal/13652915" TargetMode="External" /><ns0:Relationship Id="journalLink741" Type="http://schemas.openxmlformats.org/officeDocument/2006/relationships/hyperlink" Target="https://openalex.org/S207638786" TargetMode="External" /><ns0:Relationship Id="journalLink742" Type="http://schemas.openxmlformats.org/officeDocument/2006/relationships/hyperlink" Target="https://www.niic.nsc.ru/phocadownload/publications/2025/JCR_JournalImpactFactor_2026.pdf#page=353" TargetMode="External" /><ns0:Relationship Id="journalLink743" Type="http://schemas.openxmlformats.org/officeDocument/2006/relationships/hyperlink" Target="https://huaxue.hebtu.edu.cn/a/2025/09/23/A5A5BBD96F6B4410B87B6D4C43BDFD63.html" TargetMode="External" /><ns0:Relationship Id="journalLink744" Type="http://schemas.openxmlformats.org/officeDocument/2006/relationships/hyperlink" Target="https://onlinelibrary.wiley.com/journal/14619563" TargetMode="External" /><ns0:Relationship Id="journalLink745" Type="http://schemas.openxmlformats.org/officeDocument/2006/relationships/hyperlink" Target="https://openalex.org/S27810548" TargetMode="External" /><ns0:Relationship Id="journalLink746" Type="http://schemas.openxmlformats.org/officeDocument/2006/relationships/hyperlink" Target="https://www.niic.nsc.ru/phocadownload/publications/2025/JCR_JournalImpactFactor_2026.pdf#page=323" TargetMode="External" /><ns0:Relationship Id="journalLink747" Type="http://schemas.openxmlformats.org/officeDocument/2006/relationships/hyperlink" Target="https://huaxue.hebtu.edu.cn/a/2025/09/23/A5A5BBD96F6B4410B87B6D4C43BDFD63.html" TargetMode="External" /><ns0:Relationship Id="journalLink748" Type="http://schemas.openxmlformats.org/officeDocument/2006/relationships/hyperlink" Target="https://onlinelibrary.wiley.com/journal/15707458" TargetMode="External" /><ns0:Relationship Id="journalLink749" Type="http://schemas.openxmlformats.org/officeDocument/2006/relationships/hyperlink" Target="https://openalex.org/S26596028" TargetMode="External" /><ns0:Relationship Id="journalLink750" Type="http://schemas.openxmlformats.org/officeDocument/2006/relationships/hyperlink" Target="https://www.niic.nsc.ru/phocadownload/publications/2025/JCR_JournalImpactFactor_2026.pdf#page=353" TargetMode="External" /><ns0:Relationship Id="journalLink751" Type="http://schemas.openxmlformats.org/officeDocument/2006/relationships/hyperlink" Target="https://huaxue.hebtu.edu.cn/a/2025/09/23/A5A5BBD96F6B4410B87B6D4C43BDFD63.html" TargetMode="External" /><ns0:Relationship Id="journalLink752" Type="http://schemas.openxmlformats.org/officeDocument/2006/relationships/hyperlink" Target="http://journals.cambridge.org/BER" TargetMode="External" /><ns0:Relationship Id="journalLink753" Type="http://schemas.openxmlformats.org/officeDocument/2006/relationships/hyperlink" Target="https://openalex.org/S87316741" TargetMode="External" /><ns0:Relationship Id="journalLink754" Type="http://schemas.openxmlformats.org/officeDocument/2006/relationships/hyperlink" Target="https://www.niic.nsc.ru/phocadownload/publications/2025/JCR_JournalImpactFactor_2026.pdf#page=338" TargetMode="External" /><ns0:Relationship Id="journalLink755" Type="http://schemas.openxmlformats.org/officeDocument/2006/relationships/hyperlink" Target="https://huaxue.hebtu.edu.cn/a/2025/09/23/A5A5BBD96F6B4410B87B6D4C43BDFD63.html" TargetMode="External" /><ns0:Relationship Id="journalLink756" Type="http://schemas.openxmlformats.org/officeDocument/2006/relationships/hyperlink" Target="https://academic.oup.com/ee" TargetMode="External" /><ns0:Relationship Id="journalLink757" Type="http://schemas.openxmlformats.org/officeDocument/2006/relationships/hyperlink" Target="https://openalex.org/S92562763" TargetMode="External" /><ns0:Relationship Id="journalLink758" Type="http://schemas.openxmlformats.org/officeDocument/2006/relationships/hyperlink" Target="https://www.niic.nsc.ru/phocadownload/publications/2025/JCR_JournalImpactFactor_2026.pdf#page=373" TargetMode="External" /><ns0:Relationship Id="journalLink759" Type="http://schemas.openxmlformats.org/officeDocument/2006/relationships/hyperlink" Target="https://huaxue.hebtu.edu.cn/a/2025/09/23/A5A5BBD96F6B4410B87B6D4C43BDFD63.html" TargetMode="External" /><ns0:Relationship Id="journalLink760" Type="http://schemas.openxmlformats.org/officeDocument/2006/relationships/hyperlink" Target="https://link.springer.com/journal/12600" TargetMode="External" /><ns0:Relationship Id="journalLink761" Type="http://schemas.openxmlformats.org/officeDocument/2006/relationships/hyperlink" Target="https://openalex.org/S116008648" TargetMode="External" /><ns0:Relationship Id="journalLink762" Type="http://schemas.openxmlformats.org/officeDocument/2006/relationships/hyperlink" Target="https://www.niic.nsc.ru/phocadownload/publications/2025/JCR_JournalImpactFactor_2026.pdf#page=477" TargetMode="External" /><ns0:Relationship Id="journalLink763" Type="http://schemas.openxmlformats.org/officeDocument/2006/relationships/hyperlink" Target="https://huaxue.hebtu.edu.cn/a/2025/09/23/A5A5BBD96F6B4410B87B6D4C43BDFD63.html" TargetMode="External" /><ns0:Relationship Id="journalLink764" Type="http://schemas.openxmlformats.org/officeDocument/2006/relationships/hyperlink" Target="http://www.agriculturejournals.cz/web/PPS.htm" TargetMode="External" /><ns0:Relationship Id="journalLink765" Type="http://schemas.openxmlformats.org/officeDocument/2006/relationships/hyperlink" Target="https://openalex.org/S2764511895" TargetMode="External" /><ns0:Relationship Id="journalLink766" Type="http://schemas.openxmlformats.org/officeDocument/2006/relationships/hyperlink" Target="https://www.niic.nsc.ru/phocadownload/publications/2025/JCR_JournalImpactFactor_2026.pdf#page=356" TargetMode="External" /><ns0:Relationship Id="journalLink767" Type="http://schemas.openxmlformats.org/officeDocument/2006/relationships/hyperlink" Target="https://huaxue.hebtu.edu.cn/a/2025/09/23/A5A5BBD96F6B4410B87B6D4C43BDFD63.html" TargetMode="External" /><ns0:Relationship Id="journalLink768" Type="http://schemas.openxmlformats.org/officeDocument/2006/relationships/hyperlink" Target="https://www.springer.com/journal/11829" TargetMode="External" /><ns0:Relationship Id="journalLink769" Type="http://schemas.openxmlformats.org/officeDocument/2006/relationships/hyperlink" Target="https://openalex.org/S61151778" TargetMode="External" /><ns0:Relationship Id="journalLink770" Type="http://schemas.openxmlformats.org/officeDocument/2006/relationships/hyperlink" Target="https://www.niic.nsc.ru/phocadownload/publications/2025/JCR_JournalImpactFactor_2026.pdf#page=303" TargetMode="External" /><ns0:Relationship Id="journalLink771" Type="http://schemas.openxmlformats.org/officeDocument/2006/relationships/hyperlink" Target="https://huaxue.hebtu.edu.cn/a/2025/09/23/A5A5BBD96F6B4410B87B6D4C43BDFD63.html" TargetMode="External" /><ns0:Relationship Id="journalLink772" Type="http://schemas.openxmlformats.org/officeDocument/2006/relationships/hyperlink" Target="https://link.springer.com/journal/42161" TargetMode="External" /><ns0:Relationship Id="journalLink773" Type="http://schemas.openxmlformats.org/officeDocument/2006/relationships/hyperlink" Target="https://openalex.org/S112652565" TargetMode="External" /><ns0:Relationship Id="journalLink774" Type="http://schemas.openxmlformats.org/officeDocument/2006/relationships/hyperlink" Target="https://www.niic.nsc.ru/phocadownload/publications/2025/JCR_JournalImpactFactor_2026.pdf#page=298" TargetMode="External" /><ns0:Relationship Id="journalLink775" Type="http://schemas.openxmlformats.org/officeDocument/2006/relationships/hyperlink" Target="https://huaxue.hebtu.edu.cn/a/2025/09/23/A5A5BBD96F6B4410B87B6D4C43BDFD63.html" TargetMode="External" /><ns0:Relationship Id="journalLink776" Type="http://schemas.openxmlformats.org/officeDocument/2006/relationships/hyperlink" Target="https://www.springer.com/journal/10658" TargetMode="External" /><ns0:Relationship Id="journalLink777" Type="http://schemas.openxmlformats.org/officeDocument/2006/relationships/hyperlink" Target="https://openalex.org/S29946585" TargetMode="External" /><ns0:Relationship Id="journalLink778" Type="http://schemas.openxmlformats.org/officeDocument/2006/relationships/hyperlink" Target="https://www.niic.nsc.ru/phocadownload/publications/2025/JCR_JournalImpactFactor_2026.pdf#page=348" TargetMode="External" /><ns0:Relationship Id="journalLink779" Type="http://schemas.openxmlformats.org/officeDocument/2006/relationships/hyperlink" Target="https://huaxue.hebtu.edu.cn/a/2025/09/23/A5A5BBD96F6B4410B87B6D4C43BDFD63.html" TargetMode="External" /><ns0:Relationship Id="journalLink780" Type="http://schemas.openxmlformats.org/officeDocument/2006/relationships/hyperlink" Target="https://www.tandfonline.com/toc/tcjp20/current" TargetMode="External" /><ns0:Relationship Id="journalLink781" Type="http://schemas.openxmlformats.org/officeDocument/2006/relationships/hyperlink" Target="https://openalex.org/S4210184169" TargetMode="External" /><ns0:Relationship Id="journalLink782" Type="http://schemas.openxmlformats.org/officeDocument/2006/relationships/hyperlink" Target="https://www.niic.nsc.ru/phocadownload/publications/2025/JCR_JournalImpactFactor_2026.pdf#page=386" TargetMode="External" /><ns0:Relationship Id="journalLink783" Type="http://schemas.openxmlformats.org/officeDocument/2006/relationships/hyperlink" Target="https://huaxue.hebtu.edu.cn/a/2025/09/23/A5A5BBD96F6B4410B87B6D4C43BDFD63.html" TargetMode="External" /><ns0:Relationship Id="journalLink784" Type="http://schemas.openxmlformats.org/officeDocument/2006/relationships/hyperlink" Target="https://www.journals.elsevier.com/journal-of-asia-pacific-entomology" TargetMode="External" /><ns0:Relationship Id="journalLink785" Type="http://schemas.openxmlformats.org/officeDocument/2006/relationships/hyperlink" Target="https://openalex.org/S49593656" TargetMode="External" /><ns0:Relationship Id="journalLink786" Type="http://schemas.openxmlformats.org/officeDocument/2006/relationships/hyperlink" Target="https://www.niic.nsc.ru/phocadownload/publications/2025/JCR_JournalImpactFactor_2026.pdf#page=308" TargetMode="External" /><ns0:Relationship Id="journalLink787" Type="http://schemas.openxmlformats.org/officeDocument/2006/relationships/hyperlink" Target="https://huaxue.hebtu.edu.cn/a/2025/09/23/A5A5BBD96F6B4410B87B6D4C43BDFD63.html" TargetMode="External" /><ns0:Relationship Id="journalLink788" Type="http://schemas.openxmlformats.org/officeDocument/2006/relationships/hyperlink" Target="https://www.exeley.com/journal/journal_of_nematology" TargetMode="External" /><ns0:Relationship Id="journalLink789" Type="http://schemas.openxmlformats.org/officeDocument/2006/relationships/hyperlink" Target="https://openalex.org/S148806700" TargetMode="External" /><ns0:Relationship Id="journalLink790" Type="http://schemas.openxmlformats.org/officeDocument/2006/relationships/hyperlink" Target="https://www.niic.nsc.ru/phocadownload/publications/2025/JCR_JournalImpactFactor_2026.pdf#page=471" TargetMode="External" /><ns0:Relationship Id="journalLink791" Type="http://schemas.openxmlformats.org/officeDocument/2006/relationships/hyperlink" Target="https://huaxue.hebtu.edu.cn/a/2025/09/23/A5A5BBD96F6B4410B87B6D4C43BDFD63.html" TargetMode="External" /><ns0:Relationship Id="journalLink792" Type="http://schemas.openxmlformats.org/officeDocument/2006/relationships/hyperlink" Target="https://link.springer.com/journal/13355" TargetMode="External" /><ns0:Relationship Id="journalLink793" Type="http://schemas.openxmlformats.org/officeDocument/2006/relationships/hyperlink" Target="https://openalex.org/S72420026" TargetMode="External" /><ns0:Relationship Id="journalLink794" Type="http://schemas.openxmlformats.org/officeDocument/2006/relationships/hyperlink" Target="https://www.niic.nsc.ru/phocadownload/publications/2025/JCR_JournalImpactFactor_2026.pdf#page=445" TargetMode="External" /><ns0:Relationship Id="journalLink795" Type="http://schemas.openxmlformats.org/officeDocument/2006/relationships/hyperlink" Target="https://huaxue.hebtu.edu.cn/a/2025/09/23/A5A5BBD96F6B4410B87B6D4C43BDFD63.html" TargetMode="External" /><ns0:Relationship Id="journalLink796" Type="http://schemas.openxmlformats.org/officeDocument/2006/relationships/hyperlink" Target="https://www.springer.com/journal/13313" TargetMode="External" /><ns0:Relationship Id="journalLink797" Type="http://schemas.openxmlformats.org/officeDocument/2006/relationships/hyperlink" Target="https://openalex.org/S168542390" TargetMode="External" /><ns0:Relationship Id="journalLink798" Type="http://schemas.openxmlformats.org/officeDocument/2006/relationships/hyperlink" Target="https://www.niic.nsc.ru/phocadownload/publications/2025/JCR_JournalImpactFactor_2026.pdf#page=469" TargetMode="External" /><ns0:Relationship Id="journalLink799" Type="http://schemas.openxmlformats.org/officeDocument/2006/relationships/hyperlink" Target="https://huaxue.hebtu.edu.cn/a/2025/09/23/A5A5BBD96F6B4410B87B6D4C43BDFD63.html" TargetMode="External" /><ns0:Relationship Id="journalLink800" Type="http://schemas.openxmlformats.org/officeDocument/2006/relationships/hyperlink" Target="http://www.brill.nl/publications/journals/nematology" TargetMode="External" /><ns0:Relationship Id="journalLink801" Type="http://schemas.openxmlformats.org/officeDocument/2006/relationships/hyperlink" Target="https://openalex.org/S2055470" TargetMode="External" /><ns0:Relationship Id="journalLink802" Type="http://schemas.openxmlformats.org/officeDocument/2006/relationships/hyperlink" Target="https://www.niic.nsc.ru/phocadownload/publications/2025/JCR_JournalImpactFactor_2026.pdf#page=119" TargetMode="External" /><ns0:Relationship Id="journalLink803" Type="http://schemas.openxmlformats.org/officeDocument/2006/relationships/hyperlink" Target="https://huaxue.hebtu.edu.cn/a/2025/09/23/A5A5BBD96F6B4410B87B6D4C43BDFD63.html" TargetMode="External" /><ns0:Relationship Id="journalLink804" Type="http://schemas.openxmlformats.org/officeDocument/2006/relationships/hyperlink" Target="https://www.springer.com/journal/11676" TargetMode="External" /><ns0:Relationship Id="journalLink805" Type="http://schemas.openxmlformats.org/officeDocument/2006/relationships/hyperlink" Target="https://openalex.org/S155657358" TargetMode="External" /><ns0:Relationship Id="journalLink806" Type="http://schemas.openxmlformats.org/officeDocument/2006/relationships/hyperlink" Target="https://www.niic.nsc.ru/phocadownload/publications/2025/JCR_JournalImpactFactor_2026.pdf#page=74" TargetMode="External" /><ns0:Relationship Id="journalLink807" Type="http://schemas.openxmlformats.org/officeDocument/2006/relationships/hyperlink" Target="https://huaxue.hebtu.edu.cn/a/2025/09/23/A5A5BBD96F6B4410B87B6D4C43BDFD63.html" TargetMode="External" /><ns0:Relationship Id="journalLink808" Type="http://schemas.openxmlformats.org/officeDocument/2006/relationships/hyperlink" Target="https://forestecosyst.springeropen.com" TargetMode="External" /><ns0:Relationship Id="journalLink809" Type="http://schemas.openxmlformats.org/officeDocument/2006/relationships/hyperlink" Target="https://openalex.org/S2736342340" TargetMode="External" /><ns0:Relationship Id="journalLink810" Type="http://schemas.openxmlformats.org/officeDocument/2006/relationships/hyperlink" Target="https://www.niic.nsc.ru/phocadownload/publications/2025/JCR_JournalImpactFactor_2026.pdf#page=98" TargetMode="External" /><ns0:Relationship Id="journalLink811" Type="http://schemas.openxmlformats.org/officeDocument/2006/relationships/hyperlink" Target="https://huaxue.hebtu.edu.cn/a/2025/09/23/A5A5BBD96F6B4410B87B6D4C43BDFD63.html" TargetMode="External" /><ns0:Relationship Id="journalLink812" Type="http://schemas.openxmlformats.org/officeDocument/2006/relationships/hyperlink" Target="https://www.journals.elsevier.com/forest-policy-and-economics" TargetMode="External" /><ns0:Relationship Id="journalLink813" Type="http://schemas.openxmlformats.org/officeDocument/2006/relationships/hyperlink" Target="https://openalex.org/S95823145" TargetMode="External" /><ns0:Relationship Id="journalLink814" Type="http://schemas.openxmlformats.org/officeDocument/2006/relationships/hyperlink" Target="https://www.niic.nsc.ru/phocadownload/publications/2025/JCR_JournalImpactFactor_2026.pdf#page=34" TargetMode="External" /><ns0:Relationship Id="journalLink815" Type="http://schemas.openxmlformats.org/officeDocument/2006/relationships/hyperlink" Target="https://huaxue.hebtu.edu.cn/a/2025/09/23/A5A5BBD96F6B4410B87B6D4C43BDFD63.html" TargetMode="External" /><ns0:Relationship Id="journalLink816" Type="http://schemas.openxmlformats.org/officeDocument/2006/relationships/hyperlink" Target="https://www.journals.elsevier.com/urban-forestry-and-urban-greening" TargetMode="External" /><ns0:Relationship Id="journalLink817" Type="http://schemas.openxmlformats.org/officeDocument/2006/relationships/hyperlink" Target="https://openalex.org/S99909709" TargetMode="External" /><ns0:Relationship Id="journalLink818" Type="http://schemas.openxmlformats.org/officeDocument/2006/relationships/hyperlink" Target="https://www.niic.nsc.ru/phocadownload/publications/2025/JCR_JournalImpactFactor_2026.pdf#page=114" TargetMode="External" /><ns0:Relationship Id="journalLink819" Type="http://schemas.openxmlformats.org/officeDocument/2006/relationships/hyperlink" Target="https://huaxue.hebtu.edu.cn/a/2025/09/23/A5A5BBD96F6B4410B87B6D4C43BDFD63.html" TargetMode="External" /><ns0:Relationship Id="journalLink820" Type="http://schemas.openxmlformats.org/officeDocument/2006/relationships/hyperlink" Target="http://www.elsevier.com/locate/foreco" TargetMode="External" /><ns0:Relationship Id="journalLink821" Type="http://schemas.openxmlformats.org/officeDocument/2006/relationships/hyperlink" Target="https://openalex.org/S195255895" TargetMode="External" /><ns0:Relationship Id="journalLink822" Type="http://schemas.openxmlformats.org/officeDocument/2006/relationships/hyperlink" Target="https://www.niic.nsc.ru/phocadownload/publications/2025/JCR_JournalImpactFactor_2026.pdf#page=124" TargetMode="External" /><ns0:Relationship Id="journalLink823" Type="http://schemas.openxmlformats.org/officeDocument/2006/relationships/hyperlink" Target="https://huaxue.hebtu.edu.cn/a/2025/09/23/A5A5BBD96F6B4410B87B6D4C43BDFD63.html" TargetMode="External" /><ns0:Relationship Id="journalLink824" Type="http://schemas.openxmlformats.org/officeDocument/2006/relationships/hyperlink" Target="http://treephys.oxfordjournals.org" TargetMode="External" /><ns0:Relationship Id="journalLink825" Type="http://schemas.openxmlformats.org/officeDocument/2006/relationships/hyperlink" Target="https://openalex.org/S147008614" TargetMode="External" /><ns0:Relationship Id="journalLink826" Type="http://schemas.openxmlformats.org/officeDocument/2006/relationships/hyperlink" Target="https://www.niic.nsc.ru/phocadownload/publications/2025/JCR_JournalImpactFactor_2026.pdf#page=107" TargetMode="External" /><ns0:Relationship Id="journalLink827" Type="http://schemas.openxmlformats.org/officeDocument/2006/relationships/hyperlink" Target="https://huaxue.hebtu.edu.cn/a/2025/09/23/A5A5BBD96F6B4410B87B6D4C43BDFD63.html" TargetMode="External" /><ns0:Relationship Id="journalLink828" Type="http://schemas.openxmlformats.org/officeDocument/2006/relationships/hyperlink" Target="https://academic.oup.com/forestry" TargetMode="External" /><ns0:Relationship Id="journalLink829" Type="http://schemas.openxmlformats.org/officeDocument/2006/relationships/hyperlink" Target="https://openalex.org/S152552278" TargetMode="External" /><ns0:Relationship Id="journalLink830" Type="http://schemas.openxmlformats.org/officeDocument/2006/relationships/hyperlink" Target="https://www.niic.nsc.ru/phocadownload/publications/2025/JCR_JournalImpactFactor_2026.pdf#page=176" TargetMode="External" /><ns0:Relationship Id="journalLink831" Type="http://schemas.openxmlformats.org/officeDocument/2006/relationships/hyperlink" Target="https://huaxue.hebtu.edu.cn/a/2025/09/23/A5A5BBD96F6B4410B87B6D4C43BDFD63.html" TargetMode="External" /><ns0:Relationship Id="journalLink832" Type="http://schemas.openxmlformats.org/officeDocument/2006/relationships/hyperlink" Target="https://link.springer.com/journal/226" TargetMode="External" /><ns0:Relationship Id="journalLink833" Type="http://schemas.openxmlformats.org/officeDocument/2006/relationships/hyperlink" Target="https://openalex.org/S102543962" TargetMode="External" /><ns0:Relationship Id="journalLink834" Type="http://schemas.openxmlformats.org/officeDocument/2006/relationships/hyperlink" Target="https://www.niic.nsc.ru/phocadownload/publications/2025/JCR_JournalImpactFactor_2026.pdf#page=233" TargetMode="External" /><ns0:Relationship Id="journalLink835" Type="http://schemas.openxmlformats.org/officeDocument/2006/relationships/hyperlink" Target="https://huaxue.hebtu.edu.cn/a/2025/09/23/A5A5BBD96F6B4410B87B6D4C43BDFD63.html" TargetMode="External" /><ns0:Relationship Id="journalLink836" Type="http://schemas.openxmlformats.org/officeDocument/2006/relationships/hyperlink" Target="https://onlinelibrary.wiley.com/journal/13652494" TargetMode="External" /><ns0:Relationship Id="journalLink837" Type="http://schemas.openxmlformats.org/officeDocument/2006/relationships/hyperlink" Target="https://openalex.org/S74357050" TargetMode="External" /><ns0:Relationship Id="journalLink838" Type="http://schemas.openxmlformats.org/officeDocument/2006/relationships/hyperlink" Target="https://www.niic.nsc.ru/phocadownload/publications/2025/JCR_JournalImpactFactor_2026.pdf#page=160" TargetMode="External" /><ns0:Relationship Id="journalLink839" Type="http://schemas.openxmlformats.org/officeDocument/2006/relationships/hyperlink" Target="https://huaxue.hebtu.edu.cn/a/2025/09/23/A5A5BBD96F6B4410B87B6D4C43BDFD63.html" TargetMode="External" /><ns0:Relationship Id="journalLink840" Type="http://schemas.openxmlformats.org/officeDocument/2006/relationships/hyperlink" Target="https://www.springer.com/journal/10342" TargetMode="External" /><ns0:Relationship Id="journalLink841" Type="http://schemas.openxmlformats.org/officeDocument/2006/relationships/hyperlink" Target="https://openalex.org/S71976930" TargetMode="External" /><ns0:Relationship Id="journalLink842" Type="http://schemas.openxmlformats.org/officeDocument/2006/relationships/hyperlink" Target="https://www.niic.nsc.ru/phocadownload/publications/2025/JCR_JournalImpactFactor_2026.pdf#page=178" TargetMode="External" /><ns0:Relationship Id="journalLink843" Type="http://schemas.openxmlformats.org/officeDocument/2006/relationships/hyperlink" Target="https://huaxue.hebtu.edu.cn/a/2025/09/23/A5A5BBD96F6B4410B87B6D4C43BDFD63.html" TargetMode="External" /><ns0:Relationship Id="journalLink844" Type="http://schemas.openxmlformats.org/officeDocument/2006/relationships/hyperlink" Target="https://www.journals.elsevier.com/dendrochronologia" TargetMode="External" /><ns0:Relationship Id="journalLink845" Type="http://schemas.openxmlformats.org/officeDocument/2006/relationships/hyperlink" Target="https://openalex.org/S75371934" TargetMode="External" /><ns0:Relationship Id="journalLink846" Type="http://schemas.openxmlformats.org/officeDocument/2006/relationships/hyperlink" Target="https://www.niic.nsc.ru/phocadownload/publications/2025/JCR_JournalImpactFactor_2026.pdf#page=202" TargetMode="External" /><ns0:Relationship Id="journalLink847" Type="http://schemas.openxmlformats.org/officeDocument/2006/relationships/hyperlink" Target="https://huaxue.hebtu.edu.cn/a/2025/09/23/A5A5BBD96F6B4410B87B6D4C43BDFD63.html" TargetMode="External" /><ns0:Relationship Id="journalLink848" Type="http://schemas.openxmlformats.org/officeDocument/2006/relationships/hyperlink" Target="https://brill.com/view/journals/iawa/iawa-overview.xml" TargetMode="External" /><ns0:Relationship Id="journalLink849" Type="http://schemas.openxmlformats.org/officeDocument/2006/relationships/hyperlink" Target="https://brill.com/view/journals/iawa/iawa-overview.xml" TargetMode="External" /><ns0:Relationship Id="journalLink850" Type="http://schemas.openxmlformats.org/officeDocument/2006/relationships/hyperlink" Target="https://www.niic.nsc.ru/phocadownload/publications/2025/JCR_JournalImpactFactor_2026.pdf#page=193" TargetMode="External" /><ns0:Relationship Id="journalLink851" Type="http://schemas.openxmlformats.org/officeDocument/2006/relationships/hyperlink" Target="https://huaxue.hebtu.edu.cn/a/2025/09/23/A5A5BBD96F6B4410B87B6D4C43BDFD63.html" TargetMode="External" /><ns0:Relationship Id="journalLink852" Type="http://schemas.openxmlformats.org/officeDocument/2006/relationships/hyperlink" Target="http://www.publish.csiro.au/journals/ijwf" TargetMode="External" /><ns0:Relationship Id="journalLink853" Type="http://schemas.openxmlformats.org/officeDocument/2006/relationships/hyperlink" Target="https://openalex.org/S65166364" TargetMode="External" /><ns0:Relationship Id="journalLink854" Type="http://schemas.openxmlformats.org/officeDocument/2006/relationships/hyperlink" Target="https://www.niic.nsc.ru/phocadownload/publications/2025/JCR_JournalImpactFactor_2026.pdf#page=168" TargetMode="External" /><ns0:Relationship Id="journalLink855" Type="http://schemas.openxmlformats.org/officeDocument/2006/relationships/hyperlink" Target="https://huaxue.hebtu.edu.cn/a/2025/09/23/A5A5BBD96F6B4410B87B6D4C43BDFD63.html" TargetMode="External" /><ns0:Relationship Id="journalLink856" Type="http://schemas.openxmlformats.org/officeDocument/2006/relationships/hyperlink" Target="https://annforsci.biomedcentral.com/" TargetMode="External" /><ns0:Relationship Id="journalLink857" Type="http://schemas.openxmlformats.org/officeDocument/2006/relationships/hyperlink" Target="https://annforsci.biomedcentral.com/" TargetMode="External" /><ns0:Relationship Id="journalLink858" Type="http://schemas.openxmlformats.org/officeDocument/2006/relationships/hyperlink" Target="https://www.niic.nsc.ru/phocadownload/publications/2025/JCR_JournalImpactFactor_2026.pdf#page=221" TargetMode="External" /><ns0:Relationship Id="journalLink859" Type="http://schemas.openxmlformats.org/officeDocument/2006/relationships/hyperlink" Target="https://huaxue.hebtu.edu.cn/a/2025/09/23/A5A5BBD96F6B4410B87B6D4C43BDFD63.html" TargetMode="External" /><ns0:Relationship Id="journalLink860" Type="http://schemas.openxmlformats.org/officeDocument/2006/relationships/hyperlink" Target="https://www.springer.com/journal/107" TargetMode="External" /><ns0:Relationship Id="journalLink861" Type="http://schemas.openxmlformats.org/officeDocument/2006/relationships/hyperlink" Target="https://openalex.org/S61428987" TargetMode="External" /><ns0:Relationship Id="journalLink862" Type="http://schemas.openxmlformats.org/officeDocument/2006/relationships/hyperlink" Target="https://www.niic.nsc.ru/phocadownload/publications/2025/JCR_JournalImpactFactor_2026.pdf#page=185" TargetMode="External" /><ns0:Relationship Id="journalLink863" Type="http://schemas.openxmlformats.org/officeDocument/2006/relationships/hyperlink" Target="https://huaxue.hebtu.edu.cn/a/2025/09/23/A5A5BBD96F6B4410B87B6D4C43BDFD63.html" TargetMode="External" /><ns0:Relationship Id="journalLink864" Type="http://schemas.openxmlformats.org/officeDocument/2006/relationships/hyperlink" Target="http://www.mdpi.com/journal/forests/" TargetMode="External" /><ns0:Relationship Id="journalLink865" Type="http://schemas.openxmlformats.org/officeDocument/2006/relationships/hyperlink" Target="https://openalex.org/S71324801" TargetMode="External" /><ns0:Relationship Id="journalLink866" Type="http://schemas.openxmlformats.org/officeDocument/2006/relationships/hyperlink" Target="https://www.niic.nsc.ru/phocadownload/publications/2025/JCR_JournalImpactFactor_2026.pdf#page=243" TargetMode="External" /><ns0:Relationship Id="journalLink867" Type="http://schemas.openxmlformats.org/officeDocument/2006/relationships/hyperlink" Target="https://huaxue.hebtu.edu.cn/a/2025/09/23/A5A5BBD96F6B4410B87B6D4C43BDFD63.html" TargetMode="External" /><ns0:Relationship Id="journalLink868" Type="http://schemas.openxmlformats.org/officeDocument/2006/relationships/hyperlink" Target="https://jwoodscience.springeropen.com/" TargetMode="External" /><ns0:Relationship Id="journalLink869" Type="http://schemas.openxmlformats.org/officeDocument/2006/relationships/hyperlink" Target="https://openalex.org/S49393431" TargetMode="External" /><ns0:Relationship Id="journalLink870" Type="http://schemas.openxmlformats.org/officeDocument/2006/relationships/hyperlink" Target="https://www.niic.nsc.ru/phocadownload/publications/2025/JCR_JournalImpactFactor_2026.pdf#page=205" TargetMode="External" /><ns0:Relationship Id="journalLink871" Type="http://schemas.openxmlformats.org/officeDocument/2006/relationships/hyperlink" Target="https://huaxue.hebtu.edu.cn/a/2025/09/23/A5A5BBD96F6B4410B87B6D4C43BDFD63.html" TargetMode="External" /><ns0:Relationship Id="journalLink872" Type="http://schemas.openxmlformats.org/officeDocument/2006/relationships/hyperlink" Target="https://www.journals.elsevier.com/rangeland-ecology-and-management" TargetMode="External" /><ns0:Relationship Id="journalLink873" Type="http://schemas.openxmlformats.org/officeDocument/2006/relationships/hyperlink" Target="https://openalex.org/S2797048" TargetMode="External" /><ns0:Relationship Id="journalLink874" Type="http://schemas.openxmlformats.org/officeDocument/2006/relationships/hyperlink" Target="https://www.niic.nsc.ru/phocadownload/publications/2025/JCR_JournalImpactFactor_2026.pdf#page=178" TargetMode="External" /><ns0:Relationship Id="journalLink875" Type="http://schemas.openxmlformats.org/officeDocument/2006/relationships/hyperlink" Target="https://huaxue.hebtu.edu.cn/a/2025/09/23/A5A5BBD96F6B4410B87B6D4C43BDFD63.html" TargetMode="External" /><ns0:Relationship Id="journalLink876" Type="http://schemas.openxmlformats.org/officeDocument/2006/relationships/hyperlink" Target="https://www.springer.com/journal/10457" TargetMode="External" /><ns0:Relationship Id="journalLink877" Type="http://schemas.openxmlformats.org/officeDocument/2006/relationships/hyperlink" Target="https://openalex.org/S186231457" TargetMode="External" /><ns0:Relationship Id="journalLink878" Type="http://schemas.openxmlformats.org/officeDocument/2006/relationships/hyperlink" Target="https://www.niic.nsc.ru/phocadownload/publications/2025/JCR_JournalImpactFactor_2026.pdf#page=388" TargetMode="External" /><ns0:Relationship Id="journalLink879" Type="http://schemas.openxmlformats.org/officeDocument/2006/relationships/hyperlink" Target="https://huaxue.hebtu.edu.cn/a/2025/09/23/A5A5BBD96F6B4410B87B6D4C43BDFD63.html" TargetMode="External" /><ns0:Relationship Id="journalLink880" Type="http://schemas.openxmlformats.org/officeDocument/2006/relationships/hyperlink" Target="https://link.springer.com/journal/11056" TargetMode="External" /><ns0:Relationship Id="journalLink881" Type="http://schemas.openxmlformats.org/officeDocument/2006/relationships/hyperlink" Target="https://openalex.org/S199475400" TargetMode="External" /><ns0:Relationship Id="journalLink882" Type="http://schemas.openxmlformats.org/officeDocument/2006/relationships/hyperlink" Target="https://www.niic.nsc.ru/phocadownload/publications/2025/JCR_JournalImpactFactor_2026.pdf#page=324" TargetMode="External" /><ns0:Relationship Id="journalLink883" Type="http://schemas.openxmlformats.org/officeDocument/2006/relationships/hyperlink" Target="https://huaxue.hebtu.edu.cn/a/2025/09/23/A5A5BBD96F6B4410B87B6D4C43BDFD63.html" TargetMode="External" /><ns0:Relationship Id="journalLink884" Type="http://schemas.openxmlformats.org/officeDocument/2006/relationships/hyperlink" Target="http://www.degruyter.com/view/j/hfsg" TargetMode="External" /><ns0:Relationship Id="journalLink885" Type="http://schemas.openxmlformats.org/officeDocument/2006/relationships/hyperlink" Target="https://openalex.org/S202705189" TargetMode="External" /><ns0:Relationship Id="journalLink886" Type="http://schemas.openxmlformats.org/officeDocument/2006/relationships/hyperlink" Target="https://www.niic.nsc.ru/phocadownload/publications/2025/JCR_JournalImpactFactor_2026.pdf#page=272" TargetMode="External" /><ns0:Relationship Id="journalLink887" Type="http://schemas.openxmlformats.org/officeDocument/2006/relationships/hyperlink" Target="https://huaxue.hebtu.edu.cn/a/2025/09/23/A5A5BBD96F6B4410B87B6D4C43BDFD63.html" TargetMode="External" /><ns0:Relationship Id="journalLink888" Type="http://schemas.openxmlformats.org/officeDocument/2006/relationships/hyperlink" Target="http://www.nrcresearchpress.com/journal/cjfr" TargetMode="External" /><ns0:Relationship Id="journalLink889" Type="http://schemas.openxmlformats.org/officeDocument/2006/relationships/hyperlink" Target="https://openalex.org/S115310785" TargetMode="External" /><ns0:Relationship Id="journalLink890" Type="http://schemas.openxmlformats.org/officeDocument/2006/relationships/hyperlink" Target="https://www.niic.nsc.ru/phocadownload/publications/2025/JCR_JournalImpactFactor_2026.pdf#page=342" TargetMode="External" /><ns0:Relationship Id="journalLink891" Type="http://schemas.openxmlformats.org/officeDocument/2006/relationships/hyperlink" Target="https://huaxue.hebtu.edu.cn/a/2025/09/23/A5A5BBD96F6B4410B87B6D4C43BDFD63.html" TargetMode="External" /><ns0:Relationship Id="journalLink892" Type="http://schemas.openxmlformats.org/officeDocument/2006/relationships/hyperlink" Target="https://www.tandfonline.com/toc/sfor20/current" TargetMode="External" /><ns0:Relationship Id="journalLink893" Type="http://schemas.openxmlformats.org/officeDocument/2006/relationships/hyperlink" Target="https://openalex.org/S79820318" TargetMode="External" /><ns0:Relationship Id="journalLink894" Type="http://schemas.openxmlformats.org/officeDocument/2006/relationships/hyperlink" Target="https://www.niic.nsc.ru/phocadownload/publications/2025/JCR_JournalImpactFactor_2026.pdf#page=296" TargetMode="External" /><ns0:Relationship Id="journalLink895" Type="http://schemas.openxmlformats.org/officeDocument/2006/relationships/hyperlink" Target="https://huaxue.hebtu.edu.cn/a/2025/09/23/A5A5BBD96F6B4410B87B6D4C43BDFD63.html" TargetMode="External" /><ns0:Relationship Id="journalLink896" Type="http://schemas.openxmlformats.org/officeDocument/2006/relationships/hyperlink" Target="http://www.silvafennica.fi" TargetMode="External" /><ns0:Relationship Id="journalLink897" Type="http://schemas.openxmlformats.org/officeDocument/2006/relationships/hyperlink" Target="https://openalex.org/S114295916" TargetMode="External" /><ns0:Relationship Id="journalLink898" Type="http://schemas.openxmlformats.org/officeDocument/2006/relationships/hyperlink" Target="https://www.niic.nsc.ru/phocadownload/publications/2025/JCR_JournalImpactFactor_2026.pdf#page=311" TargetMode="External" /><ns0:Relationship Id="journalLink899" Type="http://schemas.openxmlformats.org/officeDocument/2006/relationships/hyperlink" Target="https://huaxue.hebtu.edu.cn/a/2025/09/23/A5A5BBD96F6B4410B87B6D4C43BDFD63.html" TargetMode="External" /><ns0:Relationship Id="journalLink900" Type="http://schemas.openxmlformats.org/officeDocument/2006/relationships/hyperlink" Target="http://www.sisef.it/iforest" TargetMode="External" /><ns0:Relationship Id="journalLink901" Type="http://schemas.openxmlformats.org/officeDocument/2006/relationships/hyperlink" Target="https://openalex.org/S104841470" TargetMode="External" /><ns0:Relationship Id="journalLink902" Type="http://schemas.openxmlformats.org/officeDocument/2006/relationships/hyperlink" Target="https://www.niic.nsc.ru/phocadownload/publications/2025/JCR_JournalImpactFactor_2026.pdf#page=284" TargetMode="External" /><ns0:Relationship Id="journalLink903" Type="http://schemas.openxmlformats.org/officeDocument/2006/relationships/hyperlink" Target="https://huaxue.hebtu.edu.cn/a/2025/09/23/A5A5BBD96F6B4410B87B6D4C43BDFD63.html" TargetMode="External" /><ns0:Relationship Id="journalLink904" Type="http://schemas.openxmlformats.org/officeDocument/2006/relationships/hyperlink" Target="https://bioresources.cnr.ncsu.edu/" TargetMode="External" /><ns0:Relationship Id="journalLink905" Type="http://schemas.openxmlformats.org/officeDocument/2006/relationships/hyperlink" Target="https://openalex.org/S74630304" TargetMode="External" /><ns0:Relationship Id="journalLink906" Type="http://schemas.openxmlformats.org/officeDocument/2006/relationships/hyperlink" Target="https://www.niic.nsc.ru/phocadownload/publications/2025/JCR_JournalImpactFactor_2026.pdf#page=286" TargetMode="External" /><ns0:Relationship Id="journalLink907" Type="http://schemas.openxmlformats.org/officeDocument/2006/relationships/hyperlink" Target="https://huaxue.hebtu.edu.cn/a/2025/09/23/A5A5BBD96F6B4410B87B6D4C43BDFD63.html" TargetMode="External" /><ns0:Relationship Id="journalLink908" Type="http://schemas.openxmlformats.org/officeDocument/2006/relationships/hyperlink" Target="https://academic.oup.com/forestscience" TargetMode="External" /><ns0:Relationship Id="journalLink909" Type="http://schemas.openxmlformats.org/officeDocument/2006/relationships/hyperlink" Target="https://openalex.org/S177859656" TargetMode="External" /><ns0:Relationship Id="journalLink910" Type="http://schemas.openxmlformats.org/officeDocument/2006/relationships/hyperlink" Target="https://www.niic.nsc.ru/phocadownload/publications/2025/JCR_JournalImpactFactor_2026.pdf#page=357" TargetMode="External" /><ns0:Relationship Id="journalLink911" Type="http://schemas.openxmlformats.org/officeDocument/2006/relationships/hyperlink" Target="https://huaxue.hebtu.edu.cn/a/2025/09/23/A5A5BBD96F6B4410B87B6D4C43BDFD63.html" TargetMode="External" /><ns0:Relationship Id="journalLink912" Type="http://schemas.openxmlformats.org/officeDocument/2006/relationships/hyperlink" Target="https://meridian.allenpress.com/fpj" TargetMode="External" /><ns0:Relationship Id="journalLink913" Type="http://schemas.openxmlformats.org/officeDocument/2006/relationships/hyperlink" Target="https://meridian.allenpress.com/fpj" TargetMode="External" /><ns0:Relationship Id="journalLink914" Type="http://schemas.openxmlformats.org/officeDocument/2006/relationships/hyperlink" Target="https://www.niic.nsc.ru/phocadownload/publications/2025/JCR_JournalImpactFactor_2026.pdf#page=445" TargetMode="External" /><ns0:Relationship Id="journalLink915" Type="http://schemas.openxmlformats.org/officeDocument/2006/relationships/hyperlink" Target="https://huaxue.hebtu.edu.cn/a/2025/09/23/A5A5BBD96F6B4410B87B6D4C43BDFD63.html" TargetMode="External" /><ns0:Relationship Id="journalLink916" Type="http://schemas.openxmlformats.org/officeDocument/2006/relationships/hyperlink" Target="https://onlinelibrary.wiley.com/journal/1744697X" TargetMode="External" /><ns0:Relationship Id="journalLink917" Type="http://schemas.openxmlformats.org/officeDocument/2006/relationships/hyperlink" Target="https://openalex.org/S190138162" TargetMode="External" /><ns0:Relationship Id="journalLink918" Type="http://schemas.openxmlformats.org/officeDocument/2006/relationships/hyperlink" Target="https://www.niic.nsc.ru/phocadownload/publications/2025/JCR_JournalImpactFactor_2026.pdf#page=477" TargetMode="External" /><ns0:Relationship Id="journalLink919" Type="http://schemas.openxmlformats.org/officeDocument/2006/relationships/hyperlink" Target="https://huaxue.hebtu.edu.cn/a/2025/09/23/A5A5BBD96F6B4410B87B6D4C43BDFD63.html" TargetMode="External" /><ns0:Relationship Id="journalLink920" Type="http://schemas.openxmlformats.org/officeDocument/2006/relationships/hyperlink" Target="https://content.sciendo.com/view/journals/sg/sg-overview.xml" TargetMode="External" /><ns0:Relationship Id="journalLink921" Type="http://schemas.openxmlformats.org/officeDocument/2006/relationships/hyperlink" Target="https://openalex.org/S124780610" TargetMode="External" /><ns0:Relationship Id="journalLink922" Type="http://schemas.openxmlformats.org/officeDocument/2006/relationships/hyperlink" Target="https://www.niic.nsc.ru/phocadownload/publications/2025/JCR_JournalImpactFactor_2026.pdf#page=474" TargetMode="External" /><ns0:Relationship Id="journalLink923" Type="http://schemas.openxmlformats.org/officeDocument/2006/relationships/hyperlink" Target="https://huaxue.hebtu.edu.cn/a/2025/09/23/A5A5BBD96F6B4410B87B6D4C43BDFD63.html" TargetMode="External" /><ns0:Relationship Id="journalLink924" Type="http://schemas.openxmlformats.org/officeDocument/2006/relationships/hyperlink" Target="http://www.woodresearch.sk/cms/" TargetMode="External" /><ns0:Relationship Id="journalLink925" Type="http://schemas.openxmlformats.org/officeDocument/2006/relationships/hyperlink" Target="http://www.woodresearch.sk/cms/" TargetMode="External" /><ns0:Relationship Id="journalLink926" Type="http://schemas.openxmlformats.org/officeDocument/2006/relationships/hyperlink" Target="https://www.niic.nsc.ru/phocadownload/publications/2025/JCR_JournalImpactFactor_2026.pdf" TargetMode="External" /><ns0:Relationship Id="journalLink927" Type="http://schemas.openxmlformats.org/officeDocument/2006/relationships/hyperlink" Target="https://huaxue.hebtu.edu.cn/a/2025/09/23/A5A5BBD96F6B4410B87B6D4C43BDFD63.html" TargetMode="External" /><ns0:Relationship Id="journalLink928" Type="http://schemas.openxmlformats.org/officeDocument/2006/relationships/hyperlink" Target="https://www.publish.csiro.au/rj" TargetMode="External" /><ns0:Relationship Id="journalLink929" Type="http://schemas.openxmlformats.org/officeDocument/2006/relationships/hyperlink" Target="https://openalex.org/S75507510" TargetMode="External" /><ns0:Relationship Id="journalLink930" Type="http://schemas.openxmlformats.org/officeDocument/2006/relationships/hyperlink" Target="https://www.niic.nsc.ru/phocadownload/publications/2025/JCR_JournalImpactFactor_2026.pdf#page=427" TargetMode="External" /><ns0:Relationship Id="journalLink931" Type="http://schemas.openxmlformats.org/officeDocument/2006/relationships/hyperlink" Target="https://huaxue.hebtu.edu.cn/a/2025/09/23/A5A5BBD96F6B4410B87B6D4C43BDFD63.html" TargetMode="External" /><ns0:Relationship Id="journalLink932" Type="http://schemas.openxmlformats.org/officeDocument/2006/relationships/hyperlink" Target="https://wfs.swst.org/index.php/wfs" TargetMode="External" /><ns0:Relationship Id="journalLink933" Type="http://schemas.openxmlformats.org/officeDocument/2006/relationships/hyperlink" Target="https://openalex.org/S137835450" TargetMode="External" /><ns0:Relationship Id="journalLink934" Type="http://schemas.openxmlformats.org/officeDocument/2006/relationships/hyperlink" Target="https://www.niic.nsc.ru/phocadownload/publications/2025/JCR_JournalImpactFactor_2026.pdf#page=214" TargetMode="External" /><ns0:Relationship Id="journalLink935" Type="http://schemas.openxmlformats.org/officeDocument/2006/relationships/hyperlink" Target="https://onlinelibrary.wiley.com/journal/27701743" TargetMode="External" /><ns0:Relationship Id="journalLink936" Type="http://schemas.openxmlformats.org/officeDocument/2006/relationships/hyperlink" Target="https://onlinelibrary.wiley.com/journal/27701743" TargetMode="External" /><ns0:Relationship Id="journalLink937" Type="http://schemas.openxmlformats.org/officeDocument/2006/relationships/hyperlink" Target="https://www.niic.nsc.ru/phocadownload/publications/2025/JCR_JournalImpactFactor_2026.pdf#page=33" TargetMode="External" /><ns0:Relationship Id="journalLink938" Type="http://schemas.openxmlformats.org/officeDocument/2006/relationships/hyperlink" Target="https://huaxue.hebtu.edu.cn/a/2025/09/23/A5A5BBD96F6B4410B87B6D4C43BDFD63.html" TargetMode="External" /><ns0:Relationship Id="journalLink939" Type="http://schemas.openxmlformats.org/officeDocument/2006/relationships/hyperlink" Target="http://www.sciencedirect.com/science/journal/24056545" TargetMode="External" /><ns0:Relationship Id="journalLink940" Type="http://schemas.openxmlformats.org/officeDocument/2006/relationships/hyperlink" Target="https://openalex.org/S2764806997" TargetMode="External" /><ns0:Relationship Id="journalLink941" Type="http://schemas.openxmlformats.org/officeDocument/2006/relationships/hyperlink" Target="https://www.niic.nsc.ru/phocadownload/publications/2025/JCR_JournalImpactFactor_2026.pdf#page=36" TargetMode="External" /><ns0:Relationship Id="journalLink942" Type="http://schemas.openxmlformats.org/officeDocument/2006/relationships/hyperlink" Target="https://huaxue.hebtu.edu.cn/a/2025/09/23/A5A5BBD96F6B4410B87B6D4C43BDFD63.html" TargetMode="External" /><ns0:Relationship Id="journalLink943" Type="http://schemas.openxmlformats.org/officeDocument/2006/relationships/hyperlink" Target="https://jasbsci.biomedcentral.com/" TargetMode="External" /><ns0:Relationship Id="journalLink944" Type="http://schemas.openxmlformats.org/officeDocument/2006/relationships/hyperlink" Target="https://openalex.org/S2764950793" TargetMode="External" /><ns0:Relationship Id="journalLink945" Type="http://schemas.openxmlformats.org/officeDocument/2006/relationships/hyperlink" Target="https://www.niic.nsc.ru/phocadownload/publications/2025/JCR_JournalImpactFactor_2026.pdf#page=55" TargetMode="External" /><ns0:Relationship Id="journalLink946" Type="http://schemas.openxmlformats.org/officeDocument/2006/relationships/hyperlink" Target="https://huaxue.hebtu.edu.cn/a/2025/09/23/A5A5BBD96F6B4410B87B6D4C43BDFD63.html" TargetMode="External" /><ns0:Relationship Id="journalLink947" Type="http://schemas.openxmlformats.org/officeDocument/2006/relationships/hyperlink" Target="https://www.journals.elsevier.com/meat-science" TargetMode="External" /><ns0:Relationship Id="journalLink948" Type="http://schemas.openxmlformats.org/officeDocument/2006/relationships/hyperlink" Target="https://openalex.org/S9483105" TargetMode="External" /><ns0:Relationship Id="journalLink949" Type="http://schemas.openxmlformats.org/officeDocument/2006/relationships/hyperlink" Target="https://www.niic.nsc.ru/phocadownload/publications/2025/JCR_JournalImpactFactor_2026.pdf#page=94" TargetMode="External" /><ns0:Relationship Id="journalLink950" Type="http://schemas.openxmlformats.org/officeDocument/2006/relationships/hyperlink" Target="https://huaxue.hebtu.edu.cn/a/2025/09/23/A5A5BBD96F6B4410B87B6D4C43BDFD63.html" TargetMode="External" /><ns0:Relationship Id="journalLink951" Type="http://schemas.openxmlformats.org/officeDocument/2006/relationships/hyperlink" Target="https://www.journals.elsevier.com/journal-of-dairy-science" TargetMode="External" /><ns0:Relationship Id="journalLink952" Type="http://schemas.openxmlformats.org/officeDocument/2006/relationships/hyperlink" Target="https://openalex.org/S28349394" TargetMode="External" /><ns0:Relationship Id="journalLink953" Type="http://schemas.openxmlformats.org/officeDocument/2006/relationships/hyperlink" Target="https://www.niic.nsc.ru/phocadownload/publications/2025/JCR_JournalImpactFactor_2026.pdf#page=118" TargetMode="External" /><ns0:Relationship Id="journalLink954" Type="http://schemas.openxmlformats.org/officeDocument/2006/relationships/hyperlink" Target="https://huaxue.hebtu.edu.cn/a/2025/09/23/A5A5BBD96F6B4410B87B6D4C43BDFD63.html" TargetMode="External" /><ns0:Relationship Id="journalLink955" Type="http://schemas.openxmlformats.org/officeDocument/2006/relationships/hyperlink" Target="https://www.journals.elsevier.com/animal" TargetMode="External" /><ns0:Relationship Id="journalLink956" Type="http://schemas.openxmlformats.org/officeDocument/2006/relationships/hyperlink" Target="https://openalex.org/S66388299" TargetMode="External" /><ns0:Relationship Id="journalLink957" Type="http://schemas.openxmlformats.org/officeDocument/2006/relationships/hyperlink" Target="https://www.niic.nsc.ru/phocadownload/publications/2025/JCR_JournalImpactFactor_2026.pdf#page=106" TargetMode="External" /><ns0:Relationship Id="journalLink958" Type="http://schemas.openxmlformats.org/officeDocument/2006/relationships/hyperlink" Target="https://huaxue.hebtu.edu.cn/a/2025/09/23/A5A5BBD96F6B4410B87B6D4C43BDFD63.html" TargetMode="External" /><ns0:Relationship Id="journalLink959" Type="http://schemas.openxmlformats.org/officeDocument/2006/relationships/hyperlink" Target="https://link.springer.com/journal/12711" TargetMode="External" /><ns0:Relationship Id="journalLink960" Type="http://schemas.openxmlformats.org/officeDocument/2006/relationships/hyperlink" Target="https://openalex.org/S184365670" TargetMode="External" /><ns0:Relationship Id="journalLink961" Type="http://schemas.openxmlformats.org/officeDocument/2006/relationships/hyperlink" Target="https://www.niic.nsc.ru/phocadownload/publications/2025/JCR_JournalImpactFactor_2026.pdf#page=101" TargetMode="External" /><ns0:Relationship Id="journalLink962" Type="http://schemas.openxmlformats.org/officeDocument/2006/relationships/hyperlink" Target="https://huaxue.hebtu.edu.cn/a/2025/09/23/A5A5BBD96F6B4410B87B6D4C43BDFD63.html" TargetMode="External" /><ns0:Relationship Id="journalLink963" Type="http://schemas.openxmlformats.org/officeDocument/2006/relationships/hyperlink" Target="https://www.journals.elsevier.com/poultry-science" TargetMode="External" /><ns0:Relationship Id="journalLink964" Type="http://schemas.openxmlformats.org/officeDocument/2006/relationships/hyperlink" Target="https://openalex.org/S133896805" TargetMode="External" /><ns0:Relationship Id="journalLink965" Type="http://schemas.openxmlformats.org/officeDocument/2006/relationships/hyperlink" Target="https://www.niic.nsc.ru/phocadownload/publications/2025/JCR_JournalImpactFactor_2026.pdf#page=160" TargetMode="External" /><ns0:Relationship Id="journalLink966" Type="http://schemas.openxmlformats.org/officeDocument/2006/relationships/hyperlink" Target="https://huaxue.hebtu.edu.cn/a/2025/09/23/A5A5BBD96F6B4410B87B6D4C43BDFD63.html" TargetMode="External" /><ns0:Relationship Id="journalLink967" Type="http://schemas.openxmlformats.org/officeDocument/2006/relationships/hyperlink" Target="http://www.reproduction-online.org/" TargetMode="External" /><ns0:Relationship Id="journalLink968" Type="http://schemas.openxmlformats.org/officeDocument/2006/relationships/hyperlink" Target="https://openalex.org/S28473761" TargetMode="External" /><ns0:Relationship Id="journalLink969" Type="http://schemas.openxmlformats.org/officeDocument/2006/relationships/hyperlink" Target="https://www.niic.nsc.ru/phocadownload/publications/2025/JCR_JournalImpactFactor_2026.pdf#page=161" TargetMode="External" /><ns0:Relationship Id="journalLink970" Type="http://schemas.openxmlformats.org/officeDocument/2006/relationships/hyperlink" Target="https://huaxue.hebtu.edu.cn/a/2025/09/23/A5A5BBD96F6B4410B87B6D4C43BDFD63.html" TargetMode="External" /><ns0:Relationship Id="journalLink971" Type="http://schemas.openxmlformats.org/officeDocument/2006/relationships/hyperlink" Target="https://www.tandfonline.com/toc/twps20/current" TargetMode="External" /><ns0:Relationship Id="journalLink972" Type="http://schemas.openxmlformats.org/officeDocument/2006/relationships/hyperlink" Target="https://openalex.org/S160392558" TargetMode="External" /><ns0:Relationship Id="journalLink973" Type="http://schemas.openxmlformats.org/officeDocument/2006/relationships/hyperlink" Target="https://www.niic.nsc.ru/phocadownload/publications/2025/JCR_JournalImpactFactor_2026.pdf#page=230" TargetMode="External" /><ns0:Relationship Id="journalLink974" Type="http://schemas.openxmlformats.org/officeDocument/2006/relationships/hyperlink" Target="https://huaxue.hebtu.edu.cn/a/2025/09/23/A5A5BBD96F6B4410B87B6D4C43BDFD63.html" TargetMode="External" /><ns0:Relationship Id="journalLink975" Type="http://schemas.openxmlformats.org/officeDocument/2006/relationships/hyperlink" Target="https://www.journals.elsevier.com/animal-reproduction-science" TargetMode="External" /><ns0:Relationship Id="journalLink976" Type="http://schemas.openxmlformats.org/officeDocument/2006/relationships/hyperlink" Target="https://openalex.org/S162627789" TargetMode="External" /><ns0:Relationship Id="journalLink977" Type="http://schemas.openxmlformats.org/officeDocument/2006/relationships/hyperlink" Target="https://www.niic.nsc.ru/phocadownload/publications/2025/JCR_JournalImpactFactor_2026.pdf#page=176" TargetMode="External" /><ns0:Relationship Id="journalLink978" Type="http://schemas.openxmlformats.org/officeDocument/2006/relationships/hyperlink" Target="https://huaxue.hebtu.edu.cn/a/2025/09/23/A5A5BBD96F6B4410B87B6D4C43BDFD63.html" TargetMode="External" /><ns0:Relationship Id="journalLink979" Type="http://schemas.openxmlformats.org/officeDocument/2006/relationships/hyperlink" Target="https://academic.oup.com/biolreprod/issue" TargetMode="External" /><ns0:Relationship Id="journalLink980" Type="http://schemas.openxmlformats.org/officeDocument/2006/relationships/hyperlink" Target="https://openalex.org/S130598054" TargetMode="External" /><ns0:Relationship Id="journalLink981" Type="http://schemas.openxmlformats.org/officeDocument/2006/relationships/hyperlink" Target="https://www.niic.nsc.ru/phocadownload/publications/2025/JCR_JournalImpactFactor_2026.pdf#page=140" TargetMode="External" /><ns0:Relationship Id="journalLink982" Type="http://schemas.openxmlformats.org/officeDocument/2006/relationships/hyperlink" Target="https://huaxue.hebtu.edu.cn/a/2025/09/23/A5A5BBD96F6B4410B87B6D4C43BDFD63.html" TargetMode="External" /><ns0:Relationship Id="journalLink983" Type="http://schemas.openxmlformats.org/officeDocument/2006/relationships/hyperlink" Target="https://academic.oup.com/jas" TargetMode="External" /><ns0:Relationship Id="journalLink984" Type="http://schemas.openxmlformats.org/officeDocument/2006/relationships/hyperlink" Target="https://openalex.org/S72684844" TargetMode="External" /><ns0:Relationship Id="journalLink985" Type="http://schemas.openxmlformats.org/officeDocument/2006/relationships/hyperlink" Target="https://www.niic.nsc.ru/phocadownload/publications/2025/JCR_JournalImpactFactor_2026.pdf#page=176" TargetMode="External" /><ns0:Relationship Id="journalLink986" Type="http://schemas.openxmlformats.org/officeDocument/2006/relationships/hyperlink" Target="https://huaxue.hebtu.edu.cn/a/2025/09/23/A5A5BBD96F6B4410B87B6D4C43BDFD63.html" TargetMode="External" /><ns0:Relationship Id="journalLink987" Type="http://schemas.openxmlformats.org/officeDocument/2006/relationships/hyperlink" Target="https://www.journals.elsevier.com/animal-feed-science-and-technology" TargetMode="External" /><ns0:Relationship Id="journalLink988" Type="http://schemas.openxmlformats.org/officeDocument/2006/relationships/hyperlink" Target="https://openalex.org/S171407314" TargetMode="External" /><ns0:Relationship Id="journalLink989" Type="http://schemas.openxmlformats.org/officeDocument/2006/relationships/hyperlink" Target="https://www.niic.nsc.ru/phocadownload/publications/2025/JCR_JournalImpactFactor_2026.pdf#page=175" TargetMode="External" /><ns0:Relationship Id="journalLink990" Type="http://schemas.openxmlformats.org/officeDocument/2006/relationships/hyperlink" Target="https://huaxue.hebtu.edu.cn/a/2025/09/23/A5A5BBD96F6B4410B87B6D4C43BDFD63.html" TargetMode="External" /><ns0:Relationship Id="journalLink991" Type="http://schemas.openxmlformats.org/officeDocument/2006/relationships/hyperlink" Target="http://www.mdpi.com/journal/animals/" TargetMode="External" /><ns0:Relationship Id="journalLink992" Type="http://schemas.openxmlformats.org/officeDocument/2006/relationships/hyperlink" Target="https://openalex.org/S4210168508" TargetMode="External" /><ns0:Relationship Id="journalLink993" Type="http://schemas.openxmlformats.org/officeDocument/2006/relationships/hyperlink" Target="https://www.niic.nsc.ru/phocadownload/publications/2025/JCR_JournalImpactFactor_2026.pdf#page=176" TargetMode="External" /><ns0:Relationship Id="journalLink994" Type="http://schemas.openxmlformats.org/officeDocument/2006/relationships/hyperlink" Target="https://huaxue.hebtu.edu.cn/a/2025/09/23/A5A5BBD96F6B4410B87B6D4C43BDFD63.html" TargetMode="External" /><ns0:Relationship Id="journalLink995" Type="http://schemas.openxmlformats.org/officeDocument/2006/relationships/hyperlink" Target="https://www.animbiosci.org/index.php" TargetMode="External" /><ns0:Relationship Id="journalLink996" Type="http://schemas.openxmlformats.org/officeDocument/2006/relationships/hyperlink" Target="https://openalex.org/S4210214709" TargetMode="External" /><ns0:Relationship Id="journalLink997" Type="http://schemas.openxmlformats.org/officeDocument/2006/relationships/hyperlink" Target="https://www.niic.nsc.ru/phocadownload/publications/2025/JCR_JournalImpactFactor_2026.pdf#page=200" TargetMode="External" /><ns0:Relationship Id="journalLink998" Type="http://schemas.openxmlformats.org/officeDocument/2006/relationships/hyperlink" Target="https://huaxue.hebtu.edu.cn/a/2025/09/23/A5A5BBD96F6B4410B87B6D4C43BDFD63.html" TargetMode="External" /><ns0:Relationship Id="journalLink999" Type="http://schemas.openxmlformats.org/officeDocument/2006/relationships/hyperlink" Target="https://www.journals.elsevier.com/theriogenology" TargetMode="External" /><ns0:Relationship Id="journalLink1000" Type="http://schemas.openxmlformats.org/officeDocument/2006/relationships/hyperlink" Target="https://openalex.org/S43044067" TargetMode="External" /><ns0:Relationship Id="journalLink1001" Type="http://schemas.openxmlformats.org/officeDocument/2006/relationships/hyperlink" Target="https://www.niic.nsc.ru/phocadownload/publications/2025/JCR_JournalImpactFactor_2026.pdf#page=356" TargetMode="External" /><ns0:Relationship Id="journalLink1002" Type="http://schemas.openxmlformats.org/officeDocument/2006/relationships/hyperlink" Target="https://huaxue.hebtu.edu.cn/a/2025/09/23/A5A5BBD96F6B4410B87B6D4C43BDFD63.html" TargetMode="External" /><ns0:Relationship Id="journalLink1003" Type="http://schemas.openxmlformats.org/officeDocument/2006/relationships/hyperlink" Target="https://www.journals.elsevier.com/domestic-animal-endocrinology" TargetMode="External" /><ns0:Relationship Id="journalLink1004" Type="http://schemas.openxmlformats.org/officeDocument/2006/relationships/hyperlink" Target="https://openalex.org/S105143944" TargetMode="External" /><ns0:Relationship Id="journalLink1005" Type="http://schemas.openxmlformats.org/officeDocument/2006/relationships/hyperlink" Target="https://www.niic.nsc.ru/phocadownload/publications/2025/JCR_JournalImpactFactor_2026.pdf#page=230" TargetMode="External" /><ns0:Relationship Id="journalLink1006" Type="http://schemas.openxmlformats.org/officeDocument/2006/relationships/hyperlink" Target="https://huaxue.hebtu.edu.cn/a/2025/09/23/A5A5BBD96F6B4410B87B6D4C43BDFD63.html" TargetMode="External" /><ns0:Relationship Id="journalLink1007" Type="http://schemas.openxmlformats.org/officeDocument/2006/relationships/hyperlink" Target="https://www.journals.elsevier.com/applied-animal-behaviour-science" TargetMode="External" /><ns0:Relationship Id="journalLink1008" Type="http://schemas.openxmlformats.org/officeDocument/2006/relationships/hyperlink" Target="https://openalex.org/S179500637" TargetMode="External" /><ns0:Relationship Id="journalLink1009" Type="http://schemas.openxmlformats.org/officeDocument/2006/relationships/hyperlink" Target="https://www.niic.nsc.ru/phocadownload/publications/2025/JCR_JournalImpactFactor_2026.pdf#page=352" TargetMode="External" /><ns0:Relationship Id="journalLink1010" Type="http://schemas.openxmlformats.org/officeDocument/2006/relationships/hyperlink" Target="https://huaxue.hebtu.edu.cn/a/2025/09/23/A5A5BBD96F6B4410B87B6D4C43BDFD63.html" TargetMode="External" /><ns0:Relationship Id="journalLink1011" Type="http://schemas.openxmlformats.org/officeDocument/2006/relationships/hyperlink" Target="https://www.springer.com/journal/10806" TargetMode="External" /><ns0:Relationship Id="journalLink1012" Type="http://schemas.openxmlformats.org/officeDocument/2006/relationships/hyperlink" Target="https://openalex.org/S199978699" TargetMode="External" /><ns0:Relationship Id="journalLink1013" Type="http://schemas.openxmlformats.org/officeDocument/2006/relationships/hyperlink" Target="https://www.niic.nsc.ru/phocadownload/publications/2025/JCR_JournalImpactFactor_2026.pdf#page=210" TargetMode="External" /><ns0:Relationship Id="journalLink1014" Type="http://schemas.openxmlformats.org/officeDocument/2006/relationships/hyperlink" Target="https://huaxue.hebtu.edu.cn/a/2025/09/23/A5A5BBD96F6B4410B87B6D4C43BDFD63.html" TargetMode="External" /><ns0:Relationship Id="journalLink1015" Type="http://schemas.openxmlformats.org/officeDocument/2006/relationships/hyperlink" Target="https://onlinelibrary.wiley.com/journal/14390396" TargetMode="External" /><ns0:Relationship Id="journalLink1016" Type="http://schemas.openxmlformats.org/officeDocument/2006/relationships/hyperlink" Target="https://openalex.org/S77728970" TargetMode="External" /><ns0:Relationship Id="journalLink1017" Type="http://schemas.openxmlformats.org/officeDocument/2006/relationships/hyperlink" Target="https://www.niic.nsc.ru/phocadownload/publications/2025/JCR_JournalImpactFactor_2026.pdf#page=200" TargetMode="External" /><ns0:Relationship Id="journalLink1018" Type="http://schemas.openxmlformats.org/officeDocument/2006/relationships/hyperlink" Target="https://huaxue.hebtu.edu.cn/a/2025/09/23/A5A5BBD96F6B4410B87B6D4C43BDFD63.html" TargetMode="External" /><ns0:Relationship Id="journalLink1019" Type="http://schemas.openxmlformats.org/officeDocument/2006/relationships/hyperlink" Target="https://www.cambridge.org/core/journals/animal-welfare" TargetMode="External" /><ns0:Relationship Id="journalLink1020" Type="http://schemas.openxmlformats.org/officeDocument/2006/relationships/hyperlink" Target="https://openalex.org/S144449874" TargetMode="External" /><ns0:Relationship Id="journalLink1021" Type="http://schemas.openxmlformats.org/officeDocument/2006/relationships/hyperlink" Target="https://www.niic.nsc.ru/phocadownload/publications/2025/JCR_JournalImpactFactor_2026.pdf#page=268" TargetMode="External" /><ns0:Relationship Id="journalLink1022" Type="http://schemas.openxmlformats.org/officeDocument/2006/relationships/hyperlink" Target="https://huaxue.hebtu.edu.cn/a/2025/09/23/A5A5BBD96F6B4410B87B6D4C43BDFD63.html" TargetMode="External" /><ns0:Relationship Id="journalLink1023" Type="http://schemas.openxmlformats.org/officeDocument/2006/relationships/hyperlink" Target="https://www.journals.elsevier.com/journal-of-applied-poultry-research" TargetMode="External" /><ns0:Relationship Id="journalLink1024" Type="http://schemas.openxmlformats.org/officeDocument/2006/relationships/hyperlink" Target="https://openalex.org/S4210178300" TargetMode="External" /><ns0:Relationship Id="journalLink1025" Type="http://schemas.openxmlformats.org/officeDocument/2006/relationships/hyperlink" Target="https://www.niic.nsc.ru/phocadownload/publications/2025/JCR_JournalImpactFactor_2026.pdf#page=282" TargetMode="External" /><ns0:Relationship Id="journalLink1026" Type="http://schemas.openxmlformats.org/officeDocument/2006/relationships/hyperlink" Target="https://huaxue.hebtu.edu.cn/a/2025/09/23/A5A5BBD96F6B4410B87B6D4C43BDFD63.html" TargetMode="External" /><ns0:Relationship Id="journalLink1027" Type="http://schemas.openxmlformats.org/officeDocument/2006/relationships/hyperlink" Target="https://www.journals.elsevier.com/livestock-science" TargetMode="External" /><ns0:Relationship Id="journalLink1028" Type="http://schemas.openxmlformats.org/officeDocument/2006/relationships/hyperlink" Target="https://openalex.org/S14620535" TargetMode="External" /><ns0:Relationship Id="journalLink1029" Type="http://schemas.openxmlformats.org/officeDocument/2006/relationships/hyperlink" Target="https://www.niic.nsc.ru/phocadownload/publications/2025/JCR_JournalImpactFactor_2026.pdf#page=311" TargetMode="External" /><ns0:Relationship Id="journalLink1030" Type="http://schemas.openxmlformats.org/officeDocument/2006/relationships/hyperlink" Target="https://huaxue.hebtu.edu.cn/a/2025/09/23/A5A5BBD96F6B4410B87B6D4C43BDFD63.html" TargetMode="External" /><ns0:Relationship Id="journalLink1031" Type="http://schemas.openxmlformats.org/officeDocument/2006/relationships/hyperlink" Target="https://www.tandfonline.com/toc/labt20/current" TargetMode="External" /><ns0:Relationship Id="journalLink1032" Type="http://schemas.openxmlformats.org/officeDocument/2006/relationships/hyperlink" Target="https://openalex.org/S122350538" TargetMode="External" /><ns0:Relationship Id="journalLink1033" Type="http://schemas.openxmlformats.org/officeDocument/2006/relationships/hyperlink" Target="https://www.niic.nsc.ru/phocadownload/publications/2025/JCR_JournalImpactFactor_2026.pdf#page=356" TargetMode="External" /><ns0:Relationship Id="journalLink1034" Type="http://schemas.openxmlformats.org/officeDocument/2006/relationships/hyperlink" Target="https://huaxue.hebtu.edu.cn/a/2025/09/23/A5A5BBD96F6B4410B87B6D4C43BDFD63.html" TargetMode="External" /><ns0:Relationship Id="journalLink1035" Type="http://schemas.openxmlformats.org/officeDocument/2006/relationships/hyperlink" Target="https://onlinelibrary.wiley.com/journal/14390531" TargetMode="External" /><ns0:Relationship Id="journalLink1036" Type="http://schemas.openxmlformats.org/officeDocument/2006/relationships/hyperlink" Target="https://openalex.org/S147868187" TargetMode="External" /><ns0:Relationship Id="journalLink1037" Type="http://schemas.openxmlformats.org/officeDocument/2006/relationships/hyperlink" Target="https://www.niic.nsc.ru/phocadownload/publications/2025/JCR_JournalImpactFactor_2026.pdf#page=309" TargetMode="External" /><ns0:Relationship Id="journalLink1038" Type="http://schemas.openxmlformats.org/officeDocument/2006/relationships/hyperlink" Target="https://huaxue.hebtu.edu.cn/a/2025/09/23/A5A5BBD96F6B4410B87B6D4C43BDFD63.html" TargetMode="External" /><ns0:Relationship Id="journalLink1039" Type="http://schemas.openxmlformats.org/officeDocument/2006/relationships/hyperlink" Target="https://link.springer.com/journal/11250" TargetMode="External" /><ns0:Relationship Id="journalLink1040" Type="http://schemas.openxmlformats.org/officeDocument/2006/relationships/hyperlink" Target="https://openalex.org/S153189382" TargetMode="External" /><ns0:Relationship Id="journalLink1041" Type="http://schemas.openxmlformats.org/officeDocument/2006/relationships/hyperlink" Target="https://www.niic.nsc.ru/phocadownload/publications/2025/JCR_JournalImpactFactor_2026.pdf#page=324" TargetMode="External" /><ns0:Relationship Id="journalLink1042" Type="http://schemas.openxmlformats.org/officeDocument/2006/relationships/hyperlink" Target="https://huaxue.hebtu.edu.cn/a/2025/09/23/A5A5BBD96F6B4410B87B6D4C43BDFD63.html" TargetMode="External" /><ns0:Relationship Id="journalLink1043" Type="http://schemas.openxmlformats.org/officeDocument/2006/relationships/hyperlink" Target="http://www.archives-animal-breeding.net/" TargetMode="External" /><ns0:Relationship Id="journalLink1044" Type="http://schemas.openxmlformats.org/officeDocument/2006/relationships/hyperlink" Target="https://openalex.org/S4210199360" TargetMode="External" /><ns0:Relationship Id="journalLink1045" Type="http://schemas.openxmlformats.org/officeDocument/2006/relationships/hyperlink" Target="https://www.niic.nsc.ru/phocadownload/publications/2025/JCR_JournalImpactFactor_2026.pdf#page=340" TargetMode="External" /><ns0:Relationship Id="journalLink1046" Type="http://schemas.openxmlformats.org/officeDocument/2006/relationships/hyperlink" Target="https://huaxue.hebtu.edu.cn/a/2025/09/23/A5A5BBD96F6B4410B87B6D4C43BDFD63.html" TargetMode="External" /><ns0:Relationship Id="journalLink1047" Type="http://schemas.openxmlformats.org/officeDocument/2006/relationships/hyperlink" Target="https://www.journals.elsevier.com/small-ruminant-research" TargetMode="External" /><ns0:Relationship Id="journalLink1048" Type="http://schemas.openxmlformats.org/officeDocument/2006/relationships/hyperlink" Target="https://openalex.org/S127169255" TargetMode="External" /><ns0:Relationship Id="journalLink1049" Type="http://schemas.openxmlformats.org/officeDocument/2006/relationships/hyperlink" Target="https://www.niic.nsc.ru/phocadownload/publications/2025/JCR_JournalImpactFactor_2026.pdf#page=371" TargetMode="External" /><ns0:Relationship Id="journalLink1050" Type="http://schemas.openxmlformats.org/officeDocument/2006/relationships/hyperlink" Target="https://huaxue.hebtu.edu.cn/a/2025/09/23/A5A5BBD96F6B4410B87B6D4C43BDFD63.html" TargetMode="External" /><ns0:Relationship Id="journalLink1051" Type="http://schemas.openxmlformats.org/officeDocument/2006/relationships/hyperlink" Target="https://onlinelibrary.wiley.com/journal/17400929" TargetMode="External" /><ns0:Relationship Id="journalLink1052" Type="http://schemas.openxmlformats.org/officeDocument/2006/relationships/hyperlink" Target="https://openalex.org/S21531271" TargetMode="External" /><ns0:Relationship Id="journalLink1053" Type="http://schemas.openxmlformats.org/officeDocument/2006/relationships/hyperlink" Target="https://www.niic.nsc.ru/phocadownload/publications/2025/JCR_JournalImpactFactor_2026.pdf#page=375" TargetMode="External" /><ns0:Relationship Id="journalLink1054" Type="http://schemas.openxmlformats.org/officeDocument/2006/relationships/hyperlink" Target="https://huaxue.hebtu.edu.cn/a/2025/09/23/A5A5BBD96F6B4410B87B6D4C43BDFD63.html" TargetMode="External" /><ns0:Relationship Id="journalLink1055" Type="http://schemas.openxmlformats.org/officeDocument/2006/relationships/hyperlink" Target="http://journals.cambridge.org/action/displayjournal?jid=dar" TargetMode="External" /><ns0:Relationship Id="journalLink1056" Type="http://schemas.openxmlformats.org/officeDocument/2006/relationships/hyperlink" Target="https://openalex.org/S159932305" TargetMode="External" /><ns0:Relationship Id="journalLink1057" Type="http://schemas.openxmlformats.org/officeDocument/2006/relationships/hyperlink" Target="https://www.niic.nsc.ru/phocadownload/publications/2025/JCR_JournalImpactFactor_2026.pdf#page=201" TargetMode="External" /><ns0:Relationship Id="journalLink1058" Type="http://schemas.openxmlformats.org/officeDocument/2006/relationships/hyperlink" Target="https://huaxue.hebtu.edu.cn/a/2025/09/23/A5A5BBD96F6B4410B87B6D4C43BDFD63.html" TargetMode="External" /><ns0:Relationship Id="journalLink1059" Type="http://schemas.openxmlformats.org/officeDocument/2006/relationships/hyperlink" Target="http://www.izoo.krakow.pl/annals_of_animal_science.html" TargetMode="External" /><ns0:Relationship Id="journalLink1060" Type="http://schemas.openxmlformats.org/officeDocument/2006/relationships/hyperlink" Target="https://openalex.org/S15789839" TargetMode="External" /><ns0:Relationship Id="journalLink1061" Type="http://schemas.openxmlformats.org/officeDocument/2006/relationships/hyperlink" Target="https://www.niic.nsc.ru/phocadownload/publications/2025/JCR_JournalImpactFactor_2026.pdf#page=285" TargetMode="External" /><ns0:Relationship Id="journalLink1062" Type="http://schemas.openxmlformats.org/officeDocument/2006/relationships/hyperlink" Target="https://huaxue.hebtu.edu.cn/a/2025/09/23/A5A5BBD96F6B4410B87B6D4C43BDFD63.html" TargetMode="External" /><ns0:Relationship Id="journalLink1063" Type="http://schemas.openxmlformats.org/officeDocument/2006/relationships/hyperlink" Target="https://onlinelibrary.wiley.com/journal/13652052" TargetMode="External" /><ns0:Relationship Id="journalLink1064" Type="http://schemas.openxmlformats.org/officeDocument/2006/relationships/hyperlink" Target="https://openalex.org/S12146737" TargetMode="External" /><ns0:Relationship Id="journalLink1065" Type="http://schemas.openxmlformats.org/officeDocument/2006/relationships/hyperlink" Target="https://www.niic.nsc.ru/phocadownload/publications/2025/JCR_JournalImpactFactor_2026.pdf#page=354" TargetMode="External" /><ns0:Relationship Id="journalLink1066" Type="http://schemas.openxmlformats.org/officeDocument/2006/relationships/hyperlink" Target="https://huaxue.hebtu.edu.cn/a/2025/09/23/A5A5BBD96F6B4410B87B6D4C43BDFD63.html" TargetMode="External" /><ns0:Relationship Id="journalLink1067" Type="http://schemas.openxmlformats.org/officeDocument/2006/relationships/hyperlink" Target="https://www.tandfonline.com/toc/cbps20/current" TargetMode="External" /><ns0:Relationship Id="journalLink1068" Type="http://schemas.openxmlformats.org/officeDocument/2006/relationships/hyperlink" Target="https://openalex.org/S111213849" TargetMode="External" /><ns0:Relationship Id="journalLink1069" Type="http://schemas.openxmlformats.org/officeDocument/2006/relationships/hyperlink" Target="https://www.niic.nsc.ru/phocadownload/publications/2025/JCR_JournalImpactFactor_2026.pdf#page=441" TargetMode="External" /><ns0:Relationship Id="journalLink1070" Type="http://schemas.openxmlformats.org/officeDocument/2006/relationships/hyperlink" Target="https://huaxue.hebtu.edu.cn/a/2025/09/23/A5A5BBD96F6B4410B87B6D4C43BDFD63.html" TargetMode="External" /><ns0:Relationship Id="journalLink1071" Type="http://schemas.openxmlformats.org/officeDocument/2006/relationships/hyperlink" Target="https://polipapers.upv.es/index.php/wrs" TargetMode="External" /><ns0:Relationship Id="journalLink1072" Type="http://schemas.openxmlformats.org/officeDocument/2006/relationships/hyperlink" Target="https://openalex.org/S94467390" TargetMode="External" /><ns0:Relationship Id="journalLink1073" Type="http://schemas.openxmlformats.org/officeDocument/2006/relationships/hyperlink" Target="https://www.niic.nsc.ru/phocadownload/publications/2025/JCR_JournalImpactFactor_2026.pdf#page=423" TargetMode="External" /><ns0:Relationship Id="journalLink1074" Type="http://schemas.openxmlformats.org/officeDocument/2006/relationships/hyperlink" Target="https://huaxue.hebtu.edu.cn/a/2025/09/23/A5A5BBD96F6B4410B87B6D4C43BDFD63.html" TargetMode="External" /><ns0:Relationship Id="journalLink1075" Type="http://schemas.openxmlformats.org/officeDocument/2006/relationships/hyperlink" Target="http://www.publish.csiro.au/an" TargetMode="External" /><ns0:Relationship Id="journalLink1076" Type="http://schemas.openxmlformats.org/officeDocument/2006/relationships/hyperlink" Target="https://openalex.org/S95174952" TargetMode="External" /><ns0:Relationship Id="journalLink1077" Type="http://schemas.openxmlformats.org/officeDocument/2006/relationships/hyperlink" Target="https://www.niic.nsc.ru/phocadownload/publications/2025/JCR_JournalImpactFactor_2026.pdf#page=457" TargetMode="External" /><ns0:Relationship Id="journalLink1078" Type="http://schemas.openxmlformats.org/officeDocument/2006/relationships/hyperlink" Target="https://huaxue.hebtu.edu.cn/a/2025/09/23/A5A5BBD96F6B4410B87B6D4C43BDFD63.html" TargetMode="External" /><ns0:Relationship Id="journalLink1079" Type="http://schemas.openxmlformats.org/officeDocument/2006/relationships/hyperlink" Target="http://pubs.aic.ca/journal/cjas" TargetMode="External" /><ns0:Relationship Id="journalLink1080" Type="http://schemas.openxmlformats.org/officeDocument/2006/relationships/hyperlink" Target="https://openalex.org/S54036783" TargetMode="External" /><ns0:Relationship Id="journalLink1081" Type="http://schemas.openxmlformats.org/officeDocument/2006/relationships/hyperlink" Target="https://www.niic.nsc.ru/phocadownload/publications/2025/JCR_JournalImpactFactor_2026.pdf#page=40" TargetMode="External" /><ns0:Relationship Id="journalLink1082" Type="http://schemas.openxmlformats.org/officeDocument/2006/relationships/hyperlink" Target="https://huaxue.hebtu.edu.cn/a/2025/09/23/A5A5BBD96F6B4410B87B6D4C43BDFD63.html" TargetMode="External" /><ns0:Relationship Id="journalLink1083" Type="http://schemas.openxmlformats.org/officeDocument/2006/relationships/hyperlink" Target="https://www.journals.elsevier.com/trends-in-parasitology" TargetMode="External" /><ns0:Relationship Id="journalLink1084" Type="http://schemas.openxmlformats.org/officeDocument/2006/relationships/hyperlink" Target="https://openalex.org/S182404557" TargetMode="External" /><ns0:Relationship Id="journalLink1085" Type="http://schemas.openxmlformats.org/officeDocument/2006/relationships/hyperlink" Target="https://www.niic.nsc.ru/phocadownload/publications/2025/JCR_JournalImpactFactor_2026.pdf#page=77" TargetMode="External" /><ns0:Relationship Id="journalLink1086" Type="http://schemas.openxmlformats.org/officeDocument/2006/relationships/hyperlink" Target="https://huaxue.hebtu.edu.cn/a/2025/09/23/A5A5BBD96F6B4410B87B6D4C43BDFD63.html" TargetMode="External" /><ns0:Relationship Id="journalLink1087" Type="http://schemas.openxmlformats.org/officeDocument/2006/relationships/hyperlink" Target="https://www.journals.elsevier.com/one-health" TargetMode="External" /><ns0:Relationship Id="journalLink1088" Type="http://schemas.openxmlformats.org/officeDocument/2006/relationships/hyperlink" Target="https://openalex.org/S2898245483" TargetMode="External" /><ns0:Relationship Id="journalLink1089" Type="http://schemas.openxmlformats.org/officeDocument/2006/relationships/hyperlink" Target="https://www.niic.nsc.ru/phocadownload/publications/2025/JCR_JournalImpactFactor_2026.pdf#page=140" TargetMode="External" /><ns0:Relationship Id="journalLink1090" Type="http://schemas.openxmlformats.org/officeDocument/2006/relationships/hyperlink" Target="https://huaxue.hebtu.edu.cn/a/2025/09/23/A5A5BBD96F6B4410B87B6D4C43BDFD63.html" TargetMode="External" /><ns0:Relationship Id="journalLink1091" Type="http://schemas.openxmlformats.org/officeDocument/2006/relationships/hyperlink" Target="http://www.parasitesandvectors.com/" TargetMode="External" /><ns0:Relationship Id="journalLink1092" Type="http://schemas.openxmlformats.org/officeDocument/2006/relationships/hyperlink" Target="https://openalex.org/S80413395" TargetMode="External" /><ns0:Relationship Id="journalLink1093" Type="http://schemas.openxmlformats.org/officeDocument/2006/relationships/hyperlink" Target="https://www.niic.nsc.ru/phocadownload/publications/2025/JCR_JournalImpactFactor_2026.pdf#page=134" TargetMode="External" /><ns0:Relationship Id="journalLink1094" Type="http://schemas.openxmlformats.org/officeDocument/2006/relationships/hyperlink" Target="https://huaxue.hebtu.edu.cn/a/2025/09/23/A5A5BBD96F6B4410B87B6D4C43BDFD63.html" TargetMode="External" /><ns0:Relationship Id="journalLink1095" Type="http://schemas.openxmlformats.org/officeDocument/2006/relationships/hyperlink" Target="https://veterinaryresearch.biomedcentral.com/" TargetMode="External" /><ns0:Relationship Id="journalLink1096" Type="http://schemas.openxmlformats.org/officeDocument/2006/relationships/hyperlink" Target="https://openalex.org/S134003780" TargetMode="External" /><ns0:Relationship Id="journalLink1097" Type="http://schemas.openxmlformats.org/officeDocument/2006/relationships/hyperlink" Target="https://www.niic.nsc.ru/phocadownload/publications/2025/JCR_JournalImpactFactor_2026.pdf#page=168" TargetMode="External" /><ns0:Relationship Id="journalLink1098" Type="http://schemas.openxmlformats.org/officeDocument/2006/relationships/hyperlink" Target="https://huaxue.hebtu.edu.cn/a/2025/09/23/A5A5BBD96F6B4410B87B6D4C43BDFD63.html" TargetMode="External" /><ns0:Relationship Id="journalLink1099" Type="http://schemas.openxmlformats.org/officeDocument/2006/relationships/hyperlink" Target="http://www.elsevier.com/wps/find/journaldescription.cws_home/353/description#description" TargetMode="External" /><ns0:Relationship Id="journalLink1100" Type="http://schemas.openxmlformats.org/officeDocument/2006/relationships/hyperlink" Target="https://openalex.org/S163169856" TargetMode="External" /><ns0:Relationship Id="journalLink1101" Type="http://schemas.openxmlformats.org/officeDocument/2006/relationships/hyperlink" Target="https://www.niic.nsc.ru/phocadownload/publications/2025/JCR_JournalImpactFactor_2026.pdf#page=175" TargetMode="External" /><ns0:Relationship Id="journalLink1102" Type="http://schemas.openxmlformats.org/officeDocument/2006/relationships/hyperlink" Target="https://huaxue.hebtu.edu.cn/a/2025/09/23/A5A5BBD96F6B4410B87B6D4C43BDFD63.html" TargetMode="External" /><ns0:Relationship Id="journalLink1103" Type="http://schemas.openxmlformats.org/officeDocument/2006/relationships/hyperlink" Target="https://porcinehealthmanagement.biomedcentral.com/" TargetMode="External" /><ns0:Relationship Id="journalLink1104" Type="http://schemas.openxmlformats.org/officeDocument/2006/relationships/hyperlink" Target="https://openalex.org/S2737862693" TargetMode="External" /><ns0:Relationship Id="journalLink1105" Type="http://schemas.openxmlformats.org/officeDocument/2006/relationships/hyperlink" Target="https://www.niic.nsc.ru/phocadownload/publications/2025/JCR_JournalImpactFactor_2026.pdf#page=219" TargetMode="External" /><ns0:Relationship Id="journalLink1106" Type="http://schemas.openxmlformats.org/officeDocument/2006/relationships/hyperlink" Target="https://huaxue.hebtu.edu.cn/a/2025/09/23/A5A5BBD96F6B4410B87B6D4C43BDFD63.html" TargetMode="External" /><ns0:Relationship Id="journalLink1107" Type="http://schemas.openxmlformats.org/officeDocument/2006/relationships/hyperlink" Target="https://www.journals.elsevier.com/the-veterinary-journal" TargetMode="External" /><ns0:Relationship Id="journalLink1108" Type="http://schemas.openxmlformats.org/officeDocument/2006/relationships/hyperlink" Target="https://openalex.org/S86367086" TargetMode="External" /><ns0:Relationship Id="journalLink1109" Type="http://schemas.openxmlformats.org/officeDocument/2006/relationships/hyperlink" Target="https://www.niic.nsc.ru/phocadownload/publications/2025/JCR_JournalImpactFactor_2026.pdf#page=230" TargetMode="External" /><ns0:Relationship Id="journalLink1110" Type="http://schemas.openxmlformats.org/officeDocument/2006/relationships/hyperlink" Target="https://huaxue.hebtu.edu.cn/a/2025/09/23/A5A5BBD96F6B4410B87B6D4C43BDFD63.html" TargetMode="External" /><ns0:Relationship Id="journalLink1111" Type="http://schemas.openxmlformats.org/officeDocument/2006/relationships/hyperlink" Target="https://onlinelibrary.wiley.com/journal/18651682" TargetMode="External" /><ns0:Relationship Id="journalLink1112" Type="http://schemas.openxmlformats.org/officeDocument/2006/relationships/hyperlink" Target="https://openalex.org/S91749377" TargetMode="External" /><ns0:Relationship Id="journalLink1113" Type="http://schemas.openxmlformats.org/officeDocument/2006/relationships/hyperlink" Target="https://www.niic.nsc.ru/phocadownload/publications/2025/JCR_JournalImpactFactor_2026.pdf#page=183" TargetMode="External" /><ns0:Relationship Id="journalLink1114" Type="http://schemas.openxmlformats.org/officeDocument/2006/relationships/hyperlink" Target="https://huaxue.hebtu.edu.cn/a/2025/09/23/A5A5BBD96F6B4410B87B6D4C43BDFD63.html" TargetMode="External" /><ns0:Relationship Id="journalLink1115" Type="http://schemas.openxmlformats.org/officeDocument/2006/relationships/hyperlink" Target="http://www.frontiersin.org/Veterinary_Science" TargetMode="External" /><ns0:Relationship Id="journalLink1116" Type="http://schemas.openxmlformats.org/officeDocument/2006/relationships/hyperlink" Target="https://openalex.org/S2594976040" TargetMode="External" /><ns0:Relationship Id="journalLink1117" Type="http://schemas.openxmlformats.org/officeDocument/2006/relationships/hyperlink" Target="https://www.niic.nsc.ru/phocadownload/publications/2025/JCR_JournalImpactFactor_2026.pdf#page=210" TargetMode="External" /><ns0:Relationship Id="journalLink1118" Type="http://schemas.openxmlformats.org/officeDocument/2006/relationships/hyperlink" Target="https://huaxue.hebtu.edu.cn/a/2025/09/23/A5A5BBD96F6B4410B87B6D4C43BDFD63.html" TargetMode="External" /><ns0:Relationship Id="journalLink1119" Type="http://schemas.openxmlformats.org/officeDocument/2006/relationships/hyperlink" Target="https://www.journals.elsevier.com/veterinary-microbiology" TargetMode="External" /><ns0:Relationship Id="journalLink1120" Type="http://schemas.openxmlformats.org/officeDocument/2006/relationships/hyperlink" Target="https://openalex.org/S91748803" TargetMode="External" /><ns0:Relationship Id="journalLink1121" Type="http://schemas.openxmlformats.org/officeDocument/2006/relationships/hyperlink" Target="https://www.niic.nsc.ru/phocadownload/publications/2025/JCR_JournalImpactFactor_2026.pdf#page=183" TargetMode="External" /><ns0:Relationship Id="journalLink1122" Type="http://schemas.openxmlformats.org/officeDocument/2006/relationships/hyperlink" Target="https://huaxue.hebtu.edu.cn/a/2025/09/23/A5A5BBD96F6B4410B87B6D4C43BDFD63.html" TargetMode="External" /><ns0:Relationship Id="journalLink1123" Type="http://schemas.openxmlformats.org/officeDocument/2006/relationships/hyperlink" Target="https://bmcvetres.biomedcentral.com/" TargetMode="External" /><ns0:Relationship Id="journalLink1124" Type="http://schemas.openxmlformats.org/officeDocument/2006/relationships/hyperlink" Target="https://openalex.org/S197820984" TargetMode="External" /><ns0:Relationship Id="journalLink1125" Type="http://schemas.openxmlformats.org/officeDocument/2006/relationships/hyperlink" Target="https://www.niic.nsc.ru/phocadownload/publications/2025/JCR_JournalImpactFactor_2026.pdf#page=209" TargetMode="External" /><ns0:Relationship Id="journalLink1126" Type="http://schemas.openxmlformats.org/officeDocument/2006/relationships/hyperlink" Target="https://huaxue.hebtu.edu.cn/a/2025/09/23/A5A5BBD96F6B4410B87B6D4C43BDFD63.html" TargetMode="External" /><ns0:Relationship Id="journalLink1127" Type="http://schemas.openxmlformats.org/officeDocument/2006/relationships/hyperlink" Target="https://www.journals.elsevier.com/preventive-veterinary-medicine" TargetMode="External" /><ns0:Relationship Id="journalLink1128" Type="http://schemas.openxmlformats.org/officeDocument/2006/relationships/hyperlink" Target="https://openalex.org/S178566096" TargetMode="External" /><ns0:Relationship Id="journalLink1129" Type="http://schemas.openxmlformats.org/officeDocument/2006/relationships/hyperlink" Target="https://www.niic.nsc.ru/phocadownload/publications/2025/JCR_JournalImpactFactor_2026.pdf#page=253" TargetMode="External" /><ns0:Relationship Id="journalLink1130" Type="http://schemas.openxmlformats.org/officeDocument/2006/relationships/hyperlink" Target="https://huaxue.hebtu.edu.cn/a/2025/09/23/A5A5BBD96F6B4410B87B6D4C43BDFD63.html" TargetMode="External" /><ns0:Relationship Id="journalLink1131" Type="http://schemas.openxmlformats.org/officeDocument/2006/relationships/hyperlink" Target="https://onlinelibrary.wiley.com/journal/20423306" TargetMode="External" /><ns0:Relationship Id="journalLink1132" Type="http://schemas.openxmlformats.org/officeDocument/2006/relationships/hyperlink" Target="https://openalex.org/S144352947" TargetMode="External" /><ns0:Relationship Id="journalLink1133" Type="http://schemas.openxmlformats.org/officeDocument/2006/relationships/hyperlink" Target="https://www.niic.nsc.ru/phocadownload/publications/2025/JCR_JournalImpactFactor_2026.pdf#page=253" TargetMode="External" /><ns0:Relationship Id="journalLink1134" Type="http://schemas.openxmlformats.org/officeDocument/2006/relationships/hyperlink" Target="https://huaxue.hebtu.edu.cn/a/2025/09/23/A5A5BBD96F6B4410B87B6D4C43BDFD63.html" TargetMode="External" /><ns0:Relationship Id="journalLink1135" Type="http://schemas.openxmlformats.org/officeDocument/2006/relationships/hyperlink" Target="https://onlinelibrary.wiley.com/journal/19391676" TargetMode="External" /><ns0:Relationship Id="journalLink1136" Type="http://schemas.openxmlformats.org/officeDocument/2006/relationships/hyperlink" Target="https://openalex.org/S69093139" TargetMode="External" /><ns0:Relationship Id="journalLink1137" Type="http://schemas.openxmlformats.org/officeDocument/2006/relationships/hyperlink" Target="https://www.niic.nsc.ru/phocadownload/publications/2025/JCR_JournalImpactFactor_2026.pdf#page=269" TargetMode="External" /><ns0:Relationship Id="journalLink1138" Type="http://schemas.openxmlformats.org/officeDocument/2006/relationships/hyperlink" Target="https://huaxue.hebtu.edu.cn/a/2025/09/23/A5A5BBD96F6B4410B87B6D4C43BDFD63.html" TargetMode="External" /><ns0:Relationship Id="journalLink1139" Type="http://schemas.openxmlformats.org/officeDocument/2006/relationships/hyperlink" Target="http://vet.sagepub.com/" TargetMode="External" /><ns0:Relationship Id="journalLink1140" Type="http://schemas.openxmlformats.org/officeDocument/2006/relationships/hyperlink" Target="https://openalex.org/S195318895" TargetMode="External" /><ns0:Relationship Id="journalLink1141" Type="http://schemas.openxmlformats.org/officeDocument/2006/relationships/hyperlink" Target="https://www.niic.nsc.ru/phocadownload/publications/2025/JCR_JournalImpactFactor_2026.pdf#page=231" TargetMode="External" /><ns0:Relationship Id="journalLink1142" Type="http://schemas.openxmlformats.org/officeDocument/2006/relationships/hyperlink" Target="https://huaxue.hebtu.edu.cn/a/2025/09/23/A5A5BBD96F6B4410B87B6D4C43BDFD63.html" TargetMode="External" /><ns0:Relationship Id="journalLink1143" Type="http://schemas.openxmlformats.org/officeDocument/2006/relationships/hyperlink" Target="https://www.journals.elsevier.com/acta-tropica" TargetMode="External" /><ns0:Relationship Id="journalLink1144" Type="http://schemas.openxmlformats.org/officeDocument/2006/relationships/hyperlink" Target="https://openalex.org/S190456265" TargetMode="External" /><ns0:Relationship Id="journalLink1145" Type="http://schemas.openxmlformats.org/officeDocument/2006/relationships/hyperlink" Target="https://www.niic.nsc.ru/phocadownload/publications/2025/JCR_JournalImpactFactor_2026.pdf#page=244" TargetMode="External" /><ns0:Relationship Id="journalLink1146" Type="http://schemas.openxmlformats.org/officeDocument/2006/relationships/hyperlink" Target="https://huaxue.hebtu.edu.cn/a/2025/09/23/A5A5BBD96F6B4410B87B6D4C43BDFD63.html" TargetMode="External" /><ns0:Relationship Id="journalLink1147" Type="http://schemas.openxmlformats.org/officeDocument/2006/relationships/hyperlink" Target="https://www.cambridge.org/core/journals/parasitology" TargetMode="External" /><ns0:Relationship Id="journalLink1148" Type="http://schemas.openxmlformats.org/officeDocument/2006/relationships/hyperlink" Target="https://openalex.org/S161475033" TargetMode="External" /><ns0:Relationship Id="journalLink1149" Type="http://schemas.openxmlformats.org/officeDocument/2006/relationships/hyperlink" Target="https://www.niic.nsc.ru/phocadownload/publications/2025/JCR_JournalImpactFactor_2026.pdf#page=211" TargetMode="External" /><ns0:Relationship Id="journalLink1150" Type="http://schemas.openxmlformats.org/officeDocument/2006/relationships/hyperlink" Target="https://huaxue.hebtu.edu.cn/a/2025/09/23/A5A5BBD96F6B4410B87B6D4C43BDFD63.html" TargetMode="External" /><ns0:Relationship Id="journalLink1151" Type="http://schemas.openxmlformats.org/officeDocument/2006/relationships/hyperlink" Target="http://www.parasite-journal.org/" TargetMode="External" /><ns0:Relationship Id="journalLink1152" Type="http://schemas.openxmlformats.org/officeDocument/2006/relationships/hyperlink" Target="https://openalex.org/S51637054" TargetMode="External" /><ns0:Relationship Id="journalLink1153" Type="http://schemas.openxmlformats.org/officeDocument/2006/relationships/hyperlink" Target="https://www.niic.nsc.ru/phocadownload/publications/2025/JCR_JournalImpactFactor_2026.pdf#page=219" TargetMode="External" /><ns0:Relationship Id="journalLink1154" Type="http://schemas.openxmlformats.org/officeDocument/2006/relationships/hyperlink" Target="https://huaxue.hebtu.edu.cn/a/2025/09/23/A5A5BBD96F6B4410B87B6D4C43BDFD63.html" TargetMode="External" /><ns0:Relationship Id="journalLink1155" Type="http://schemas.openxmlformats.org/officeDocument/2006/relationships/hyperlink" Target="https://www.tandfonline.com/toc/cavp20/current" TargetMode="External" /><ns0:Relationship Id="journalLink1156" Type="http://schemas.openxmlformats.org/officeDocument/2006/relationships/hyperlink" Target="https://openalex.org/S101755860" TargetMode="External" /><ns0:Relationship Id="journalLink1157" Type="http://schemas.openxmlformats.org/officeDocument/2006/relationships/hyperlink" Target="https://www.niic.nsc.ru/phocadownload/publications/2025/JCR_JournalImpactFactor_2026.pdf#page=220" TargetMode="External" /><ns0:Relationship Id="journalLink1158" Type="http://schemas.openxmlformats.org/officeDocument/2006/relationships/hyperlink" Target="https://huaxue.hebtu.edu.cn/a/2025/09/23/A5A5BBD96F6B4410B87B6D4C43BDFD63.html" TargetMode="External" /><ns0:Relationship Id="journalLink1159" Type="http://schemas.openxmlformats.org/officeDocument/2006/relationships/hyperlink" Target="https://www.journals.elsevier.com/veterinary-parasitology" TargetMode="External" /><ns0:Relationship Id="journalLink1160" Type="http://schemas.openxmlformats.org/officeDocument/2006/relationships/hyperlink" Target="https://openalex.org/S11852655" TargetMode="External" /><ns0:Relationship Id="journalLink1161" Type="http://schemas.openxmlformats.org/officeDocument/2006/relationships/hyperlink" Target="https://www.niic.nsc.ru/phocadownload/publications/2025/JCR_JournalImpactFactor_2026.pdf#page=280" TargetMode="External" /><ns0:Relationship Id="journalLink1162" Type="http://schemas.openxmlformats.org/officeDocument/2006/relationships/hyperlink" Target="https://huaxue.hebtu.edu.cn/a/2025/09/23/A5A5BBD96F6B4410B87B6D4C43BDFD63.html" TargetMode="External" /><ns0:Relationship Id="journalLink1163" Type="http://schemas.openxmlformats.org/officeDocument/2006/relationships/hyperlink" Target="https://www.springer.com/journal/11259" TargetMode="External" /><ns0:Relationship Id="journalLink1164" Type="http://schemas.openxmlformats.org/officeDocument/2006/relationships/hyperlink" Target="https://openalex.org/S146569788" TargetMode="External" /><ns0:Relationship Id="journalLink1165" Type="http://schemas.openxmlformats.org/officeDocument/2006/relationships/hyperlink" Target="https://www.niic.nsc.ru/phocadownload/publications/2025/JCR_JournalImpactFactor_2026.pdf#page=266" TargetMode="External" /><ns0:Relationship Id="journalLink1166" Type="http://schemas.openxmlformats.org/officeDocument/2006/relationships/hyperlink" Target="https://huaxue.hebtu.edu.cn/a/2025/09/23/A5A5BBD96F6B4410B87B6D4C43BDFD63.html" TargetMode="External" /><ns0:Relationship Id="journalLink1167" Type="http://schemas.openxmlformats.org/officeDocument/2006/relationships/hyperlink" Target="https://avmajournals.avma.org/view/journals/javma/javma-overview.xml" TargetMode="External" /><ns0:Relationship Id="journalLink1168" Type="http://schemas.openxmlformats.org/officeDocument/2006/relationships/hyperlink" Target="https://avmajournals.avma.org/view/journals/javma/javma-overview.xml" TargetMode="External" /><ns0:Relationship Id="journalLink1169" Type="http://schemas.openxmlformats.org/officeDocument/2006/relationships/hyperlink" Target="https://www.niic.nsc.ru/phocadownload/publications/2025/JCR_JournalImpactFactor_2026.pdf#page=292" TargetMode="External" /><ns0:Relationship Id="journalLink1170" Type="http://schemas.openxmlformats.org/officeDocument/2006/relationships/hyperlink" Target="https://huaxue.hebtu.edu.cn/a/2025/09/23/A5A5BBD96F6B4410B87B6D4C43BDFD63.html" TargetMode="External" /><ns0:Relationship Id="journalLink1171" Type="http://schemas.openxmlformats.org/officeDocument/2006/relationships/hyperlink" Target="https://www.journals.elsevier.com/research-in-veterinary-science" TargetMode="External" /><ns0:Relationship Id="journalLink1172" Type="http://schemas.openxmlformats.org/officeDocument/2006/relationships/hyperlink" Target="https://openalex.org/S196403249" TargetMode="External" /><ns0:Relationship Id="journalLink1173" Type="http://schemas.openxmlformats.org/officeDocument/2006/relationships/hyperlink" Target="https://www.niic.nsc.ru/phocadownload/publications/2025/JCR_JournalImpactFactor_2026.pdf#page=293" TargetMode="External" /><ns0:Relationship Id="journalLink1174" Type="http://schemas.openxmlformats.org/officeDocument/2006/relationships/hyperlink" Target="https://huaxue.hebtu.edu.cn/a/2025/09/23/A5A5BBD96F6B4410B87B6D4C43BDFD63.html" TargetMode="External" /><ns0:Relationship Id="journalLink1175" Type="http://schemas.openxmlformats.org/officeDocument/2006/relationships/hyperlink" Target="https://onlinelibrary.wiley.com/journal/20531095" TargetMode="External" /><ns0:Relationship Id="journalLink1176" Type="http://schemas.openxmlformats.org/officeDocument/2006/relationships/hyperlink" Target="https://openalex.org/S4210212351" TargetMode="External" /><ns0:Relationship Id="journalLink1177" Type="http://schemas.openxmlformats.org/officeDocument/2006/relationships/hyperlink" Target="https://www.niic.nsc.ru/phocadownload/publications/2025/JCR_JournalImpactFactor_2026.pdf#page=338" TargetMode="External" /><ns0:Relationship Id="journalLink1178" Type="http://schemas.openxmlformats.org/officeDocument/2006/relationships/hyperlink" Target="https://huaxue.hebtu.edu.cn/a/2025/09/23/A5A5BBD96F6B4410B87B6D4C43BDFD63.html" TargetMode="External" /><ns0:Relationship Id="journalLink1179" Type="http://schemas.openxmlformats.org/officeDocument/2006/relationships/hyperlink" Target="http://www.vetsci.org/" TargetMode="External" /><ns0:Relationship Id="journalLink1180" Type="http://schemas.openxmlformats.org/officeDocument/2006/relationships/hyperlink" Target="https://openalex.org/S116496814" TargetMode="External" /><ns0:Relationship Id="journalLink1181" Type="http://schemas.openxmlformats.org/officeDocument/2006/relationships/hyperlink" Target="https://www.niic.nsc.ru/phocadownload/publications/2025/JCR_JournalImpactFactor_2026.pdf#page=368" TargetMode="External" /><ns0:Relationship Id="journalLink1182" Type="http://schemas.openxmlformats.org/officeDocument/2006/relationships/hyperlink" Target="https://huaxue.hebtu.edu.cn/a/2025/09/23/A5A5BBD96F6B4410B87B6D4C43BDFD63.html" TargetMode="External" /><ns0:Relationship Id="journalLink1183" Type="http://schemas.openxmlformats.org/officeDocument/2006/relationships/hyperlink" Target="http://avmajournals.avma.org" TargetMode="External" /><ns0:Relationship Id="journalLink1184" Type="http://schemas.openxmlformats.org/officeDocument/2006/relationships/hyperlink" Target="https://openalex.org/S196975874" TargetMode="External" /><ns0:Relationship Id="journalLink1185" Type="http://schemas.openxmlformats.org/officeDocument/2006/relationships/hyperlink" Target="https://www.niic.nsc.ru/phocadownload/publications/2025/JCR_JournalImpactFactor_2026.pdf#page=342" TargetMode="External" /><ns0:Relationship Id="journalLink1186" Type="http://schemas.openxmlformats.org/officeDocument/2006/relationships/hyperlink" Target="https://huaxue.hebtu.edu.cn/a/2025/09/23/A5A5BBD96F6B4410B87B6D4C43BDFD63.html" TargetMode="External" /><ns0:Relationship Id="journalLink1187" Type="http://schemas.openxmlformats.org/officeDocument/2006/relationships/hyperlink" Target="http://www.elsevier.com/wps/find/journaldescription.cws_home/503319/description#description" TargetMode="External" /><ns0:Relationship Id="journalLink1188" Type="http://schemas.openxmlformats.org/officeDocument/2006/relationships/hyperlink" Target="https://openalex.org/S194416120" TargetMode="External" /><ns0:Relationship Id="journalLink1189" Type="http://schemas.openxmlformats.org/officeDocument/2006/relationships/hyperlink" Target="https://www.niic.nsc.ru/phocadownload/publications/2025/JCR_JournalImpactFactor_2026.pdf#page=490" TargetMode="External" /><ns0:Relationship Id="journalLink1190" Type="http://schemas.openxmlformats.org/officeDocument/2006/relationships/hyperlink" Target="https://huaxue.hebtu.edu.cn/a/2025/09/23/A5A5BBD96F6B4410B87B6D4C43BDFD63.html" TargetMode="External" /><ns0:Relationship Id="journalLink1191" Type="http://schemas.openxmlformats.org/officeDocument/2006/relationships/hyperlink" Target="https://bvajournals.onlinelibrary.wiley.com/journal/20427670" TargetMode="External" /><ns0:Relationship Id="journalLink1192" Type="http://schemas.openxmlformats.org/officeDocument/2006/relationships/hyperlink" Target="https://openalex.org/S23243006" TargetMode="External" /><ns0:Relationship Id="journalLink1193" Type="http://schemas.openxmlformats.org/officeDocument/2006/relationships/hyperlink" Target="https://www.niic.nsc.ru/phocadownload/publications/2025/JCR_JournalImpactFactor_2026.pdf#page=325" TargetMode="External" /><ns0:Relationship Id="journalLink1194" Type="http://schemas.openxmlformats.org/officeDocument/2006/relationships/hyperlink" Target="https://huaxue.hebtu.edu.cn/a/2025/09/23/A5A5BBD96F6B4410B87B6D4C43BDFD63.html" TargetMode="External" /><ns0:Relationship Id="journalLink1195" Type="http://schemas.openxmlformats.org/officeDocument/2006/relationships/hyperlink" Target="https://www.springer.com/journal/436" TargetMode="External" /><ns0:Relationship Id="journalLink1196" Type="http://schemas.openxmlformats.org/officeDocument/2006/relationships/hyperlink" Target="https://openalex.org/S155128447" TargetMode="External" /><ns0:Relationship Id="journalLink1197" Type="http://schemas.openxmlformats.org/officeDocument/2006/relationships/hyperlink" Target="https://www.niic.nsc.ru/phocadownload/publications/2025/JCR_JournalImpactFactor_2026.pdf#page=342" TargetMode="External" /><ns0:Relationship Id="journalLink1198" Type="http://schemas.openxmlformats.org/officeDocument/2006/relationships/hyperlink" Target="https://huaxue.hebtu.edu.cn/a/2025/09/23/A5A5BBD96F6B4410B87B6D4C43BDFD63.html" TargetMode="External" /><ns0:Relationship Id="journalLink1199" Type="http://schemas.openxmlformats.org/officeDocument/2006/relationships/hyperlink" Target="https://www.journals.elsevier.com/experimental-parasitology" TargetMode="External" /><ns0:Relationship Id="journalLink1200" Type="http://schemas.openxmlformats.org/officeDocument/2006/relationships/hyperlink" Target="https://openalex.org/S102868315" TargetMode="External" /><ns0:Relationship Id="journalLink1201" Type="http://schemas.openxmlformats.org/officeDocument/2006/relationships/hyperlink" Target="https://www.niic.nsc.ru/phocadownload/publications/2025/JCR_JournalImpactFactor_2026.pdf#page=421" TargetMode="External" /><ns0:Relationship Id="journalLink1202" Type="http://schemas.openxmlformats.org/officeDocument/2006/relationships/hyperlink" Target="https://huaxue.hebtu.edu.cn/a/2025/09/23/A5A5BBD96F6B4410B87B6D4C43BDFD63.html" TargetMode="External" /><ns0:Relationship Id="journalLink1203" Type="http://schemas.openxmlformats.org/officeDocument/2006/relationships/hyperlink" Target="http://www.aaap.info/aviandiseases" TargetMode="External" /><ns0:Relationship Id="journalLink1204" Type="http://schemas.openxmlformats.org/officeDocument/2006/relationships/hyperlink" Target="https://openalex.org/S68792902" TargetMode="External" /><ns0:Relationship Id="journalLink1205" Type="http://schemas.openxmlformats.org/officeDocument/2006/relationships/hyperlink" Target="https://www.niic.nsc.ru/phocadownload/publications/2025/JCR_JournalImpactFactor_2026.pdf#page=402" TargetMode="External" /><ns0:Relationship Id="journalLink1206" Type="http://schemas.openxmlformats.org/officeDocument/2006/relationships/hyperlink" Target="https://huaxue.hebtu.edu.cn/a/2025/09/23/A5A5BBD96F6B4410B87B6D4C43BDFD63.html" TargetMode="External" /><ns0:Relationship Id="journalLink1207" Type="http://schemas.openxmlformats.org/officeDocument/2006/relationships/hyperlink" Target="http://vdi.sagepub.com/" TargetMode="External" /><ns0:Relationship Id="journalLink1208" Type="http://schemas.openxmlformats.org/officeDocument/2006/relationships/hyperlink" Target="https://openalex.org/S206734468" TargetMode="External" /><ns0:Relationship Id="journalLink1209" Type="http://schemas.openxmlformats.org/officeDocument/2006/relationships/hyperlink" Target="https://www.niic.nsc.ru/phocadownload/publications/2025/JCR_JournalImpactFactor_2026.pdf#page=453" TargetMode="External" /><ns0:Relationship Id="journalLink1210" Type="http://schemas.openxmlformats.org/officeDocument/2006/relationships/hyperlink" Target="https://huaxue.hebtu.edu.cn/a/2025/09/23/A5A5BBD96F6B4410B87B6D4C43BDFD63.html" TargetMode="External" /><ns0:Relationship Id="journalLink1211" Type="http://schemas.openxmlformats.org/officeDocument/2006/relationships/hyperlink" Target="https://www.jstage.jst.go.jp/browse/jvms/-char/en" TargetMode="External" /><ns0:Relationship Id="journalLink1212" Type="http://schemas.openxmlformats.org/officeDocument/2006/relationships/hyperlink" Target="https://www.jstage.jst.go.jp/browse/jvms/-char/en" TargetMode="External" /><ns0:Relationship Id="journalLink1213" Type="http://schemas.openxmlformats.org/officeDocument/2006/relationships/hyperlink" Target="https://www.niic.nsc.ru/phocadownload/publications/2025/JCR_JournalImpactFactor_2026.pdf#page=13" TargetMode="External" /><ns0:Relationship Id="journalLink1214" Type="http://schemas.openxmlformats.org/officeDocument/2006/relationships/hyperlink" Target="https://huaxue.hebtu.edu.cn/a/2025/09/23/A5A5BBD96F6B4410B87B6D4C43BDFD63.html" TargetMode="External" /><ns0:Relationship Id="journalLink1215" Type="http://schemas.openxmlformats.org/officeDocument/2006/relationships/hyperlink" Target="https://onlinelibrary.wiley.com/journal/17535131" TargetMode="External" /><ns0:Relationship Id="journalLink1216" Type="http://schemas.openxmlformats.org/officeDocument/2006/relationships/hyperlink" Target="https://openalex.org/S60775588" TargetMode="External" /><ns0:Relationship Id="journalLink1217" Type="http://schemas.openxmlformats.org/officeDocument/2006/relationships/hyperlink" Target="https://www.niic.nsc.ru/phocadownload/publications/2025/JCR_JournalImpactFactor_2026.pdf#page=56" TargetMode="External" /><ns0:Relationship Id="journalLink1218" Type="http://schemas.openxmlformats.org/officeDocument/2006/relationships/hyperlink" Target="https://huaxue.hebtu.edu.cn/a/2025/09/23/A5A5BBD96F6B4410B87B6D4C43BDFD63.html" TargetMode="External" /><ns0:Relationship Id="journalLink1219" Type="http://schemas.openxmlformats.org/officeDocument/2006/relationships/hyperlink" Target="https://onlinelibrary.wiley.com/journal/14672979" TargetMode="External" /><ns0:Relationship Id="journalLink1220" Type="http://schemas.openxmlformats.org/officeDocument/2006/relationships/hyperlink" Target="https://openalex.org/S103284624" TargetMode="External" /><ns0:Relationship Id="journalLink1221" Type="http://schemas.openxmlformats.org/officeDocument/2006/relationships/hyperlink" Target="https://www.niic.nsc.ru/phocadownload/publications/2025/JCR_JournalImpactFactor_2026.pdf#page=67" TargetMode="External" /><ns0:Relationship Id="journalLink1222" Type="http://schemas.openxmlformats.org/officeDocument/2006/relationships/hyperlink" Target="https://huaxue.hebtu.edu.cn/a/2025/09/23/A5A5BBD96F6B4410B87B6D4C43BDFD63.html" TargetMode="External" /><ns0:Relationship Id="journalLink1223" Type="http://schemas.openxmlformats.org/officeDocument/2006/relationships/hyperlink" Target="https://link.springer.com/journal/42995" TargetMode="External" /><ns0:Relationship Id="journalLink1224" Type="http://schemas.openxmlformats.org/officeDocument/2006/relationships/hyperlink" Target="https://openalex.org/S4210210781" TargetMode="External" /><ns0:Relationship Id="journalLink1225" Type="http://schemas.openxmlformats.org/officeDocument/2006/relationships/hyperlink" Target="https://www.niic.nsc.ru/phocadownload/publications/2025/JCR_JournalImpactFactor_2026.pdf#page=38" TargetMode="External" /><ns0:Relationship Id="journalLink1226" Type="http://schemas.openxmlformats.org/officeDocument/2006/relationships/hyperlink" Target="https://huaxue.hebtu.edu.cn/a/2025/09/23/A5A5BBD96F6B4410B87B6D4C43BDFD63.html" TargetMode="External" /><ns0:Relationship Id="journalLink1227" Type="http://schemas.openxmlformats.org/officeDocument/2006/relationships/hyperlink" Target="https://www.tandfonline.com/toc/brfs21/current" TargetMode="External" /><ns0:Relationship Id="journalLink1228" Type="http://schemas.openxmlformats.org/officeDocument/2006/relationships/hyperlink" Target="https://openalex.org/S4210174131" TargetMode="External" /><ns0:Relationship Id="journalLink1229" Type="http://schemas.openxmlformats.org/officeDocument/2006/relationships/hyperlink" Target="https://www.niic.nsc.ru/phocadownload/publications/2025/JCR_JournalImpactFactor_2026.pdf#page=68" TargetMode="External" /><ns0:Relationship Id="journalLink1230" Type="http://schemas.openxmlformats.org/officeDocument/2006/relationships/hyperlink" Target="https://huaxue.hebtu.edu.cn/a/2025/09/23/A5A5BBD96F6B4410B87B6D4C43BDFD63.html" TargetMode="External" /><ns0:Relationship Id="journalLink1231" Type="http://schemas.openxmlformats.org/officeDocument/2006/relationships/hyperlink" Target="http://www.mdpi.com/journal/marinedrugs/" TargetMode="External" /><ns0:Relationship Id="journalLink1232" Type="http://schemas.openxmlformats.org/officeDocument/2006/relationships/hyperlink" Target="https://openalex.org/S146563757" TargetMode="External" /><ns0:Relationship Id="journalLink1233" Type="http://schemas.openxmlformats.org/officeDocument/2006/relationships/hyperlink" Target="https://www.niic.nsc.ru/phocadownload/publications/2025/JCR_JournalImpactFactor_2026.pdf#page=64" TargetMode="External" /><ns0:Relationship Id="journalLink1234" Type="http://schemas.openxmlformats.org/officeDocument/2006/relationships/hyperlink" Target="https://huaxue.hebtu.edu.cn/a/2025/09/23/A5A5BBD96F6B4410B87B6D4C43BDFD63.html" TargetMode="External" /><ns0:Relationship Id="journalLink1235" Type="http://schemas.openxmlformats.org/officeDocument/2006/relationships/hyperlink" Target="https://www.journals.elsevier.com/ocean-and-coastal-management" TargetMode="External" /><ns0:Relationship Id="journalLink1236" Type="http://schemas.openxmlformats.org/officeDocument/2006/relationships/hyperlink" Target="https://openalex.org/S8178725" TargetMode="External" /><ns0:Relationship Id="journalLink1237" Type="http://schemas.openxmlformats.org/officeDocument/2006/relationships/hyperlink" Target="https://www.niic.nsc.ru/phocadownload/publications/2025/JCR_JournalImpactFactor_2026.pdf#page=86" TargetMode="External" /><ns0:Relationship Id="journalLink1238" Type="http://schemas.openxmlformats.org/officeDocument/2006/relationships/hyperlink" Target="https://huaxue.hebtu.edu.cn/a/2025/09/23/A5A5BBD96F6B4410B87B6D4C43BDFD63.html" TargetMode="External" /><ns0:Relationship Id="journalLink1239" Type="http://schemas.openxmlformats.org/officeDocument/2006/relationships/hyperlink" Target="https://www.journals.elsevier.com/algal-research" TargetMode="External" /><ns0:Relationship Id="journalLink1240" Type="http://schemas.openxmlformats.org/officeDocument/2006/relationships/hyperlink" Target="https://openalex.org/S2502055758" TargetMode="External" /><ns0:Relationship Id="journalLink1241" Type="http://schemas.openxmlformats.org/officeDocument/2006/relationships/hyperlink" Target="https://www.niic.nsc.ru/phocadownload/publications/2025/JCR_JournalImpactFactor_2026.pdf#page=118" TargetMode="External" /><ns0:Relationship Id="journalLink1242" Type="http://schemas.openxmlformats.org/officeDocument/2006/relationships/hyperlink" Target="https://huaxue.hebtu.edu.cn/a/2025/09/23/A5A5BBD96F6B4410B87B6D4C43BDFD63.html" TargetMode="External" /><ns0:Relationship Id="journalLink1243" Type="http://schemas.openxmlformats.org/officeDocument/2006/relationships/hyperlink" Target="https://www.journals.elsevier.com/harmful-algae" TargetMode="External" /><ns0:Relationship Id="journalLink1244" Type="http://schemas.openxmlformats.org/officeDocument/2006/relationships/hyperlink" Target="https://openalex.org/S26186121" TargetMode="External" /><ns0:Relationship Id="journalLink1245" Type="http://schemas.openxmlformats.org/officeDocument/2006/relationships/hyperlink" Target="https://www.niic.nsc.ru/phocadownload/publications/2025/JCR_JournalImpactFactor_2026.pdf#page=107" TargetMode="External" /><ns0:Relationship Id="journalLink1246" Type="http://schemas.openxmlformats.org/officeDocument/2006/relationships/hyperlink" Target="https://huaxue.hebtu.edu.cn/a/2025/09/23/A5A5BBD96F6B4410B87B6D4C43BDFD63.html" TargetMode="External" /><ns0:Relationship Id="journalLink1247" Type="http://schemas.openxmlformats.org/officeDocument/2006/relationships/hyperlink" Target="https://www.journals.elsevier.com/aquacultural-engineering" TargetMode="External" /><ns0:Relationship Id="journalLink1248" Type="http://schemas.openxmlformats.org/officeDocument/2006/relationships/hyperlink" Target="https://openalex.org/S42973710" TargetMode="External" /><ns0:Relationship Id="journalLink1249" Type="http://schemas.openxmlformats.org/officeDocument/2006/relationships/hyperlink" Target="https://www.niic.nsc.ru/phocadownload/publications/2025/JCR_JournalImpactFactor_2026.pdf#page=106" TargetMode="External" /><ns0:Relationship Id="journalLink1250" Type="http://schemas.openxmlformats.org/officeDocument/2006/relationships/hyperlink" Target="https://huaxue.hebtu.edu.cn/a/2025/09/23/A5A5BBD96F6B4410B87B6D4C43BDFD63.html" TargetMode="External" /><ns0:Relationship Id="journalLink1251" Type="http://schemas.openxmlformats.org/officeDocument/2006/relationships/hyperlink" Target="http://www.elsevier.com/wps/find/journaldescription.cws_home/503302/description" TargetMode="External" /><ns0:Relationship Id="journalLink1252" Type="http://schemas.openxmlformats.org/officeDocument/2006/relationships/hyperlink" Target="https://openalex.org/S104261359" TargetMode="External" /><ns0:Relationship Id="journalLink1253" Type="http://schemas.openxmlformats.org/officeDocument/2006/relationships/hyperlink" Target="https://www.niic.nsc.ru/phocadownload/publications/2025/JCR_JournalImpactFactor_2026.pdf#page=98" TargetMode="External" /><ns0:Relationship Id="journalLink1254" Type="http://schemas.openxmlformats.org/officeDocument/2006/relationships/hyperlink" Target="https://huaxue.hebtu.edu.cn/a/2025/09/23/A5A5BBD96F6B4410B87B6D4C43BDFD63.html" TargetMode="External" /><ns0:Relationship Id="journalLink1255" Type="http://schemas.openxmlformats.org/officeDocument/2006/relationships/hyperlink" Target="https://onlinelibrary.wiley.com/journal/13652095" TargetMode="External" /><ns0:Relationship Id="journalLink1256" Type="http://schemas.openxmlformats.org/officeDocument/2006/relationships/hyperlink" Target="https://openalex.org/S126023004" TargetMode="External" /><ns0:Relationship Id="journalLink1257" Type="http://schemas.openxmlformats.org/officeDocument/2006/relationships/hyperlink" Target="https://www.niic.nsc.ru/phocadownload/publications/2025/JCR_JournalImpactFactor_2026.pdf#page=114" TargetMode="External" /><ns0:Relationship Id="journalLink1258" Type="http://schemas.openxmlformats.org/officeDocument/2006/relationships/hyperlink" Target="https://huaxue.hebtu.edu.cn/a/2025/09/23/A5A5BBD96F6B4410B87B6D4C43BDFD63.html" TargetMode="External" /><ns0:Relationship Id="journalLink1259" Type="http://schemas.openxmlformats.org/officeDocument/2006/relationships/hyperlink" Target="https://www.journals.elsevier.com/fish-and-shellfish-immunology" TargetMode="External" /><ns0:Relationship Id="journalLink1260" Type="http://schemas.openxmlformats.org/officeDocument/2006/relationships/hyperlink" Target="https://openalex.org/S185787987" TargetMode="External" /><ns0:Relationship Id="journalLink1261" Type="http://schemas.openxmlformats.org/officeDocument/2006/relationships/hyperlink" Target="https://www.niic.nsc.ru/phocadownload/publications/2025/JCR_JournalImpactFactor_2026.pdf#page=135" TargetMode="External" /><ns0:Relationship Id="journalLink1262" Type="http://schemas.openxmlformats.org/officeDocument/2006/relationships/hyperlink" Target="https://huaxue.hebtu.edu.cn/a/2025/09/23/A5A5BBD96F6B4410B87B6D4C43BDFD63.html" TargetMode="External" /><ns0:Relationship Id="journalLink1263" Type="http://schemas.openxmlformats.org/officeDocument/2006/relationships/hyperlink" Target="https://www.journals.elsevier.com/aquaculture-reports" TargetMode="External" /><ns0:Relationship Id="journalLink1264" Type="http://schemas.openxmlformats.org/officeDocument/2006/relationships/hyperlink" Target="https://openalex.org/S2764883586" TargetMode="External" /><ns0:Relationship Id="journalLink1265" Type="http://schemas.openxmlformats.org/officeDocument/2006/relationships/hyperlink" Target="https://www.niic.nsc.ru/phocadownload/publications/2025/JCR_JournalImpactFactor_2026.pdf#page=153" TargetMode="External" /><ns0:Relationship Id="journalLink1266" Type="http://schemas.openxmlformats.org/officeDocument/2006/relationships/hyperlink" Target="https://huaxue.hebtu.edu.cn/a/2025/09/23/A5A5BBD96F6B4410B87B6D4C43BDFD63.html" TargetMode="External" /><ns0:Relationship Id="journalLink1267" Type="http://schemas.openxmlformats.org/officeDocument/2006/relationships/hyperlink" Target="https://aslopubs.onlinelibrary.wiley.com/journal/19395590" TargetMode="External" /><ns0:Relationship Id="journalLink1268" Type="http://schemas.openxmlformats.org/officeDocument/2006/relationships/hyperlink" Target="https://openalex.org/S207705515" TargetMode="External" /><ns0:Relationship Id="journalLink1269" Type="http://schemas.openxmlformats.org/officeDocument/2006/relationships/hyperlink" Target="https://www.niic.nsc.ru/phocadownload/publications/2025/JCR_JournalImpactFactor_2026.pdf#page=129" TargetMode="External" /><ns0:Relationship Id="journalLink1270" Type="http://schemas.openxmlformats.org/officeDocument/2006/relationships/hyperlink" Target="https://huaxue.hebtu.edu.cn/a/2025/09/23/A5A5BBD96F6B4410B87B6D4C43BDFD63.html" TargetMode="External" /><ns0:Relationship Id="journalLink1271" Type="http://schemas.openxmlformats.org/officeDocument/2006/relationships/hyperlink" Target="https://www.journals.elsevier.com/marine-policy" TargetMode="External" /><ns0:Relationship Id="journalLink1272" Type="http://schemas.openxmlformats.org/officeDocument/2006/relationships/hyperlink" Target="https://openalex.org/S56205983" TargetMode="External" /><ns0:Relationship Id="journalLink1273" Type="http://schemas.openxmlformats.org/officeDocument/2006/relationships/hyperlink" Target="https://www.niic.nsc.ru/phocadownload/publications/2025/JCR_JournalImpactFactor_2026.pdf#page=129" TargetMode="External" /><ns0:Relationship Id="journalLink1274" Type="http://schemas.openxmlformats.org/officeDocument/2006/relationships/hyperlink" Target="https://huaxue.hebtu.edu.cn/a/2025/09/23/A5A5BBD96F6B4410B87B6D4C43BDFD63.html" TargetMode="External" /><ns0:Relationship Id="journalLink1275" Type="http://schemas.openxmlformats.org/officeDocument/2006/relationships/hyperlink" Target="http://icesjms.oxfordjournals.org" TargetMode="External" /><ns0:Relationship Id="journalLink1276" Type="http://schemas.openxmlformats.org/officeDocument/2006/relationships/hyperlink" Target="https://openalex.org/S200038611" TargetMode="External" /><ns0:Relationship Id="journalLink1277" Type="http://schemas.openxmlformats.org/officeDocument/2006/relationships/hyperlink" Target="https://www.niic.nsc.ru/phocadownload/publications/2025/JCR_JournalImpactFactor_2026.pdf#page=232" TargetMode="External" /><ns0:Relationship Id="journalLink1278" Type="http://schemas.openxmlformats.org/officeDocument/2006/relationships/hyperlink" Target="https://huaxue.hebtu.edu.cn/a/2025/09/23/A5A5BBD96F6B4410B87B6D4C43BDFD63.html" TargetMode="External" /><ns0:Relationship Id="journalLink1279" Type="http://schemas.openxmlformats.org/officeDocument/2006/relationships/hyperlink" Target="https://onlinelibrary.wiley.com/journal/13652427" TargetMode="External" /><ns0:Relationship Id="journalLink1280" Type="http://schemas.openxmlformats.org/officeDocument/2006/relationships/hyperlink" Target="https://openalex.org/S162100826" TargetMode="External" /><ns0:Relationship Id="journalLink1281" Type="http://schemas.openxmlformats.org/officeDocument/2006/relationships/hyperlink" Target="https://www.niic.nsc.ru/phocadownload/publications/2025/JCR_JournalImpactFactor_2026.pdf#page=255" TargetMode="External" /><ns0:Relationship Id="journalLink1282" Type="http://schemas.openxmlformats.org/officeDocument/2006/relationships/hyperlink" Target="https://huaxue.hebtu.edu.cn/a/2025/09/23/A5A5BBD96F6B4410B87B6D4C43BDFD63.html" TargetMode="External" /><ns0:Relationship Id="journalLink1283" Type="http://schemas.openxmlformats.org/officeDocument/2006/relationships/hyperlink" Target="http://www.int-res.com/journals/aei/aei-home/" TargetMode="External" /><ns0:Relationship Id="journalLink1284" Type="http://schemas.openxmlformats.org/officeDocument/2006/relationships/hyperlink" Target="https://openalex.org/S131334151" TargetMode="External" /><ns0:Relationship Id="journalLink1285" Type="http://schemas.openxmlformats.org/officeDocument/2006/relationships/hyperlink" Target="https://www.niic.nsc.ru/phocadownload/publications/2025/JCR_JournalImpactFactor_2026.pdf#page=232" TargetMode="External" /><ns0:Relationship Id="journalLink1286" Type="http://schemas.openxmlformats.org/officeDocument/2006/relationships/hyperlink" Target="https://huaxue.hebtu.edu.cn/a/2025/09/23/A5A5BBD96F6B4410B87B6D4C43BDFD63.html" TargetMode="External" /><ns0:Relationship Id="journalLink1287" Type="http://schemas.openxmlformats.org/officeDocument/2006/relationships/hyperlink" Target="https://www.journals.elsevier.com/fisheries-research" TargetMode="External" /><ns0:Relationship Id="journalLink1288" Type="http://schemas.openxmlformats.org/officeDocument/2006/relationships/hyperlink" Target="https://openalex.org/S20111203" TargetMode="External" /><ns0:Relationship Id="journalLink1289" Type="http://schemas.openxmlformats.org/officeDocument/2006/relationships/hyperlink" Target="https://www.niic.nsc.ru/phocadownload/publications/2025/JCR_JournalImpactFactor_2026.pdf#page=111" TargetMode="External" /><ns0:Relationship Id="journalLink1290" Type="http://schemas.openxmlformats.org/officeDocument/2006/relationships/hyperlink" Target="https://huaxue.hebtu.edu.cn/a/2025/09/23/A5A5BBD96F6B4410B87B6D4C43BDFD63.html" TargetMode="External" /><ns0:Relationship Id="journalLink1291" Type="http://schemas.openxmlformats.org/officeDocument/2006/relationships/hyperlink" Target="http://onlinelibrary.wiley.com/journal/10.1111/(ISSN)1529-8817" TargetMode="External" /><ns0:Relationship Id="journalLink1292" Type="http://schemas.openxmlformats.org/officeDocument/2006/relationships/hyperlink" Target="https://openalex.org/S164789166" TargetMode="External" /><ns0:Relationship Id="journalLink1293" Type="http://schemas.openxmlformats.org/officeDocument/2006/relationships/hyperlink" Target="https://www.niic.nsc.ru/phocadownload/publications/2025/JCR_JournalImpactFactor_2026.pdf#page=96" TargetMode="External" /><ns0:Relationship Id="journalLink1294" Type="http://schemas.openxmlformats.org/officeDocument/2006/relationships/hyperlink" Target="https://huaxue.hebtu.edu.cn/a/2025/09/23/A5A5BBD96F6B4410B87B6D4C43BDFD63.html" TargetMode="External" /><ns0:Relationship Id="journalLink1295" Type="http://schemas.openxmlformats.org/officeDocument/2006/relationships/hyperlink" Target="https://onlinelibrary.wiley.com/journal/17497345" TargetMode="External" /><ns0:Relationship Id="journalLink1296" Type="http://schemas.openxmlformats.org/officeDocument/2006/relationships/hyperlink" Target="https://openalex.org/S4210171257" TargetMode="External" /><ns0:Relationship Id="journalLink1297" Type="http://schemas.openxmlformats.org/officeDocument/2006/relationships/hyperlink" Target="https://www.niic.nsc.ru/phocadownload/publications/2025/JCR_JournalImpactFactor_2026.pdf#page=147" TargetMode="External" /><ns0:Relationship Id="journalLink1298" Type="http://schemas.openxmlformats.org/officeDocument/2006/relationships/hyperlink" Target="https://huaxue.hebtu.edu.cn/a/2025/09/23/A5A5BBD96F6B4410B87B6D4C43BDFD63.html" TargetMode="External" /><ns0:Relationship Id="journalLink1299" Type="http://schemas.openxmlformats.org/officeDocument/2006/relationships/hyperlink" Target="https://www.springer.com/journal/10811" TargetMode="External" /><ns0:Relationship Id="journalLink1300" Type="http://schemas.openxmlformats.org/officeDocument/2006/relationships/hyperlink" Target="https://openalex.org/S4121844" TargetMode="External" /><ns0:Relationship Id="journalLink1301" Type="http://schemas.openxmlformats.org/officeDocument/2006/relationships/hyperlink" Target="https://www.niic.nsc.ru/phocadownload/publications/2025/JCR_JournalImpactFactor_2026.pdf#page=212" TargetMode="External" /><ns0:Relationship Id="journalLink1302" Type="http://schemas.openxmlformats.org/officeDocument/2006/relationships/hyperlink" Target="https://huaxue.hebtu.edu.cn/a/2025/09/23/A5A5BBD96F6B4410B87B6D4C43BDFD63.html" TargetMode="External" /><ns0:Relationship Id="journalLink1303" Type="http://schemas.openxmlformats.org/officeDocument/2006/relationships/hyperlink" Target="https://www.springer.com/journal/10126" TargetMode="External" /><ns0:Relationship Id="journalLink1304" Type="http://schemas.openxmlformats.org/officeDocument/2006/relationships/hyperlink" Target="https://openalex.org/S55645480" TargetMode="External" /><ns0:Relationship Id="journalLink1305" Type="http://schemas.openxmlformats.org/officeDocument/2006/relationships/hyperlink" Target="https://www.niic.nsc.ru/phocadownload/publications/2025/JCR_JournalImpactFactor_2026.pdf#page=194" TargetMode="External" /><ns0:Relationship Id="journalLink1306" Type="http://schemas.openxmlformats.org/officeDocument/2006/relationships/hyperlink" Target="https://huaxue.hebtu.edu.cn/a/2025/09/23/A5A5BBD96F6B4410B87B6D4C43BDFD63.html" TargetMode="External" /><ns0:Relationship Id="journalLink1307" Type="http://schemas.openxmlformats.org/officeDocument/2006/relationships/hyperlink" Target="https://www.springer.com/journal/10695" TargetMode="External" /><ns0:Relationship Id="journalLink1308" Type="http://schemas.openxmlformats.org/officeDocument/2006/relationships/hyperlink" Target="https://openalex.org/S188633547" TargetMode="External" /><ns0:Relationship Id="journalLink1309" Type="http://schemas.openxmlformats.org/officeDocument/2006/relationships/hyperlink" Target="https://www.niic.nsc.ru/phocadownload/publications/2025/JCR_JournalImpactFactor_2026.pdf#page=255" TargetMode="External" /><ns0:Relationship Id="journalLink1310" Type="http://schemas.openxmlformats.org/officeDocument/2006/relationships/hyperlink" Target="https://huaxue.hebtu.edu.cn/a/2025/09/23/A5A5BBD96F6B4410B87B6D4C43BDFD63.html" TargetMode="External" /><ns0:Relationship Id="journalLink1311" Type="http://schemas.openxmlformats.org/officeDocument/2006/relationships/hyperlink" Target="https://link.springer.com/journal/10750" TargetMode="External" /><ns0:Relationship Id="journalLink1312" Type="http://schemas.openxmlformats.org/officeDocument/2006/relationships/hyperlink" Target="https://openalex.org/S4210238371" TargetMode="External" /><ns0:Relationship Id="journalLink1313" Type="http://schemas.openxmlformats.org/officeDocument/2006/relationships/hyperlink" Target="https://www.niic.nsc.ru/phocadownload/publications/2025/JCR_JournalImpactFactor_2026.pdf#page=245" TargetMode="External" /><ns0:Relationship Id="journalLink1314" Type="http://schemas.openxmlformats.org/officeDocument/2006/relationships/hyperlink" Target="https://huaxue.hebtu.edu.cn/a/2025/09/23/A5A5BBD96F6B4410B87B6D4C43BDFD63.html" TargetMode="External" /><ns0:Relationship Id="journalLink1315" Type="http://schemas.openxmlformats.org/officeDocument/2006/relationships/hyperlink" Target="https://www.journals.elsevier.com/journal-of-great-lakes-research" TargetMode="External" /><ns0:Relationship Id="journalLink1316" Type="http://schemas.openxmlformats.org/officeDocument/2006/relationships/hyperlink" Target="https://openalex.org/S132336575" TargetMode="External" /><ns0:Relationship Id="journalLink1317" Type="http://schemas.openxmlformats.org/officeDocument/2006/relationships/hyperlink" Target="https://www.niic.nsc.ru/phocadownload/publications/2025/JCR_JournalImpactFactor_2026.pdf#page=153" TargetMode="External" /><ns0:Relationship Id="journalLink1318" Type="http://schemas.openxmlformats.org/officeDocument/2006/relationships/hyperlink" Target="https://huaxue.hebtu.edu.cn/a/2025/09/23/A5A5BBD96F6B4410B87B6D4C43BDFD63.html" TargetMode="External" /><ns0:Relationship Id="journalLink1319" Type="http://schemas.openxmlformats.org/officeDocument/2006/relationships/hyperlink" Target="https://www.springer.com/journal/10499" TargetMode="External" /><ns0:Relationship Id="journalLink1320" Type="http://schemas.openxmlformats.org/officeDocument/2006/relationships/hyperlink" Target="https://openalex.org/S195136871" TargetMode="External" /><ns0:Relationship Id="journalLink1321" Type="http://schemas.openxmlformats.org/officeDocument/2006/relationships/hyperlink" Target="https://www.niic.nsc.ru/phocadownload/publications/2025/JCR_JournalImpactFactor_2026.pdf#page=243" TargetMode="External" /><ns0:Relationship Id="journalLink1322" Type="http://schemas.openxmlformats.org/officeDocument/2006/relationships/hyperlink" Target="https://huaxue.hebtu.edu.cn/a/2025/09/23/A5A5BBD96F6B4410B87B6D4C43BDFD63.html" TargetMode="External" /><ns0:Relationship Id="journalLink1323" Type="http://schemas.openxmlformats.org/officeDocument/2006/relationships/hyperlink" Target="https://cdnsciencepub.com/journal/cjfas" TargetMode="External" /><ns0:Relationship Id="journalLink1324" Type="http://schemas.openxmlformats.org/officeDocument/2006/relationships/hyperlink" Target="https://cdnsciencepub.com/journal/cjfas" TargetMode="External" /><ns0:Relationship Id="journalLink1325" Type="http://schemas.openxmlformats.org/officeDocument/2006/relationships/hyperlink" Target="https://www.niic.nsc.ru/phocadownload/publications/2025/JCR_JournalImpactFactor_2026.pdf#page=247" TargetMode="External" /><ns0:Relationship Id="journalLink1326" Type="http://schemas.openxmlformats.org/officeDocument/2006/relationships/hyperlink" Target="https://huaxue.hebtu.edu.cn/a/2025/09/23/A5A5BBD96F6B4410B87B6D4C43BDFD63.html" TargetMode="External" /><ns0:Relationship Id="journalLink1327" Type="http://schemas.openxmlformats.org/officeDocument/2006/relationships/hyperlink" Target="https://onlinelibrary.wiley.com/journal/10990755" TargetMode="External" /><ns0:Relationship Id="journalLink1328" Type="http://schemas.openxmlformats.org/officeDocument/2006/relationships/hyperlink" Target="https://openalex.org/S97382565" TargetMode="External" /><ns0:Relationship Id="journalLink1329" Type="http://schemas.openxmlformats.org/officeDocument/2006/relationships/hyperlink" Target="https://www.niic.nsc.ru/phocadownload/publications/2025/JCR_JournalImpactFactor_2026.pdf#page=185" TargetMode="External" /><ns0:Relationship Id="journalLink1330" Type="http://schemas.openxmlformats.org/officeDocument/2006/relationships/hyperlink" Target="https://huaxue.hebtu.edu.cn/a/2025/09/23/A5A5BBD96F6B4410B87B6D4C43BDFD63.html" TargetMode="External" /><ns0:Relationship Id="journalLink1331" Type="http://schemas.openxmlformats.org/officeDocument/2006/relationships/hyperlink" Target="https://afspubs.onlinelibrary.wiley.com/journal/15488446" TargetMode="External" /><ns0:Relationship Id="journalLink1332" Type="http://schemas.openxmlformats.org/officeDocument/2006/relationships/hyperlink" Target="https://openalex.org/S55970647" TargetMode="External" /><ns0:Relationship Id="journalLink1333" Type="http://schemas.openxmlformats.org/officeDocument/2006/relationships/hyperlink" Target="https://www.niic.nsc.ru/phocadownload/publications/2025/JCR_JournalImpactFactor_2026.pdf#page=268" TargetMode="External" /><ns0:Relationship Id="journalLink1334" Type="http://schemas.openxmlformats.org/officeDocument/2006/relationships/hyperlink" Target="https://huaxue.hebtu.edu.cn/a/2025/09/23/A5A5BBD96F6B4410B87B6D4C43BDFD63.html" TargetMode="External" /><ns0:Relationship Id="journalLink1335" Type="http://schemas.openxmlformats.org/officeDocument/2006/relationships/hyperlink" Target="https://onlinelibrary.wiley.com/journal/13652761" TargetMode="External" /><ns0:Relationship Id="journalLink1336" Type="http://schemas.openxmlformats.org/officeDocument/2006/relationships/hyperlink" Target="https://openalex.org/S25518365" TargetMode="External" /><ns0:Relationship Id="journalLink1337" Type="http://schemas.openxmlformats.org/officeDocument/2006/relationships/hyperlink" Target="https://www.niic.nsc.ru/phocadownload/publications/2025/JCR_JournalImpactFactor_2026.pdf#page=269" TargetMode="External" /><ns0:Relationship Id="journalLink1338" Type="http://schemas.openxmlformats.org/officeDocument/2006/relationships/hyperlink" Target="https://huaxue.hebtu.edu.cn/a/2025/09/23/A5A5BBD96F6B4410B87B6D4C43BDFD63.html" TargetMode="External" /><ns0:Relationship Id="journalLink1339" Type="http://schemas.openxmlformats.org/officeDocument/2006/relationships/hyperlink" Target="https://link.springer.com/journal/227" TargetMode="External" /><ns0:Relationship Id="journalLink1340" Type="http://schemas.openxmlformats.org/officeDocument/2006/relationships/hyperlink" Target="https://openalex.org/S118082147" TargetMode="External" /><ns0:Relationship Id="journalLink1341" Type="http://schemas.openxmlformats.org/officeDocument/2006/relationships/hyperlink" Target="https://www.niic.nsc.ru/phocadownload/publications/2025/JCR_JournalImpactFactor_2026.pdf#page=270" TargetMode="External" /><ns0:Relationship Id="journalLink1342" Type="http://schemas.openxmlformats.org/officeDocument/2006/relationships/hyperlink" Target="https://huaxue.hebtu.edu.cn/a/2025/09/23/A5A5BBD96F6B4410B87B6D4C43BDFD63.html" TargetMode="External" /><ns0:Relationship Id="journalLink1343" Type="http://schemas.openxmlformats.org/officeDocument/2006/relationships/hyperlink" Target="http://www.int-res.com/journals/meps/" TargetMode="External" /><ns0:Relationship Id="journalLink1344" Type="http://schemas.openxmlformats.org/officeDocument/2006/relationships/hyperlink" Target="https://openalex.org/S96743589" TargetMode="External" /><ns0:Relationship Id="journalLink1345" Type="http://schemas.openxmlformats.org/officeDocument/2006/relationships/hyperlink" Target="https://www.niic.nsc.ru/phocadownload/publications/2025/JCR_JournalImpactFactor_2026.pdf#page=325" TargetMode="External" /><ns0:Relationship Id="journalLink1346" Type="http://schemas.openxmlformats.org/officeDocument/2006/relationships/hyperlink" Target="https://huaxue.hebtu.edu.cn/a/2025/09/23/A5A5BBD96F6B4410B87B6D4C43BDFD63.html" TargetMode="External" /><ns0:Relationship Id="journalLink1347" Type="http://schemas.openxmlformats.org/officeDocument/2006/relationships/hyperlink" Target="http://www.wiley.com/bw/journal.asp?ref=0022-1112" TargetMode="External" /><ns0:Relationship Id="journalLink1348" Type="http://schemas.openxmlformats.org/officeDocument/2006/relationships/hyperlink" Target="https://openalex.org/S9351502" TargetMode="External" /><ns0:Relationship Id="journalLink1349" Type="http://schemas.openxmlformats.org/officeDocument/2006/relationships/hyperlink" Target="https://www.niic.nsc.ru/phocadownload/publications/2025/JCR_JournalImpactFactor_2026.pdf#page=311" TargetMode="External" /><ns0:Relationship Id="journalLink1350" Type="http://schemas.openxmlformats.org/officeDocument/2006/relationships/hyperlink" Target="https://huaxue.hebtu.edu.cn/a/2025/09/23/A5A5BBD96F6B4410B87B6D4C43BDFD63.html" TargetMode="External" /><ns0:Relationship Id="journalLink1351" Type="http://schemas.openxmlformats.org/officeDocument/2006/relationships/hyperlink" Target="http://plankt.oxfordjournals.org" TargetMode="External" /><ns0:Relationship Id="journalLink1352" Type="http://schemas.openxmlformats.org/officeDocument/2006/relationships/hyperlink" Target="https://openalex.org/S116120500" TargetMode="External" /><ns0:Relationship Id="journalLink1353" Type="http://schemas.openxmlformats.org/officeDocument/2006/relationships/hyperlink" Target="https://www.niic.nsc.ru/phocadownload/publications/2025/JCR_JournalImpactFactor_2026.pdf#page=297" TargetMode="External" /><ns0:Relationship Id="journalLink1354" Type="http://schemas.openxmlformats.org/officeDocument/2006/relationships/hyperlink" Target="https://huaxue.hebtu.edu.cn/a/2025/09/23/A5A5BBD96F6B4410B87B6D4C43BDFD63.html" TargetMode="External" /><ns0:Relationship Id="journalLink1355" Type="http://schemas.openxmlformats.org/officeDocument/2006/relationships/hyperlink" Target="https://www.journals.elsevier.com/journal-of-experimental-marine-biology-and-ecology" TargetMode="External" /><ns0:Relationship Id="journalLink1356" Type="http://schemas.openxmlformats.org/officeDocument/2006/relationships/hyperlink" Target="https://openalex.org/S155333626" TargetMode="External" /><ns0:Relationship Id="journalLink1357" Type="http://schemas.openxmlformats.org/officeDocument/2006/relationships/hyperlink" Target="https://www.niic.nsc.ru/phocadownload/publications/2025/JCR_JournalImpactFactor_2026.pdf#page=286" TargetMode="External" /><ns0:Relationship Id="journalLink1358" Type="http://schemas.openxmlformats.org/officeDocument/2006/relationships/hyperlink" Target="https://huaxue.hebtu.edu.cn/a/2025/09/23/A5A5BBD96F6B4410B87B6D4C43BDFD63.html" TargetMode="External" /><ns0:Relationship Id="journalLink1359" Type="http://schemas.openxmlformats.org/officeDocument/2006/relationships/hyperlink" Target="https://www.tandfonline.com/toc/tejp20/current" TargetMode="External" /><ns0:Relationship Id="journalLink1360" Type="http://schemas.openxmlformats.org/officeDocument/2006/relationships/hyperlink" Target="https://openalex.org/S133660675" TargetMode="External" /><ns0:Relationship Id="journalLink1361" Type="http://schemas.openxmlformats.org/officeDocument/2006/relationships/hyperlink" Target="https://www.niic.nsc.ru/phocadownload/publications/2025/JCR_JournalImpactFactor_2026.pdf#page=388" TargetMode="External" /><ns0:Relationship Id="journalLink1362" Type="http://schemas.openxmlformats.org/officeDocument/2006/relationships/hyperlink" Target="https://huaxue.hebtu.edu.cn/a/2025/09/23/A5A5BBD96F6B4410B87B6D4C43BDFD63.html" TargetMode="External" /><ns0:Relationship Id="journalLink1363" Type="http://schemas.openxmlformats.org/officeDocument/2006/relationships/hyperlink" Target="https://onlinelibrary.wiley.com/journal/15488659" TargetMode="External" /><ns0:Relationship Id="journalLink1364" Type="http://schemas.openxmlformats.org/officeDocument/2006/relationships/hyperlink" Target="https://openalex.org/S207943242" TargetMode="External" /><ns0:Relationship Id="journalLink1365" Type="http://schemas.openxmlformats.org/officeDocument/2006/relationships/hyperlink" Target="https://www.niic.nsc.ru/phocadownload/publications/2025/JCR_JournalImpactFactor_2026.pdf#page=245" TargetMode="External" /><ns0:Relationship Id="journalLink1366" Type="http://schemas.openxmlformats.org/officeDocument/2006/relationships/hyperlink" Target="https://huaxue.hebtu.edu.cn/a/2025/09/23/A5A5BBD96F6B4410B87B6D4C43BDFD63.html" TargetMode="External" /><ns0:Relationship Id="journalLink1367" Type="http://schemas.openxmlformats.org/officeDocument/2006/relationships/hyperlink" Target="https://onlinelibrary.wiley.com/journal/13652109" TargetMode="External" /><ns0:Relationship Id="journalLink1368" Type="http://schemas.openxmlformats.org/officeDocument/2006/relationships/hyperlink" Target="https://openalex.org/S185347631" TargetMode="External" /><ns0:Relationship Id="journalLink1369" Type="http://schemas.openxmlformats.org/officeDocument/2006/relationships/hyperlink" Target="https://www.niic.nsc.ru/phocadownload/publications/2025/JCR_JournalImpactFactor_2026.pdf#page=325" TargetMode="External" /><ns0:Relationship Id="journalLink1370" Type="http://schemas.openxmlformats.org/officeDocument/2006/relationships/hyperlink" Target="https://huaxue.hebtu.edu.cn/a/2025/09/23/A5A5BBD96F6B4410B87B6D4C43BDFD63.html" TargetMode="External" /><ns0:Relationship Id="journalLink1371" Type="http://schemas.openxmlformats.org/officeDocument/2006/relationships/hyperlink" Target="http://www.alr-journal.org" TargetMode="External" /><ns0:Relationship Id="journalLink1372" Type="http://schemas.openxmlformats.org/officeDocument/2006/relationships/hyperlink" Target="https://openalex.org/S23218126" TargetMode="External" /><ns0:Relationship Id="journalLink1373" Type="http://schemas.openxmlformats.org/officeDocument/2006/relationships/hyperlink" Target="https://www.niic.nsc.ru/phocadownload/publications/2025/JCR_JournalImpactFactor_2026.pdf#page=405" TargetMode="External" /><ns0:Relationship Id="journalLink1374" Type="http://schemas.openxmlformats.org/officeDocument/2006/relationships/hyperlink" Target="https://huaxue.hebtu.edu.cn/a/2025/09/23/A5A5BBD96F6B4410B87B6D4C43BDFD63.html" TargetMode="External" /><ns0:Relationship Id="journalLink1375" Type="http://schemas.openxmlformats.org/officeDocument/2006/relationships/hyperlink" Target="http://www.bioone.org/loi/jnbs.1" TargetMode="External" /><ns0:Relationship Id="journalLink1376" Type="http://schemas.openxmlformats.org/officeDocument/2006/relationships/hyperlink" Target="https://openalex.org/S2490919458" TargetMode="External" /><ns0:Relationship Id="journalLink1377" Type="http://schemas.openxmlformats.org/officeDocument/2006/relationships/hyperlink" Target="https://www.niic.nsc.ru/phocadownload/publications/2025/JCR_JournalImpactFactor_2026.pdf#page=342" TargetMode="External" /><ns0:Relationship Id="journalLink1378" Type="http://schemas.openxmlformats.org/officeDocument/2006/relationships/hyperlink" Target="https://huaxue.hebtu.edu.cn/a/2025/09/23/A5A5BBD96F6B4410B87B6D4C43BDFD63.html" TargetMode="External" /><ns0:Relationship Id="journalLink1379" Type="http://schemas.openxmlformats.org/officeDocument/2006/relationships/hyperlink" Target="https://www.publish.csiro.au/mf" TargetMode="External" /><ns0:Relationship Id="journalLink1380" Type="http://schemas.openxmlformats.org/officeDocument/2006/relationships/hyperlink" Target="https://www.publish.csiro.au/mf" TargetMode="External" /><ns0:Relationship Id="journalLink1381" Type="http://schemas.openxmlformats.org/officeDocument/2006/relationships/hyperlink" Target="https://www.niic.nsc.ru/phocadownload/publications/2025/JCR_JournalImpactFactor_2026.pdf#page=423" TargetMode="External" /><ns0:Relationship Id="journalLink1382" Type="http://schemas.openxmlformats.org/officeDocument/2006/relationships/hyperlink" Target="https://huaxue.hebtu.edu.cn/a/2025/09/23/A5A5BBD96F6B4410B87B6D4C43BDFD63.html" TargetMode="External" /><ns0:Relationship Id="journalLink1383" Type="http://schemas.openxmlformats.org/officeDocument/2006/relationships/hyperlink" Target="https://www.journals.elsevier.com/marine-genomics" TargetMode="External" /><ns0:Relationship Id="journalLink1384" Type="http://schemas.openxmlformats.org/officeDocument/2006/relationships/hyperlink" Target="https://openalex.org/S107001494" TargetMode="External" /><ns0:Relationship Id="journalLink1385" Type="http://schemas.openxmlformats.org/officeDocument/2006/relationships/hyperlink" Target="https://www.niic.nsc.ru/phocadownload/publications/2025/JCR_JournalImpactFactor_2026.pdf#page=406" TargetMode="External" /><ns0:Relationship Id="journalLink1386" Type="http://schemas.openxmlformats.org/officeDocument/2006/relationships/hyperlink" Target="https://huaxue.hebtu.edu.cn/a/2025/09/23/A5A5BBD96F6B4410B87B6D4C43BDFD63.html" TargetMode="External" /><ns0:Relationship Id="journalLink1387" Type="http://schemas.openxmlformats.org/officeDocument/2006/relationships/hyperlink" Target="https://www.springer.com/journal/12562" TargetMode="External" /><ns0:Relationship Id="journalLink1388" Type="http://schemas.openxmlformats.org/officeDocument/2006/relationships/hyperlink" Target="https://openalex.org/S109884595" TargetMode="External" /><ns0:Relationship Id="journalLink1389" Type="http://schemas.openxmlformats.org/officeDocument/2006/relationships/hyperlink" Target="https://www.niic.nsc.ru/phocadownload/publications/2025/JCR_JournalImpactFactor_2026.pdf#page=422" TargetMode="External" /><ns0:Relationship Id="journalLink1390" Type="http://schemas.openxmlformats.org/officeDocument/2006/relationships/hyperlink" Target="https://huaxue.hebtu.edu.cn/a/2025/09/23/A5A5BBD96F6B4410B87B6D4C43BDFD63.html" TargetMode="External" /><ns0:Relationship Id="journalLink1391" Type="http://schemas.openxmlformats.org/officeDocument/2006/relationships/hyperlink" Target="https://afspubs.onlinelibrary.wiley.com/journal/15488675" TargetMode="External" /><ns0:Relationship Id="journalLink1392" Type="http://schemas.openxmlformats.org/officeDocument/2006/relationships/hyperlink" Target="https://openalex.org/S178886870" TargetMode="External" /><ns0:Relationship Id="journalLink1393" Type="http://schemas.openxmlformats.org/officeDocument/2006/relationships/hyperlink" Target="https://www.niic.nsc.ru/phocadownload/publications/2025/JCR_JournalImpactFactor_2026.pdf#page=328" TargetMode="External" /><ns0:Relationship Id="journalLink1394" Type="http://schemas.openxmlformats.org/officeDocument/2006/relationships/hyperlink" Target="https://huaxue.hebtu.edu.cn/a/2025/09/23/A5A5BBD96F6B4410B87B6D4C43BDFD63.html" TargetMode="External" /><ns0:Relationship Id="journalLink1395" Type="http://schemas.openxmlformats.org/officeDocument/2006/relationships/hyperlink" Target="https://www.tandfonline.com/toc/uphy20/current" TargetMode="External" /><ns0:Relationship Id="journalLink1396" Type="http://schemas.openxmlformats.org/officeDocument/2006/relationships/hyperlink" Target="https://openalex.org/S140906811" TargetMode="External" /><ns0:Relationship Id="journalLink1397" Type="http://schemas.openxmlformats.org/officeDocument/2006/relationships/hyperlink" Target="https://www.niic.nsc.ru/phocadownload/publications/2025/JCR_JournalImpactFactor_2026.pdf#page=440" TargetMode="External" /><ns0:Relationship Id="journalLink1398" Type="http://schemas.openxmlformats.org/officeDocument/2006/relationships/hyperlink" Target="https://huaxue.hebtu.edu.cn/a/2025/09/23/A5A5BBD96F6B4410B87B6D4C43BDFD63.html" TargetMode="External" /><ns0:Relationship Id="journalLink1399" Type="http://schemas.openxmlformats.org/officeDocument/2006/relationships/hyperlink" Target="https://onlinelibrary.wiley.com/journal/15488454" TargetMode="External" /><ns0:Relationship Id="journalLink1400" Type="http://schemas.openxmlformats.org/officeDocument/2006/relationships/hyperlink" Target="https://openalex.org/S199435188" TargetMode="External" /><ns0:Relationship Id="journalLink1401" Type="http://schemas.openxmlformats.org/officeDocument/2006/relationships/hyperlink" Target="https://www.niic.nsc.ru/phocadownload/publications/2025/JCR_JournalImpactFactor_2026.pdf#page=438" TargetMode="External" /><ns0:Relationship Id="journalLink1402" Type="http://schemas.openxmlformats.org/officeDocument/2006/relationships/hyperlink" Target="https://huaxue.hebtu.edu.cn/a/2025/09/23/A5A5BBD96F6B4410B87B6D4C43BDFD63.html" TargetMode="External" /><ns0:Relationship Id="journalLink1403" Type="http://schemas.openxmlformats.org/officeDocument/2006/relationships/hyperlink" Target="http://www.int-res.com/journals/dao/index.html" TargetMode="External" /><ns0:Relationship Id="journalLink1404" Type="http://schemas.openxmlformats.org/officeDocument/2006/relationships/hyperlink" Target="https://openalex.org/S49731288" TargetMode="External" /><ns0:Relationship Id="journalLink1405" Type="http://schemas.openxmlformats.org/officeDocument/2006/relationships/hyperlink" Target="https://www.niic.nsc.ru/phocadownload/publications/2025/JCR_JournalImpactFactor_2026.pdf#page=493" TargetMode="External" /><ns0:Relationship Id="journalLink1406" Type="http://schemas.openxmlformats.org/officeDocument/2006/relationships/hyperlink" Target="https://huaxue.hebtu.edu.cn/a/2025/09/23/A5A5BBD96F6B4410B87B6D4C43BDFD63.html" TargetMode="External" /><ns0:Relationship Id="journalLink1407" Type="http://schemas.openxmlformats.org/officeDocument/2006/relationships/hyperlink" Target="http://www.bioone.org/bioone/?request=get-archive&amp;issn=0730-8000" TargetMode="External" /><ns0:Relationship Id="journalLink1408" Type="http://schemas.openxmlformats.org/officeDocument/2006/relationships/hyperlink" Target="https://openalex.org/S48813012" TargetMode="External" /><ns0:Relationship Id="journalLink1409" Type="http://schemas.openxmlformats.org/officeDocument/2006/relationships/hyperlink" Target="https://www.niic.nsc.ru/phocadownload/publications/2025/JCR_JournalImpactFactor_2026.pdf#page=493" TargetMode="External" /><ns0:Relationship Id="journalLink1410" Type="http://schemas.openxmlformats.org/officeDocument/2006/relationships/hyperlink" Target="https://huaxue.hebtu.edu.cn/a/2025/09/23/A5A5BBD96F6B4410B87B6D4C43BDFD63.html" TargetMode="External" /><ns0:Relationship Id="journalLink1411" Type="http://schemas.openxmlformats.org/officeDocument/2006/relationships/hyperlink" Target="http://www.int-res.com/journals/ab/ab-home/" TargetMode="External" /><ns0:Relationship Id="journalLink1412" Type="http://schemas.openxmlformats.org/officeDocument/2006/relationships/hyperlink" Target="https://openalex.org/S16354640" TargetMode="External" /><ns0:Relationship Id="journalLink1413" Type="http://schemas.openxmlformats.org/officeDocument/2006/relationships/hyperlink" Target="https://www.niic.nsc.ru/phocadownload/publications/2025/JCR_JournalImpactFactor_2026.pdf#page=16" TargetMode="External" /><ns0:Relationship Id="journalLink1414" Type="http://schemas.openxmlformats.org/officeDocument/2006/relationships/hyperlink" Target="https://huaxue.hebtu.edu.cn/a/2025/09/23/A5A5BBD96F6B4410B87B6D4C43BDFD63.html" TargetMode="External" /><ns0:Relationship Id="journalLink1415" Type="http://schemas.openxmlformats.org/officeDocument/2006/relationships/hyperlink" Target="https://www.journals.elsevier.com/soil-biology-and-biochemistry" TargetMode="External" /><ns0:Relationship Id="journalLink1416" Type="http://schemas.openxmlformats.org/officeDocument/2006/relationships/hyperlink" Target="https://openalex.org/S62391475" TargetMode="External" /><ns0:Relationship Id="journalLink1417" Type="http://schemas.openxmlformats.org/officeDocument/2006/relationships/hyperlink" Target="https://www.niic.nsc.ru/phocadownload/publications/2025/JCR_JournalImpactFactor_2026.pdf#page=33" TargetMode="External" /><ns0:Relationship Id="journalLink1418" Type="http://schemas.openxmlformats.org/officeDocument/2006/relationships/hyperlink" Target="https://huaxue.hebtu.edu.cn/a/2025/09/23/A5A5BBD96F6B4410B87B6D4C43BDFD63.html" TargetMode="External" /><ns0:Relationship Id="journalLink1419" Type="http://schemas.openxmlformats.org/officeDocument/2006/relationships/hyperlink" Target="https://www.sciencedirect.com/journal/international-soil-and-water-conservation-research" TargetMode="External" /><ns0:Relationship Id="journalLink1420" Type="http://schemas.openxmlformats.org/officeDocument/2006/relationships/hyperlink" Target="https://openalex.org/S2764733428" TargetMode="External" /><ns0:Relationship Id="journalLink1421" Type="http://schemas.openxmlformats.org/officeDocument/2006/relationships/hyperlink" Target="https://www.niic.nsc.ru/phocadownload/publications/2025/JCR_JournalImpactFactor_2026.pdf#page=32" TargetMode="External" /><ns0:Relationship Id="journalLink1422" Type="http://schemas.openxmlformats.org/officeDocument/2006/relationships/hyperlink" Target="https://huaxue.hebtu.edu.cn/a/2025/09/23/A5A5BBD96F6B4410B87B6D4C43BDFD63.html" TargetMode="External" /><ns0:Relationship Id="journalLink1423" Type="http://schemas.openxmlformats.org/officeDocument/2006/relationships/hyperlink" Target="https://www.journals.elsevier.com/soil-and-tillage-research" TargetMode="External" /><ns0:Relationship Id="journalLink1424" Type="http://schemas.openxmlformats.org/officeDocument/2006/relationships/hyperlink" Target="https://openalex.org/S1666925" TargetMode="External" /><ns0:Relationship Id="journalLink1425" Type="http://schemas.openxmlformats.org/officeDocument/2006/relationships/hyperlink" Target="https://www.niic.nsc.ru/phocadownload/publications/2025/JCR_JournalImpactFactor_2026.pdf#page=37" TargetMode="External" /><ns0:Relationship Id="journalLink1426" Type="http://schemas.openxmlformats.org/officeDocument/2006/relationships/hyperlink" Target="https://huaxue.hebtu.edu.cn/a/2025/09/23/A5A5BBD96F6B4410B87B6D4C43BDFD63.html" TargetMode="External" /><ns0:Relationship Id="journalLink1427" Type="http://schemas.openxmlformats.org/officeDocument/2006/relationships/hyperlink" Target="https://www.journals.elsevier.com/geoderma" TargetMode="External" /><ns0:Relationship Id="journalLink1428" Type="http://schemas.openxmlformats.org/officeDocument/2006/relationships/hyperlink" Target="https://openalex.org/S201473135" TargetMode="External" /><ns0:Relationship Id="journalLink1429" Type="http://schemas.openxmlformats.org/officeDocument/2006/relationships/hyperlink" Target="https://www.niic.nsc.ru/phocadownload/publications/2025/JCR_JournalImpactFactor_2026.pdf#page=53" TargetMode="External" /><ns0:Relationship Id="journalLink1430" Type="http://schemas.openxmlformats.org/officeDocument/2006/relationships/hyperlink" Target="https://huaxue.hebtu.edu.cn/a/2025/09/23/A5A5BBD96F6B4410B87B6D4C43BDFD63.html" TargetMode="External" /><ns0:Relationship Id="journalLink1431" Type="http://schemas.openxmlformats.org/officeDocument/2006/relationships/hyperlink" Target="https://www.journals.elsevier.com/catena" TargetMode="External" /><ns0:Relationship Id="journalLink1432" Type="http://schemas.openxmlformats.org/officeDocument/2006/relationships/hyperlink" Target="https://openalex.org/S44098145" TargetMode="External" /><ns0:Relationship Id="journalLink1433" Type="http://schemas.openxmlformats.org/officeDocument/2006/relationships/hyperlink" Target="https://www.niic.nsc.ru/phocadownload/publications/2025/JCR_JournalImpactFactor_2026.pdf#page=48" TargetMode="External" /><ns0:Relationship Id="journalLink1434" Type="http://schemas.openxmlformats.org/officeDocument/2006/relationships/hyperlink" Target="https://huaxue.hebtu.edu.cn/a/2025/09/23/A5A5BBD96F6B4410B87B6D4C43BDFD63.html" TargetMode="External" /><ns0:Relationship Id="journalLink1435" Type="http://schemas.openxmlformats.org/officeDocument/2006/relationships/hyperlink" Target="https://agupubs.onlinelibrary.wiley.com/journal/19449224" TargetMode="External" /><ns0:Relationship Id="journalLink1436" Type="http://schemas.openxmlformats.org/officeDocument/2006/relationships/hyperlink" Target="https://openalex.org/S32973720" TargetMode="External" /><ns0:Relationship Id="journalLink1437" Type="http://schemas.openxmlformats.org/officeDocument/2006/relationships/hyperlink" Target="https://www.niic.nsc.ru/phocadownload/publications/2025/JCR_JournalImpactFactor_2026.pdf#page=47" TargetMode="External" /><ns0:Relationship Id="journalLink1438" Type="http://schemas.openxmlformats.org/officeDocument/2006/relationships/hyperlink" Target="https://huaxue.hebtu.edu.cn/a/2025/09/23/A5A5BBD96F6B4410B87B6D4C43BDFD63.html" TargetMode="External" /><ns0:Relationship Id="journalLink1439" Type="http://schemas.openxmlformats.org/officeDocument/2006/relationships/hyperlink" Target="https://www.journals.elsevier.com/pedosphere" TargetMode="External" /><ns0:Relationship Id="journalLink1440" Type="http://schemas.openxmlformats.org/officeDocument/2006/relationships/hyperlink" Target="https://openalex.org/S205679754" TargetMode="External" /><ns0:Relationship Id="journalLink1441" Type="http://schemas.openxmlformats.org/officeDocument/2006/relationships/hyperlink" Target="https://www.niic.nsc.ru/phocadownload/publications/2025/JCR_JournalImpactFactor_2026.pdf#page=50" TargetMode="External" /><ns0:Relationship Id="journalLink1442" Type="http://schemas.openxmlformats.org/officeDocument/2006/relationships/hyperlink" Target="https://huaxue.hebtu.edu.cn/a/2025/09/23/A5A5BBD96F6B4410B87B6D4C43BDFD63.html" TargetMode="External" /><ns0:Relationship Id="journalLink1443" Type="http://schemas.openxmlformats.org/officeDocument/2006/relationships/hyperlink" Target="https://link.springer.com/journal/374" TargetMode="External" /><ns0:Relationship Id="journalLink1444" Type="http://schemas.openxmlformats.org/officeDocument/2006/relationships/hyperlink" Target="https://openalex.org/S99756463" TargetMode="External" /><ns0:Relationship Id="journalLink1445" Type="http://schemas.openxmlformats.org/officeDocument/2006/relationships/hyperlink" Target="https://www.niic.nsc.ru/phocadownload/publications/2025/JCR_JournalImpactFactor_2026.pdf#page=70" TargetMode="External" /><ns0:Relationship Id="journalLink1446" Type="http://schemas.openxmlformats.org/officeDocument/2006/relationships/hyperlink" Target="https://huaxue.hebtu.edu.cn/a/2025/09/23/A5A5BBD96F6B4410B87B6D4C43BDFD63.html" TargetMode="External" /><ns0:Relationship Id="journalLink1447" Type="http://schemas.openxmlformats.org/officeDocument/2006/relationships/hyperlink" Target="https://www.journals.elsevier.com/applied-soil-ecology" TargetMode="External" /><ns0:Relationship Id="journalLink1448" Type="http://schemas.openxmlformats.org/officeDocument/2006/relationships/hyperlink" Target="https://openalex.org/S148244296" TargetMode="External" /><ns0:Relationship Id="journalLink1449" Type="http://schemas.openxmlformats.org/officeDocument/2006/relationships/hyperlink" Target="https://www.niic.nsc.ru/phocadownload/publications/2025/JCR_JournalImpactFactor_2026.pdf#page=125" TargetMode="External" /><ns0:Relationship Id="journalLink1450" Type="http://schemas.openxmlformats.org/officeDocument/2006/relationships/hyperlink" Target="https://huaxue.hebtu.edu.cn/a/2025/09/23/A5A5BBD96F6B4410B87B6D4C43BDFD63.html" TargetMode="External" /><ns0:Relationship Id="journalLink1451" Type="http://schemas.openxmlformats.org/officeDocument/2006/relationships/hyperlink" Target="https://link.springer.com/journal/42832" TargetMode="External" /><ns0:Relationship Id="journalLink1452" Type="http://schemas.openxmlformats.org/officeDocument/2006/relationships/hyperlink" Target="https://openalex.org/S4210176820" TargetMode="External" /><ns0:Relationship Id="journalLink1453" Type="http://schemas.openxmlformats.org/officeDocument/2006/relationships/hyperlink" Target="https://www.niic.nsc.ru/phocadownload/publications/2025/JCR_JournalImpactFactor_2026.pdf#page=83" TargetMode="External" /><ns0:Relationship Id="journalLink1454" Type="http://schemas.openxmlformats.org/officeDocument/2006/relationships/hyperlink" Target="https://huaxue.hebtu.edu.cn/a/2025/09/23/A5A5BBD96F6B4410B87B6D4C43BDFD63.html" TargetMode="External" /><ns0:Relationship Id="journalLink1455" Type="http://schemas.openxmlformats.org/officeDocument/2006/relationships/hyperlink" Target="http://www.soil-journal.net/" TargetMode="External" /><ns0:Relationship Id="journalLink1456" Type="http://schemas.openxmlformats.org/officeDocument/2006/relationships/hyperlink" Target="https://openalex.org/S4210190384" TargetMode="External" /><ns0:Relationship Id="journalLink1457" Type="http://schemas.openxmlformats.org/officeDocument/2006/relationships/hyperlink" Target="https://www.niic.nsc.ru/phocadownload/publications/2025/JCR_JournalImpactFactor_2026.pdf#page=92" TargetMode="External" /><ns0:Relationship Id="journalLink1458" Type="http://schemas.openxmlformats.org/officeDocument/2006/relationships/hyperlink" Target="https://huaxue.hebtu.edu.cn/a/2025/09/23/A5A5BBD96F6B4410B87B6D4C43BDFD63.html" TargetMode="External" /><ns0:Relationship Id="journalLink1459" Type="http://schemas.openxmlformats.org/officeDocument/2006/relationships/hyperlink" Target="http://www.springer.com/journal/11104" TargetMode="External" /><ns0:Relationship Id="journalLink1460" Type="http://schemas.openxmlformats.org/officeDocument/2006/relationships/hyperlink" Target="https://openalex.org/S11781297" TargetMode="External" /><ns0:Relationship Id="journalLink1461" Type="http://schemas.openxmlformats.org/officeDocument/2006/relationships/hyperlink" Target="https://www.niic.nsc.ru/phocadownload/publications/2025/JCR_JournalImpactFactor_2026.pdf#page=102" TargetMode="External" /><ns0:Relationship Id="journalLink1462" Type="http://schemas.openxmlformats.org/officeDocument/2006/relationships/hyperlink" Target="https://huaxue.hebtu.edu.cn/a/2025/09/23/A5A5BBD96F6B4410B87B6D4C43BDFD63.html" TargetMode="External" /><ns0:Relationship Id="journalLink1463" Type="http://schemas.openxmlformats.org/officeDocument/2006/relationships/hyperlink" Target="http://www.biogeosciences.net" TargetMode="External" /><ns0:Relationship Id="journalLink1464" Type="http://schemas.openxmlformats.org/officeDocument/2006/relationships/hyperlink" Target="https://openalex.org/S13442111" TargetMode="External" /><ns0:Relationship Id="journalLink1465" Type="http://schemas.openxmlformats.org/officeDocument/2006/relationships/hyperlink" Target="https://www.niic.nsc.ru/phocadownload/publications/2025/JCR_JournalImpactFactor_2026.pdf#page=112" TargetMode="External" /><ns0:Relationship Id="journalLink1466" Type="http://schemas.openxmlformats.org/officeDocument/2006/relationships/hyperlink" Target="https://huaxue.hebtu.edu.cn/a/2025/09/23/A5A5BBD96F6B4410B87B6D4C43BDFD63.html" TargetMode="External" /><ns0:Relationship Id="journalLink1467" Type="http://schemas.openxmlformats.org/officeDocument/2006/relationships/hyperlink" Target="https://onlinelibrary.wiley.com/journal/13652389" TargetMode="External" /><ns0:Relationship Id="journalLink1468" Type="http://schemas.openxmlformats.org/officeDocument/2006/relationships/hyperlink" Target="https://openalex.org/S25612858" TargetMode="External" /><ns0:Relationship Id="journalLink1469" Type="http://schemas.openxmlformats.org/officeDocument/2006/relationships/hyperlink" Target="https://www.niic.nsc.ru/phocadownload/publications/2025/JCR_JournalImpactFactor_2026.pdf#page=112" TargetMode="External" /><ns0:Relationship Id="journalLink1470" Type="http://schemas.openxmlformats.org/officeDocument/2006/relationships/hyperlink" Target="https://huaxue.hebtu.edu.cn/a/2025/09/23/A5A5BBD96F6B4410B87B6D4C43BDFD63.html" TargetMode="External" /><ns0:Relationship Id="journalLink1471" Type="http://schemas.openxmlformats.org/officeDocument/2006/relationships/hyperlink" Target="https://www.springer.com/journal/10533" TargetMode="External" /><ns0:Relationship Id="journalLink1472" Type="http://schemas.openxmlformats.org/officeDocument/2006/relationships/hyperlink" Target="https://openalex.org/S195102351" TargetMode="External" /><ns0:Relationship Id="journalLink1473" Type="http://schemas.openxmlformats.org/officeDocument/2006/relationships/hyperlink" Target="https://www.niic.nsc.ru/phocadownload/publications/2025/JCR_JournalImpactFactor_2026.pdf#page=126" TargetMode="External" /><ns0:Relationship Id="journalLink1474" Type="http://schemas.openxmlformats.org/officeDocument/2006/relationships/hyperlink" Target="https://huaxue.hebtu.edu.cn/a/2025/09/23/A5A5BBD96F6B4410B87B6D4C43BDFD63.html" TargetMode="External" /><ns0:Relationship Id="journalLink1475" Type="http://schemas.openxmlformats.org/officeDocument/2006/relationships/hyperlink" Target="https://onlinelibrary.wiley.com/journal/1099145X" TargetMode="External" /><ns0:Relationship Id="journalLink1476" Type="http://schemas.openxmlformats.org/officeDocument/2006/relationships/hyperlink" Target="https://openalex.org/S153614898" TargetMode="External" /><ns0:Relationship Id="journalLink1477" Type="http://schemas.openxmlformats.org/officeDocument/2006/relationships/hyperlink" Target="https://www.niic.nsc.ru/phocadownload/publications/2025/JCR_JournalImpactFactor_2026.pdf#page=149" TargetMode="External" /><ns0:Relationship Id="journalLink1478" Type="http://schemas.openxmlformats.org/officeDocument/2006/relationships/hyperlink" Target="https://huaxue.hebtu.edu.cn/a/2025/09/23/A5A5BBD96F6B4410B87B6D4C43BDFD63.html" TargetMode="External" /><ns0:Relationship Id="journalLink1479" Type="http://schemas.openxmlformats.org/officeDocument/2006/relationships/hyperlink" Target="https://onlinelibrary.wiley.com/journal/14752743" TargetMode="External" /><ns0:Relationship Id="journalLink1480" Type="http://schemas.openxmlformats.org/officeDocument/2006/relationships/hyperlink" Target="https://openalex.org/S121608518" TargetMode="External" /><ns0:Relationship Id="journalLink1481" Type="http://schemas.openxmlformats.org/officeDocument/2006/relationships/hyperlink" Target="https://www.niic.nsc.ru/phocadownload/publications/2025/JCR_JournalImpactFactor_2026.pdf#page=130" TargetMode="External" /><ns0:Relationship Id="journalLink1482" Type="http://schemas.openxmlformats.org/officeDocument/2006/relationships/hyperlink" Target="https://huaxue.hebtu.edu.cn/a/2025/09/23/A5A5BBD96F6B4410B87B6D4C43BDFD63.html" TargetMode="External" /><ns0:Relationship Id="journalLink1483" Type="http://schemas.openxmlformats.org/officeDocument/2006/relationships/hyperlink" Target="https://www.journals.elsevier.com/rhizosphere" TargetMode="External" /><ns0:Relationship Id="journalLink1484" Type="http://schemas.openxmlformats.org/officeDocument/2006/relationships/hyperlink" Target="https://openalex.org/S2898510056" TargetMode="External" /><ns0:Relationship Id="journalLink1485" Type="http://schemas.openxmlformats.org/officeDocument/2006/relationships/hyperlink" Target="https://www.niic.nsc.ru/phocadownload/publications/2025/JCR_JournalImpactFactor_2026.pdf#page=131" TargetMode="External" /><ns0:Relationship Id="journalLink1486" Type="http://schemas.openxmlformats.org/officeDocument/2006/relationships/hyperlink" Target="https://huaxue.hebtu.edu.cn/a/2025/09/23/A5A5BBD96F6B4410B87B6D4C43BDFD63.html" TargetMode="External" /><ns0:Relationship Id="journalLink1487" Type="http://schemas.openxmlformats.org/officeDocument/2006/relationships/hyperlink" Target="https://www.journals.elsevier.com/geoderma-regional" TargetMode="External" /><ns0:Relationship Id="journalLink1488" Type="http://schemas.openxmlformats.org/officeDocument/2006/relationships/hyperlink" Target="https://openalex.org/S2764403354" TargetMode="External" /><ns0:Relationship Id="journalLink1489" Type="http://schemas.openxmlformats.org/officeDocument/2006/relationships/hyperlink" Target="https://www.niic.nsc.ru/phocadownload/publications/2025/JCR_JournalImpactFactor_2026.pdf#page=149" TargetMode="External" /><ns0:Relationship Id="journalLink1490" Type="http://schemas.openxmlformats.org/officeDocument/2006/relationships/hyperlink" Target="https://huaxue.hebtu.edu.cn/a/2025/09/23/A5A5BBD96F6B4410B87B6D4C43BDFD63.html" TargetMode="External" /><ns0:Relationship Id="journalLink1491" Type="http://schemas.openxmlformats.org/officeDocument/2006/relationships/hyperlink" Target="https://www.springer.com/journal/42729" TargetMode="External" /><ns0:Relationship Id="journalLink1492" Type="http://schemas.openxmlformats.org/officeDocument/2006/relationships/hyperlink" Target="https://openalex.org/S2502518375" TargetMode="External" /><ns0:Relationship Id="journalLink1493" Type="http://schemas.openxmlformats.org/officeDocument/2006/relationships/hyperlink" Target="https://www.niic.nsc.ru/phocadownload/publications/2025/JCR_JournalImpactFactor_2026.pdf#page=172" TargetMode="External" /><ns0:Relationship Id="journalLink1494" Type="http://schemas.openxmlformats.org/officeDocument/2006/relationships/hyperlink" Target="https://huaxue.hebtu.edu.cn/a/2025/09/23/A5A5BBD96F6B4410B87B6D4C43BDFD63.html" TargetMode="External" /><ns0:Relationship Id="journalLink1495" Type="http://schemas.openxmlformats.org/officeDocument/2006/relationships/hyperlink" Target="https://link.springer.com/journal/11368" TargetMode="External" /><ns0:Relationship Id="journalLink1496" Type="http://schemas.openxmlformats.org/officeDocument/2006/relationships/hyperlink" Target="https://openalex.org/S115998457" TargetMode="External" /><ns0:Relationship Id="journalLink1497" Type="http://schemas.openxmlformats.org/officeDocument/2006/relationships/hyperlink" Target="https://www.niic.nsc.ru/phocadownload/publications/2025/JCR_JournalImpactFactor_2026.pdf#page=172" TargetMode="External" /><ns0:Relationship Id="journalLink1498" Type="http://schemas.openxmlformats.org/officeDocument/2006/relationships/hyperlink" Target="https://huaxue.hebtu.edu.cn/a/2025/09/23/A5A5BBD96F6B4410B87B6D4C43BDFD63.html" TargetMode="External" /><ns0:Relationship Id="journalLink1499" Type="http://schemas.openxmlformats.org/officeDocument/2006/relationships/hyperlink" Target="https://onlinelibrary.wiley.com/journal/15222624" TargetMode="External" /><ns0:Relationship Id="journalLink1500" Type="http://schemas.openxmlformats.org/officeDocument/2006/relationships/hyperlink" Target="https://openalex.org/S159786734" TargetMode="External" /><ns0:Relationship Id="journalLink1501" Type="http://schemas.openxmlformats.org/officeDocument/2006/relationships/hyperlink" Target="https://www.niic.nsc.ru/phocadownload/publications/2025/JCR_JournalImpactFactor_2026.pdf#page=180" TargetMode="External" /><ns0:Relationship Id="journalLink1502" Type="http://schemas.openxmlformats.org/officeDocument/2006/relationships/hyperlink" Target="https://huaxue.hebtu.edu.cn/a/2025/09/23/A5A5BBD96F6B4410B87B6D4C43BDFD63.html" TargetMode="External" /><ns0:Relationship Id="journalLink1503" Type="http://schemas.openxmlformats.org/officeDocument/2006/relationships/hyperlink" Target="https://www.springer.com/journal/10705" TargetMode="External" /><ns0:Relationship Id="journalLink1504" Type="http://schemas.openxmlformats.org/officeDocument/2006/relationships/hyperlink" Target="https://openalex.org/S58319264" TargetMode="External" /><ns0:Relationship Id="journalLink1505" Type="http://schemas.openxmlformats.org/officeDocument/2006/relationships/hyperlink" Target="https://www.niic.nsc.ru/phocadownload/publications/2025/JCR_JournalImpactFactor_2026.pdf#page=235" TargetMode="External" /><ns0:Relationship Id="journalLink1506" Type="http://schemas.openxmlformats.org/officeDocument/2006/relationships/hyperlink" Target="https://huaxue.hebtu.edu.cn/a/2025/09/23/A5A5BBD96F6B4410B87B6D4C43BDFD63.html" TargetMode="External" /><ns0:Relationship Id="journalLink1507" Type="http://schemas.openxmlformats.org/officeDocument/2006/relationships/hyperlink" Target="https://acsess.onlinelibrary.wiley.com/journal/14350661" TargetMode="External" /><ns0:Relationship Id="journalLink1508" Type="http://schemas.openxmlformats.org/officeDocument/2006/relationships/hyperlink" Target="https://openalex.org/S59755854" TargetMode="External" /><ns0:Relationship Id="journalLink1509" Type="http://schemas.openxmlformats.org/officeDocument/2006/relationships/hyperlink" Target="https://www.niic.nsc.ru/phocadownload/publications/2025/JCR_JournalImpactFactor_2026.pdf#page=247" TargetMode="External" /><ns0:Relationship Id="journalLink1510" Type="http://schemas.openxmlformats.org/officeDocument/2006/relationships/hyperlink" Target="https://huaxue.hebtu.edu.cn/a/2025/09/23/A5A5BBD96F6B4410B87B6D4C43BDFD63.html" TargetMode="External" /><ns0:Relationship Id="journalLink1511" Type="http://schemas.openxmlformats.org/officeDocument/2006/relationships/hyperlink" Target="http://www.agriculturejournals.cz/web/pse.htm" TargetMode="External" /><ns0:Relationship Id="journalLink1512" Type="http://schemas.openxmlformats.org/officeDocument/2006/relationships/hyperlink" Target="https://openalex.org/S933983379" TargetMode="External" /><ns0:Relationship Id="journalLink1513" Type="http://schemas.openxmlformats.org/officeDocument/2006/relationships/hyperlink" Target="https://www.niic.nsc.ru/phocadownload/publications/2025/JCR_JournalImpactFactor_2026.pdf#page=191" TargetMode="External" /><ns0:Relationship Id="journalLink1514" Type="http://schemas.openxmlformats.org/officeDocument/2006/relationships/hyperlink" Target="https://huaxue.hebtu.edu.cn/a/2025/09/23/A5A5BBD96F6B4410B87B6D4C43BDFD63.html" TargetMode="External" /><ns0:Relationship Id="journalLink1515" Type="http://schemas.openxmlformats.org/officeDocument/2006/relationships/hyperlink" Target="https://www.jswconline.org" TargetMode="External" /><ns0:Relationship Id="journalLink1516" Type="http://schemas.openxmlformats.org/officeDocument/2006/relationships/hyperlink" Target="https://openalex.org/S5832799" TargetMode="External" /><ns0:Relationship Id="journalLink1517" Type="http://schemas.openxmlformats.org/officeDocument/2006/relationships/hyperlink" Target="https://www.niic.nsc.ru/phocadownload/publications/2025/JCR_JournalImpactFactor_2026.pdf#page=303" TargetMode="External" /><ns0:Relationship Id="journalLink1518" Type="http://schemas.openxmlformats.org/officeDocument/2006/relationships/hyperlink" Target="https://huaxue.hebtu.edu.cn/a/2025/09/23/A5A5BBD96F6B4410B87B6D4C43BDFD63.html" TargetMode="External" /><ns0:Relationship Id="journalLink1519" Type="http://schemas.openxmlformats.org/officeDocument/2006/relationships/hyperlink" Target="https://www.tandfonline.com/toc/tssp20/current" TargetMode="External" /><ns0:Relationship Id="journalLink1520" Type="http://schemas.openxmlformats.org/officeDocument/2006/relationships/hyperlink" Target="https://openalex.org/S113296063" TargetMode="External" /><ns0:Relationship Id="journalLink1521" Type="http://schemas.openxmlformats.org/officeDocument/2006/relationships/hyperlink" Target="https://www.niic.nsc.ru/phocadownload/publications/2025/JCR_JournalImpactFactor_2026.pdf#page=346" TargetMode="External" /><ns0:Relationship Id="journalLink1522" Type="http://schemas.openxmlformats.org/officeDocument/2006/relationships/hyperlink" Target="https://huaxue.hebtu.edu.cn/a/2025/09/23/A5A5BBD96F6B4410B87B6D4C43BDFD63.html" TargetMode="External" /><ns0:Relationship Id="journalLink1523" Type="http://schemas.openxmlformats.org/officeDocument/2006/relationships/hyperlink" Target="https://www.tandfonline.com/toc/lpla20/current" TargetMode="External" /><ns0:Relationship Id="journalLink1524" Type="http://schemas.openxmlformats.org/officeDocument/2006/relationships/hyperlink" Target="https://openalex.org/S53118794" TargetMode="External" /><ns0:Relationship Id="journalLink1525" Type="http://schemas.openxmlformats.org/officeDocument/2006/relationships/hyperlink" Target="https://www.niic.nsc.ru/phocadownload/publications/2025/JCR_JournalImpactFactor_2026.pdf#page=362" TargetMode="External" /><ns0:Relationship Id="journalLink1526" Type="http://schemas.openxmlformats.org/officeDocument/2006/relationships/hyperlink" Target="https://huaxue.hebtu.edu.cn/a/2025/09/23/A5A5BBD96F6B4410B87B6D4C43BDFD63.html" TargetMode="External" /><ns0:Relationship Id="journalLink1527" Type="http://schemas.openxmlformats.org/officeDocument/2006/relationships/hyperlink" Target="http://pubs.aic.ca/journal/cjss" TargetMode="External" /><ns0:Relationship Id="journalLink1528" Type="http://schemas.openxmlformats.org/officeDocument/2006/relationships/hyperlink" Target="https://openalex.org/S204002359" TargetMode="External" /><ns0:Relationship Id="journalLink1529" Type="http://schemas.openxmlformats.org/officeDocument/2006/relationships/hyperlink" Target="https://www.niic.nsc.ru/phocadownload/publications/2025/JCR_JournalImpactFactor_2026.pdf#page=378" TargetMode="External" /><ns0:Relationship Id="journalLink1530" Type="http://schemas.openxmlformats.org/officeDocument/2006/relationships/hyperlink" Target="https://huaxue.hebtu.edu.cn/a/2025/09/23/A5A5BBD96F6B4410B87B6D4C43BDFD63.html" TargetMode="External" /><ns0:Relationship Id="journalLink1531" Type="http://schemas.openxmlformats.org/officeDocument/2006/relationships/hyperlink" Target="https://www.springer.com/journal/11475" TargetMode="External" /><ns0:Relationship Id="journalLink1532" Type="http://schemas.openxmlformats.org/officeDocument/2006/relationships/hyperlink" Target="https://openalex.org/S190853250" TargetMode="External" /><ns0:Relationship Id="journalLink1533" Type="http://schemas.openxmlformats.org/officeDocument/2006/relationships/hyperlink" Target="https://www.niic.nsc.ru/phocadownload/publications/2025/JCR_JournalImpactFactor_2026.pdf#page=333" TargetMode="External" /><ns0:Relationship Id="journalLink1534" Type="http://schemas.openxmlformats.org/officeDocument/2006/relationships/hyperlink" Target="https://huaxue.hebtu.edu.cn/a/2025/09/23/A5A5BBD96F6B4410B87B6D4C43BDFD63.html" TargetMode="External" /><ns0:Relationship Id="journalLink1535" Type="http://schemas.openxmlformats.org/officeDocument/2006/relationships/hyperlink" Target="https://www.tandfonline.com/toc/bssc20/current" TargetMode="External" /><ns0:Relationship Id="journalLink1536" Type="http://schemas.openxmlformats.org/officeDocument/2006/relationships/hyperlink" Target="https://openalex.org/S2764864996" TargetMode="External" /><ns0:Relationship Id="journalLink1537" Type="http://schemas.openxmlformats.org/officeDocument/2006/relationships/hyperlink" Target="https://www.niic.nsc.ru/phocadownload/publications/2025/JCR_JournalImpactFactor_2026.pdf#page=377" TargetMode="External" /><ns0:Relationship Id="journalLink1538" Type="http://schemas.openxmlformats.org/officeDocument/2006/relationships/hyperlink" Target="https://huaxue.hebtu.edu.cn/a/2025/09/23/A5A5BBD96F6B4410B87B6D4C43BDFD63.html" TargetMode="External" /><ns0:Relationship Id="journalLink1539" Type="http://schemas.openxmlformats.org/officeDocument/2006/relationships/hyperlink" Target="http://www.publish.csiro.au/sr" TargetMode="External" /><ns0:Relationship Id="journalLink1540" Type="http://schemas.openxmlformats.org/officeDocument/2006/relationships/hyperlink" Target="https://openalex.org/S81064336" TargetMode="External" /><ns0:Relationship Id="journalLink1541" Type="http://schemas.openxmlformats.org/officeDocument/2006/relationships/hyperlink" Target="https://www.niic.nsc.ru/phocadownload/publications/2025/JCR_JournalImpactFactor_2026.pdf#page=362" TargetMode="External" /><ns0:Relationship Id="journalLink1542" Type="http://schemas.openxmlformats.org/officeDocument/2006/relationships/hyperlink" Target="https://huaxue.hebtu.edu.cn/a/2025/09/23/A5A5BBD96F6B4410B87B6D4C43BDFD63.html" TargetMode="External" /><ns0:Relationship Id="journalLink1543" Type="http://schemas.openxmlformats.org/officeDocument/2006/relationships/hyperlink" Target="https://www.tandfonline.com/toc/lcss20/current" TargetMode="External" /><ns0:Relationship Id="journalLink1544" Type="http://schemas.openxmlformats.org/officeDocument/2006/relationships/hyperlink" Target="https://openalex.org/S159568494" TargetMode="External" /><ns0:Relationship Id="journalLink1545" Type="http://schemas.openxmlformats.org/officeDocument/2006/relationships/hyperlink" Target="https://www.niic.nsc.ru/phocadownload/publications/2025/JCR_JournalImpactFactor_2026.pdf#page=431" TargetMode="External" /><ns0:Relationship Id="journalLink1546" Type="http://schemas.openxmlformats.org/officeDocument/2006/relationships/hyperlink" Target="https://huaxue.hebtu.edu.cn/a/2025/09/23/A5A5BBD96F6B4410B87B6D4C43BDFD63.html" TargetMode="External" /><ns0:Relationship Id="journalLink1547" Type="http://schemas.openxmlformats.org/officeDocument/2006/relationships/hyperlink" Target="https://www.soilsa.com/" TargetMode="External" /><ns0:Relationship Id="journalLink1548" Type="http://schemas.openxmlformats.org/officeDocument/2006/relationships/hyperlink" Target="https://www.soilsa.com/" TargetMode="External" /><ns0:Relationship Id="journalLink1549" Type="http://schemas.openxmlformats.org/officeDocument/2006/relationships/hyperlink" Target="https://www.niic.nsc.ru/phocadownload/publications/2025/JCR_JournalImpactFactor_2026.pdf#page=446" TargetMode="External" /><ns0:Relationship Id="journalLink1550" Type="http://schemas.openxmlformats.org/officeDocument/2006/relationships/hyperlink" Target="https://www.tandfonline.com/toc/ucsu20/current" TargetMode="External" /><ns0:Relationship Id="journalLink1551" Type="http://schemas.openxmlformats.org/officeDocument/2006/relationships/hyperlink" Target="https://openalex.org/S80067902" TargetMode="External" /><ns0:Relationship Id="journalLink1552" Type="http://schemas.openxmlformats.org/officeDocument/2006/relationships/hyperlink" Target="https://www.niic.nsc.ru/phocadownload/publications/2025/JCR_JournalImpactFactor_2026.pdf#page=1" TargetMode="External" /><ns0:Relationship Id="journalLink1553" Type="http://schemas.openxmlformats.org/officeDocument/2006/relationships/hyperlink" Target="https://huaxue.hebtu.edu.cn/a/2025/09/23/A5A5BBD96F6B4410B87B6D4C43BDFD63.html" TargetMode="External" /><ns0:Relationship Id="journalLink1554" Type="http://schemas.openxmlformats.org/officeDocument/2006/relationships/hyperlink" Target="https://www.nature.com/natrevearthenviron/" TargetMode="External" /><ns0:Relationship Id="journalLink1555" Type="http://schemas.openxmlformats.org/officeDocument/2006/relationships/hyperlink" Target="https://openalex.org/S4210178125" TargetMode="External" /><ns0:Relationship Id="journalLink1556" Type="http://schemas.openxmlformats.org/officeDocument/2006/relationships/hyperlink" Target="https://www.niic.nsc.ru/phocadownload/publications/2025/JCR_JournalImpactFactor_2026.pdf#page=4" TargetMode="External" /><ns0:Relationship Id="journalLink1557" Type="http://schemas.openxmlformats.org/officeDocument/2006/relationships/hyperlink" Target="https://huaxue.hebtu.edu.cn/a/2025/09/23/A5A5BBD96F6B4410B87B6D4C43BDFD63.html" TargetMode="External" /><ns0:Relationship Id="journalLink1558" Type="http://schemas.openxmlformats.org/officeDocument/2006/relationships/hyperlink" Target="https://www.nature.com/nclimate/" TargetMode="External" /><ns0:Relationship Id="journalLink1559" Type="http://schemas.openxmlformats.org/officeDocument/2006/relationships/hyperlink" Target="https://openalex.org/S183584863" TargetMode="External" /><ns0:Relationship Id="journalLink1560" Type="http://schemas.openxmlformats.org/officeDocument/2006/relationships/hyperlink" Target="https://www.niic.nsc.ru/phocadownload/publications/2025/JCR_JournalImpactFactor_2026.pdf#page=3" TargetMode="External" /><ns0:Relationship Id="journalLink1561" Type="http://schemas.openxmlformats.org/officeDocument/2006/relationships/hyperlink" Target="https://huaxue.hebtu.edu.cn/a/2025/09/23/A5A5BBD96F6B4410B87B6D4C43BDFD63.html" TargetMode="External" /><ns0:Relationship Id="journalLink1562" Type="http://schemas.openxmlformats.org/officeDocument/2006/relationships/hyperlink" Target="https://www.nature.com/natsustain/" TargetMode="External" /><ns0:Relationship Id="journalLink1563" Type="http://schemas.openxmlformats.org/officeDocument/2006/relationships/hyperlink" Target="https://openalex.org/S4210188283" TargetMode="External" /><ns0:Relationship Id="journalLink1564" Type="http://schemas.openxmlformats.org/officeDocument/2006/relationships/hyperlink" Target="https://www.niic.nsc.ru/phocadownload/publications/2025/JCR_JournalImpactFactor_2026.pdf#page=6" TargetMode="External" /><ns0:Relationship Id="journalLink1565" Type="http://schemas.openxmlformats.org/officeDocument/2006/relationships/hyperlink" Target="https://huaxue.hebtu.edu.cn/a/2025/09/23/A5A5BBD96F6B4410B87B6D4C43BDFD63.html" TargetMode="External" /><ns0:Relationship Id="journalLink1566" Type="http://schemas.openxmlformats.org/officeDocument/2006/relationships/hyperlink" Target="http://www.nature.com/ngeo/" TargetMode="External" /><ns0:Relationship Id="journalLink1567" Type="http://schemas.openxmlformats.org/officeDocument/2006/relationships/hyperlink" Target="https://openalex.org/S48977010" TargetMode="External" /><ns0:Relationship Id="journalLink1568" Type="http://schemas.openxmlformats.org/officeDocument/2006/relationships/hyperlink" Target="https://www.niic.nsc.ru/phocadownload/publications/2025/JCR_JournalImpactFactor_2026.pdf#page=11" TargetMode="External" /><ns0:Relationship Id="journalLink1569" Type="http://schemas.openxmlformats.org/officeDocument/2006/relationships/hyperlink" Target="https://huaxue.hebtu.edu.cn/a/2025/09/23/A5A5BBD96F6B4410B87B6D4C43BDFD63.html" TargetMode="External" /><ns0:Relationship Id="journalLink1570" Type="http://schemas.openxmlformats.org/officeDocument/2006/relationships/hyperlink" Target="https://www.journals.elsevier.com/one-earth" TargetMode="External" /><ns0:Relationship Id="journalLink1571" Type="http://schemas.openxmlformats.org/officeDocument/2006/relationships/hyperlink" Target="https://openalex.org/S4210191196" TargetMode="External" /><ns0:Relationship Id="journalLink1572" Type="http://schemas.openxmlformats.org/officeDocument/2006/relationships/hyperlink" Target="https://www.niic.nsc.ru/phocadownload/publications/2025/JCR_JournalImpactFactor_2026.pdf#page=9" TargetMode="External" /><ns0:Relationship Id="journalLink1573" Type="http://schemas.openxmlformats.org/officeDocument/2006/relationships/hyperlink" Target="https://huaxue.hebtu.edu.cn/a/2025/09/23/A5A5BBD96F6B4410B87B6D4C43BDFD63.html" TargetMode="External" /><ns0:Relationship Id="journalLink1574" Type="http://schemas.openxmlformats.org/officeDocument/2006/relationships/hyperlink" Target="https://www.nature.com/natecolevol/" TargetMode="External" /><ns0:Relationship Id="journalLink1575" Type="http://schemas.openxmlformats.org/officeDocument/2006/relationships/hyperlink" Target="https://openalex.org/S2764884935" TargetMode="External" /><ns0:Relationship Id="journalLink1576" Type="http://schemas.openxmlformats.org/officeDocument/2006/relationships/hyperlink" Target="https://www.niic.nsc.ru/phocadownload/publications/2025/JCR_JournalImpactFactor_2026.pdf#page=11" TargetMode="External" /><ns0:Relationship Id="journalLink1577" Type="http://schemas.openxmlformats.org/officeDocument/2006/relationships/hyperlink" Target="https://huaxue.hebtu.edu.cn/a/2025/09/23/A5A5BBD96F6B4410B87B6D4C43BDFD63.html" TargetMode="External" /><ns0:Relationship Id="journalLink1578" Type="http://schemas.openxmlformats.org/officeDocument/2006/relationships/hyperlink" Target="https://link.springer.com/journal/42773" TargetMode="External" /><ns0:Relationship Id="journalLink1579" Type="http://schemas.openxmlformats.org/officeDocument/2006/relationships/hyperlink" Target="https://openalex.org/S4210190674" TargetMode="External" /><ns0:Relationship Id="journalLink1580" Type="http://schemas.openxmlformats.org/officeDocument/2006/relationships/hyperlink" Target="https://www.niic.nsc.ru/phocadownload/publications/2025/JCR_JournalImpactFactor_2026.pdf#page=11" TargetMode="External" /><ns0:Relationship Id="journalLink1581" Type="http://schemas.openxmlformats.org/officeDocument/2006/relationships/hyperlink" Target="https://huaxue.hebtu.edu.cn/a/2025/09/23/A5A5BBD96F6B4410B87B6D4C43BDFD63.html" TargetMode="External" /><ns0:Relationship Id="journalLink1582" Type="http://schemas.openxmlformats.org/officeDocument/2006/relationships/hyperlink" Target="https://microbiomejournal.biomedcentral.com/" TargetMode="External" /><ns0:Relationship Id="journalLink1583" Type="http://schemas.openxmlformats.org/officeDocument/2006/relationships/hyperlink" Target="https://openalex.org/S3004984423" TargetMode="External" /><ns0:Relationship Id="journalLink1584" Type="http://schemas.openxmlformats.org/officeDocument/2006/relationships/hyperlink" Target="https://www.niic.nsc.ru/phocadownload/publications/2025/JCR_JournalImpactFactor_2026.pdf#page=15" TargetMode="External" /><ns0:Relationship Id="journalLink1585" Type="http://schemas.openxmlformats.org/officeDocument/2006/relationships/hyperlink" Target="https://huaxue.hebtu.edu.cn/a/2025/09/23/A5A5BBD96F6B4410B87B6D4C43BDFD63.html" TargetMode="External" /><ns0:Relationship Id="journalLink1586" Type="http://schemas.openxmlformats.org/officeDocument/2006/relationships/hyperlink" Target="http://www.elsevier.com/wps/find/journaldescription.cws_home/309/description" TargetMode="External" /><ns0:Relationship Id="journalLink1587" Type="http://schemas.openxmlformats.org/officeDocument/2006/relationships/hyperlink" Target="https://openalex.org/S52566953" TargetMode="External" /><ns0:Relationship Id="journalLink1588" Type="http://schemas.openxmlformats.org/officeDocument/2006/relationships/hyperlink" Target="https://www.niic.nsc.ru/phocadownload/publications/2025/JCR_JournalImpactFactor_2026.pdf#page=15" TargetMode="External" /><ns0:Relationship Id="journalLink1589" Type="http://schemas.openxmlformats.org/officeDocument/2006/relationships/hyperlink" Target="https://huaxue.hebtu.edu.cn/a/2025/09/23/A5A5BBD96F6B4410B87B6D4C43BDFD63.html" TargetMode="External" /><ns0:Relationship Id="journalLink1590" Type="http://schemas.openxmlformats.org/officeDocument/2006/relationships/hyperlink" Target="https://onlinelibrary.wiley.com/journal/13652486" TargetMode="External" /><ns0:Relationship Id="journalLink1591" Type="http://schemas.openxmlformats.org/officeDocument/2006/relationships/hyperlink" Target="https://openalex.org/S74970393" TargetMode="External" /><ns0:Relationship Id="journalLink1592" Type="http://schemas.openxmlformats.org/officeDocument/2006/relationships/hyperlink" Target="https://www.niic.nsc.ru/phocadownload/publications/2025/JCR_JournalImpactFactor_2026.pdf#page=17" TargetMode="External" /><ns0:Relationship Id="journalLink1593" Type="http://schemas.openxmlformats.org/officeDocument/2006/relationships/hyperlink" Target="https://huaxue.hebtu.edu.cn/a/2025/09/23/A5A5BBD96F6B4410B87B6D4C43BDFD63.html" TargetMode="External" /><ns0:Relationship Id="journalLink1594" Type="http://schemas.openxmlformats.org/officeDocument/2006/relationships/hyperlink" Target="http://pubs.acs.org/journals/esthag/" TargetMode="External" /><ns0:Relationship Id="journalLink1595" Type="http://schemas.openxmlformats.org/officeDocument/2006/relationships/hyperlink" Target="https://openalex.org/S13479253" TargetMode="External" /><ns0:Relationship Id="journalLink1596" Type="http://schemas.openxmlformats.org/officeDocument/2006/relationships/hyperlink" Target="https://www.niic.nsc.ru/phocadownload/publications/2025/JCR_JournalImpactFactor_2026.pdf#page=21" TargetMode="External" /><ns0:Relationship Id="journalLink1597" Type="http://schemas.openxmlformats.org/officeDocument/2006/relationships/hyperlink" Target="https://huaxue.hebtu.edu.cn/a/2025/09/23/A5A5BBD96F6B4410B87B6D4C43BDFD63.html" TargetMode="External" /><ns0:Relationship Id="journalLink1598" Type="http://schemas.openxmlformats.org/officeDocument/2006/relationships/hyperlink" Target="https://www.journals.elsevier.com/journal-of-hazardous-materials" TargetMode="External" /><ns0:Relationship Id="journalLink1599" Type="http://schemas.openxmlformats.org/officeDocument/2006/relationships/hyperlink" Target="https://openalex.org/S145089992" TargetMode="External" /><ns0:Relationship Id="journalLink1600" Type="http://schemas.openxmlformats.org/officeDocument/2006/relationships/hyperlink" Target="https://www.niic.nsc.ru/phocadownload/publications/2025/JCR_JournalImpactFactor_2026.pdf#page=22" TargetMode="External" /><ns0:Relationship Id="journalLink1601" Type="http://schemas.openxmlformats.org/officeDocument/2006/relationships/hyperlink" Target="https://huaxue.hebtu.edu.cn/a/2025/09/23/A5A5BBD96F6B4410B87B6D4C43BDFD63.html" TargetMode="External" /><ns0:Relationship Id="journalLink1602" Type="http://schemas.openxmlformats.org/officeDocument/2006/relationships/hyperlink" Target="https://www.journals.elsevier.com/resources-conservation-and-recycling" TargetMode="External" /><ns0:Relationship Id="journalLink1603" Type="http://schemas.openxmlformats.org/officeDocument/2006/relationships/hyperlink" Target="https://openalex.org/S18051569" TargetMode="External" /><ns0:Relationship Id="journalLink1604" Type="http://schemas.openxmlformats.org/officeDocument/2006/relationships/hyperlink" Target="https://www.niic.nsc.ru/phocadownload/publications/2025/JCR_JournalImpactFactor_2026.pdf#page=22" TargetMode="External" /><ns0:Relationship Id="journalLink1605" Type="http://schemas.openxmlformats.org/officeDocument/2006/relationships/hyperlink" Target="https://huaxue.hebtu.edu.cn/a/2025/09/23/A5A5BBD96F6B4410B87B6D4C43BDFD63.html" TargetMode="External" /><ns0:Relationship Id="journalLink1606" Type="http://schemas.openxmlformats.org/officeDocument/2006/relationships/hyperlink" Target="https://www.nature.com/ismej/" TargetMode="External" /><ns0:Relationship Id="journalLink1607" Type="http://schemas.openxmlformats.org/officeDocument/2006/relationships/hyperlink" Target="https://openalex.org/S149218730" TargetMode="External" /><ns0:Relationship Id="journalLink1608" Type="http://schemas.openxmlformats.org/officeDocument/2006/relationships/hyperlink" Target="https://www.niic.nsc.ru/phocadownload/publications/2025/JCR_JournalImpactFactor_2026.pdf#page=21" TargetMode="External" /><ns0:Relationship Id="journalLink1609" Type="http://schemas.openxmlformats.org/officeDocument/2006/relationships/hyperlink" Target="https://huaxue.hebtu.edu.cn/a/2025/09/23/A5A5BBD96F6B4410B87B6D4C43BDFD63.html" TargetMode="External" /><ns0:Relationship Id="journalLink1610" Type="http://schemas.openxmlformats.org/officeDocument/2006/relationships/hyperlink" Target="https://www.journals.elsevier.com/journal-of-cleaner-production" TargetMode="External" /><ns0:Relationship Id="journalLink1611" Type="http://schemas.openxmlformats.org/officeDocument/2006/relationships/hyperlink" Target="https://openalex.org/S58516903" TargetMode="External" /><ns0:Relationship Id="journalLink1612" Type="http://schemas.openxmlformats.org/officeDocument/2006/relationships/hyperlink" Target="https://www.niic.nsc.ru/phocadownload/publications/2025/JCR_JournalImpactFactor_2026.pdf#page=23" TargetMode="External" /><ns0:Relationship Id="journalLink1613" Type="http://schemas.openxmlformats.org/officeDocument/2006/relationships/hyperlink" Target="https://huaxue.hebtu.edu.cn/a/2025/09/23/A5A5BBD96F6B4410B87B6D4C43BDFD63.html" TargetMode="External" /><ns0:Relationship Id="journalLink1614" Type="http://schemas.openxmlformats.org/officeDocument/2006/relationships/hyperlink" Target="https://www.journals.elsevier.com/environment-international" TargetMode="External" /><ns0:Relationship Id="journalLink1615" Type="http://schemas.openxmlformats.org/officeDocument/2006/relationships/hyperlink" Target="https://openalex.org/S143381477" TargetMode="External" /><ns0:Relationship Id="journalLink1616" Type="http://schemas.openxmlformats.org/officeDocument/2006/relationships/hyperlink" Target="https://www.niic.nsc.ru/phocadownload/publications/2025/JCR_JournalImpactFactor_2026.pdf#page=18" TargetMode="External" /><ns0:Relationship Id="journalLink1617" Type="http://schemas.openxmlformats.org/officeDocument/2006/relationships/hyperlink" Target="https://huaxue.hebtu.edu.cn/a/2025/09/23/A5A5BBD96F6B4410B87B6D4C43BDFD63.html" TargetMode="External" /><ns0:Relationship Id="journalLink1618" Type="http://schemas.openxmlformats.org/officeDocument/2006/relationships/hyperlink" Target="https://www.journals.elsevier.com/landscape-and-urban-planning" TargetMode="External" /><ns0:Relationship Id="journalLink1619" Type="http://schemas.openxmlformats.org/officeDocument/2006/relationships/hyperlink" Target="https://openalex.org/S104597489" TargetMode="External" /><ns0:Relationship Id="journalLink1620" Type="http://schemas.openxmlformats.org/officeDocument/2006/relationships/hyperlink" Target="https://www.niic.nsc.ru/phocadownload/publications/2025/JCR_JournalImpactFactor_2026.pdf#page=34" TargetMode="External" /><ns0:Relationship Id="journalLink1621" Type="http://schemas.openxmlformats.org/officeDocument/2006/relationships/hyperlink" Target="https://huaxue.hebtu.edu.cn/a/2025/09/23/A5A5BBD96F6B4410B87B6D4C43BDFD63.html" TargetMode="External" /><ns0:Relationship Id="journalLink1622" Type="http://schemas.openxmlformats.org/officeDocument/2006/relationships/hyperlink" Target="http://journals.elsevier.com/09608524/bioresource-technology/" TargetMode="External" /><ns0:Relationship Id="journalLink1623" Type="http://schemas.openxmlformats.org/officeDocument/2006/relationships/hyperlink" Target="https://openalex.org/S21442059" TargetMode="External" /><ns0:Relationship Id="journalLink1624" Type="http://schemas.openxmlformats.org/officeDocument/2006/relationships/hyperlink" Target="https://www.niic.nsc.ru/phocadownload/publications/2025/JCR_JournalImpactFactor_2026.pdf#page=27" TargetMode="External" /><ns0:Relationship Id="journalLink1625" Type="http://schemas.openxmlformats.org/officeDocument/2006/relationships/hyperlink" Target="https://huaxue.hebtu.edu.cn/a/2025/09/23/A5A5BBD96F6B4410B87B6D4C43BDFD63.html" TargetMode="External" /><ns0:Relationship Id="journalLink1626" Type="http://schemas.openxmlformats.org/officeDocument/2006/relationships/hyperlink" Target="https://www.nature.com/commsenv/" TargetMode="External" /><ns0:Relationship Id="journalLink1627" Type="http://schemas.openxmlformats.org/officeDocument/2006/relationships/hyperlink" Target="https://openalex.org/S4210221880" TargetMode="External" /><ns0:Relationship Id="journalLink1628" Type="http://schemas.openxmlformats.org/officeDocument/2006/relationships/hyperlink" Target="https://www.niic.nsc.ru/phocadownload/publications/2025/JCR_JournalImpactFactor_2026.pdf#page=25" TargetMode="External" /><ns0:Relationship Id="journalLink1629" Type="http://schemas.openxmlformats.org/officeDocument/2006/relationships/hyperlink" Target="https://huaxue.hebtu.edu.cn/a/2025/09/23/A5A5BBD96F6B4410B87B6D4C43BDFD63.html" TargetMode="External" /><ns0:Relationship Id="journalLink1630" Type="http://schemas.openxmlformats.org/officeDocument/2006/relationships/hyperlink" Target="https://www.nature.com/npjclimatsci/" TargetMode="External" /><ns0:Relationship Id="journalLink1631" Type="http://schemas.openxmlformats.org/officeDocument/2006/relationships/hyperlink" Target="https://openalex.org/S4210224503" TargetMode="External" /><ns0:Relationship Id="journalLink1632" Type="http://schemas.openxmlformats.org/officeDocument/2006/relationships/hyperlink" Target="https://www.niic.nsc.ru/phocadownload/publications/2025/JCR_JournalImpactFactor_2026.pdf#page=39" TargetMode="External" /><ns0:Relationship Id="journalLink1633" Type="http://schemas.openxmlformats.org/officeDocument/2006/relationships/hyperlink" Target="https://huaxue.hebtu.edu.cn/a/2025/09/23/A5A5BBD96F6B4410B87B6D4C43BDFD63.html" TargetMode="External" /><ns0:Relationship Id="journalLink1634" Type="http://schemas.openxmlformats.org/officeDocument/2006/relationships/hyperlink" Target="http://onlinelibrary.wiley.com/journal/10.1111/(ISSN)1461-0248" TargetMode="External" /><ns0:Relationship Id="journalLink1635" Type="http://schemas.openxmlformats.org/officeDocument/2006/relationships/hyperlink" Target="https://openalex.org/S80967739" TargetMode="External" /><ns0:Relationship Id="journalLink1636" Type="http://schemas.openxmlformats.org/officeDocument/2006/relationships/hyperlink" Target="https://www.niic.nsc.ru/phocadownload/publications/2025/JCR_JournalImpactFactor_2026.pdf#page=54" TargetMode="External" /><ns0:Relationship Id="journalLink1637" Type="http://schemas.openxmlformats.org/officeDocument/2006/relationships/hyperlink" Target="https://huaxue.hebtu.edu.cn/a/2025/09/23/A5A5BBD96F6B4410B87B6D4C43BDFD63.html" TargetMode="External" /><ns0:Relationship Id="journalLink1638" Type="http://schemas.openxmlformats.org/officeDocument/2006/relationships/hyperlink" Target="https://esajournals.onlinelibrary.wiley.com/journal/15409309/" TargetMode="External" /><ns0:Relationship Id="journalLink1639" Type="http://schemas.openxmlformats.org/officeDocument/2006/relationships/hyperlink" Target="https://openalex.org/S144797041" TargetMode="External" /><ns0:Relationship Id="journalLink1640" Type="http://schemas.openxmlformats.org/officeDocument/2006/relationships/hyperlink" Target="https://www.niic.nsc.ru/phocadownload/publications/2025/JCR_JournalImpactFactor_2026.pdf#page=30" TargetMode="External" /><ns0:Relationship Id="journalLink1641" Type="http://schemas.openxmlformats.org/officeDocument/2006/relationships/hyperlink" Target="https://huaxue.hebtu.edu.cn/a/2025/09/23/A5A5BBD96F6B4410B87B6D4C43BDFD63.html" TargetMode="External" /><ns0:Relationship Id="journalLink1642" Type="http://schemas.openxmlformats.org/officeDocument/2006/relationships/hyperlink" Target="https://www.journals.elsevier.com/ecological-indicators" TargetMode="External" /><ns0:Relationship Id="journalLink1643" Type="http://schemas.openxmlformats.org/officeDocument/2006/relationships/hyperlink" Target="https://openalex.org/S194154261" TargetMode="External" /><ns0:Relationship Id="journalLink1644" Type="http://schemas.openxmlformats.org/officeDocument/2006/relationships/hyperlink" Target="https://www.niic.nsc.ru/phocadownload/publications/2025/JCR_JournalImpactFactor_2026.pdf#page=54" TargetMode="External" /><ns0:Relationship Id="journalLink1645" Type="http://schemas.openxmlformats.org/officeDocument/2006/relationships/hyperlink" Target="https://huaxue.hebtu.edu.cn/a/2025/09/23/A5A5BBD96F6B4410B87B6D4C43BDFD63.html" TargetMode="External" /><ns0:Relationship Id="journalLink1646" Type="http://schemas.openxmlformats.org/officeDocument/2006/relationships/hyperlink" Target="http://onlinelibrary.wiley.com/journal/10.1111/(ISSN)1466-8238" TargetMode="External" /><ns0:Relationship Id="journalLink1647" Type="http://schemas.openxmlformats.org/officeDocument/2006/relationships/hyperlink" Target="https://openalex.org/S169694011" TargetMode="External" /><ns0:Relationship Id="journalLink1648" Type="http://schemas.openxmlformats.org/officeDocument/2006/relationships/hyperlink" Target="https://www.niic.nsc.ru/phocadownload/publications/2025/JCR_JournalImpactFactor_2026.pdf#page=72" TargetMode="External" /><ns0:Relationship Id="journalLink1649" Type="http://schemas.openxmlformats.org/officeDocument/2006/relationships/hyperlink" Target="https://huaxue.hebtu.edu.cn/a/2025/09/23/A5A5BBD96F6B4410B87B6D4C43BDFD63.html" TargetMode="External" /><ns0:Relationship Id="journalLink1650" Type="http://schemas.openxmlformats.org/officeDocument/2006/relationships/hyperlink" Target="https://conbio.onlinelibrary.wiley.com/journal/1755263x" TargetMode="External" /><ns0:Relationship Id="journalLink1651" Type="http://schemas.openxmlformats.org/officeDocument/2006/relationships/hyperlink" Target="https://openalex.org/S133530468" TargetMode="External" /><ns0:Relationship Id="journalLink1652" Type="http://schemas.openxmlformats.org/officeDocument/2006/relationships/hyperlink" Target="https://www.niic.nsc.ru/phocadownload/publications/2025/JCR_JournalImpactFactor_2026.pdf#page=56" TargetMode="External" /><ns0:Relationship Id="journalLink1653" Type="http://schemas.openxmlformats.org/officeDocument/2006/relationships/hyperlink" Target="https://huaxue.hebtu.edu.cn/a/2025/09/23/A5A5BBD96F6B4410B87B6D4C43BDFD63.html" TargetMode="External" /><ns0:Relationship Id="journalLink1654" Type="http://schemas.openxmlformats.org/officeDocument/2006/relationships/hyperlink" Target="http://www.journalofecology.org/" TargetMode="External" /><ns0:Relationship Id="journalLink1655" Type="http://schemas.openxmlformats.org/officeDocument/2006/relationships/hyperlink" Target="https://openalex.org/S11271929" TargetMode="External" /><ns0:Relationship Id="journalLink1656" Type="http://schemas.openxmlformats.org/officeDocument/2006/relationships/hyperlink" Target="https://www.niic.nsc.ru/phocadownload/publications/2025/JCR_JournalImpactFactor_2026.pdf#page=80" TargetMode="External" /><ns0:Relationship Id="journalLink1657" Type="http://schemas.openxmlformats.org/officeDocument/2006/relationships/hyperlink" Target="https://huaxue.hebtu.edu.cn/a/2025/09/23/A5A5BBD96F6B4410B87B6D4C43BDFD63.html" TargetMode="External" /><ns0:Relationship Id="journalLink1658" Type="http://schemas.openxmlformats.org/officeDocument/2006/relationships/hyperlink" Target="https://conbio.onlinelibrary.wiley.com/journal/15231739" TargetMode="External" /><ns0:Relationship Id="journalLink1659" Type="http://schemas.openxmlformats.org/officeDocument/2006/relationships/hyperlink" Target="https://openalex.org/S98137347" TargetMode="External" /><ns0:Relationship Id="journalLink1660" Type="http://schemas.openxmlformats.org/officeDocument/2006/relationships/hyperlink" Target="https://www.niic.nsc.ru/phocadownload/publications/2025/JCR_JournalImpactFactor_2026.pdf#page=73" TargetMode="External" /><ns0:Relationship Id="journalLink1661" Type="http://schemas.openxmlformats.org/officeDocument/2006/relationships/hyperlink" Target="https://huaxue.hebtu.edu.cn/a/2025/09/23/A5A5BBD96F6B4410B87B6D4C43BDFD63.html" TargetMode="External" /><ns0:Relationship Id="journalLink1662" Type="http://schemas.openxmlformats.org/officeDocument/2006/relationships/hyperlink" Target="http://www.functionalecology.org/" TargetMode="External" /><ns0:Relationship Id="journalLink1663" Type="http://schemas.openxmlformats.org/officeDocument/2006/relationships/hyperlink" Target="https://openalex.org/S174303711" TargetMode="External" /><ns0:Relationship Id="journalLink1664" Type="http://schemas.openxmlformats.org/officeDocument/2006/relationships/hyperlink" Target="https://www.niic.nsc.ru/phocadownload/publications/2025/JCR_JournalImpactFactor_2026.pdf#page=77" TargetMode="External" /><ns0:Relationship Id="journalLink1665" Type="http://schemas.openxmlformats.org/officeDocument/2006/relationships/hyperlink" Target="https://huaxue.hebtu.edu.cn/a/2025/09/23/A5A5BBD96F6B4410B87B6D4C43BDFD63.html" TargetMode="External" /><ns0:Relationship Id="journalLink1666" Type="http://schemas.openxmlformats.org/officeDocument/2006/relationships/hyperlink" Target="http://www.journalofappliedecology.org/" TargetMode="External" /><ns0:Relationship Id="journalLink1667" Type="http://schemas.openxmlformats.org/officeDocument/2006/relationships/hyperlink" Target="https://openalex.org/S82098733" TargetMode="External" /><ns0:Relationship Id="journalLink1668" Type="http://schemas.openxmlformats.org/officeDocument/2006/relationships/hyperlink" Target="https://www.niic.nsc.ru/phocadownload/publications/2025/JCR_JournalImpactFactor_2026.pdf#page=77" TargetMode="External" /><ns0:Relationship Id="journalLink1669" Type="http://schemas.openxmlformats.org/officeDocument/2006/relationships/hyperlink" Target="https://huaxue.hebtu.edu.cn/a/2025/09/23/A5A5BBD96F6B4410B87B6D4C43BDFD63.html" TargetMode="External" /><ns0:Relationship Id="journalLink1670" Type="http://schemas.openxmlformats.org/officeDocument/2006/relationships/hyperlink" Target="http://www.wiley.com/bw/journal.asp?ref=0906-7590" TargetMode="External" /><ns0:Relationship Id="journalLink1671" Type="http://schemas.openxmlformats.org/officeDocument/2006/relationships/hyperlink" Target="https://openalex.org/S25093289" TargetMode="External" /><ns0:Relationship Id="journalLink1672" Type="http://schemas.openxmlformats.org/officeDocument/2006/relationships/hyperlink" Target="https://www.niic.nsc.ru/phocadownload/publications/2025/JCR_JournalImpactFactor_2026.pdf#page=83" TargetMode="External" /><ns0:Relationship Id="journalLink1673" Type="http://schemas.openxmlformats.org/officeDocument/2006/relationships/hyperlink" Target="https://huaxue.hebtu.edu.cn/a/2025/09/23/A5A5BBD96F6B4410B87B6D4C43BDFD63.html" TargetMode="External" /><ns0:Relationship Id="journalLink1674" Type="http://schemas.openxmlformats.org/officeDocument/2006/relationships/hyperlink" Target="https://www.journals.elsevier.com/biological-conservation" TargetMode="External" /><ns0:Relationship Id="journalLink1675" Type="http://schemas.openxmlformats.org/officeDocument/2006/relationships/hyperlink" Target="https://openalex.org/S80660208" TargetMode="External" /><ns0:Relationship Id="journalLink1676" Type="http://schemas.openxmlformats.org/officeDocument/2006/relationships/hyperlink" Target="https://www.niic.nsc.ru/phocadownload/publications/2025/JCR_JournalImpactFactor_2026.pdf#page=115" TargetMode="External" /><ns0:Relationship Id="journalLink1677" Type="http://schemas.openxmlformats.org/officeDocument/2006/relationships/hyperlink" Target="https://huaxue.hebtu.edu.cn/a/2025/09/23/A5A5BBD96F6B4410B87B6D4C43BDFD63.html" TargetMode="External" /><ns0:Relationship Id="journalLink1678" Type="http://schemas.openxmlformats.org/officeDocument/2006/relationships/hyperlink" Target="http://onlinelibrary.wiley.com/journal/10.1111/(ISSN)1472-4642" TargetMode="External" /><ns0:Relationship Id="journalLink1679" Type="http://schemas.openxmlformats.org/officeDocument/2006/relationships/hyperlink" Target="https://openalex.org/S11703781" TargetMode="External" /><ns0:Relationship Id="journalLink1680" Type="http://schemas.openxmlformats.org/officeDocument/2006/relationships/hyperlink" Target="https://www.niic.nsc.ru/phocadownload/publications/2025/JCR_JournalImpactFactor_2026.pdf#page=102" TargetMode="External" /><ns0:Relationship Id="journalLink1681" Type="http://schemas.openxmlformats.org/officeDocument/2006/relationships/hyperlink" Target="https://huaxue.hebtu.edu.cn/a/2025/09/23/A5A5BBD96F6B4410B87B6D4C43BDFD63.html" TargetMode="External" /><ns0:Relationship Id="journalLink1682" Type="http://schemas.openxmlformats.org/officeDocument/2006/relationships/hyperlink" Target="https://academic.oup.com/jpe" TargetMode="External" /><ns0:Relationship Id="journalLink1683" Type="http://schemas.openxmlformats.org/officeDocument/2006/relationships/hyperlink" Target="https://openalex.org/S2735987199" TargetMode="External" /><ns0:Relationship Id="journalLink1684" Type="http://schemas.openxmlformats.org/officeDocument/2006/relationships/hyperlink" Target="https://www.niic.nsc.ru/phocadownload/publications/2025/JCR_JournalImpactFactor_2026.pdf#page=5" TargetMode="External" /><ns0:Relationship Id="journalLink1685" Type="http://schemas.openxmlformats.org/officeDocument/2006/relationships/hyperlink" Target="https://huaxue.hebtu.edu.cn/a/2025/09/23/A5A5BBD96F6B4410B87B6D4C43BDFD63.html" TargetMode="External" /><ns0:Relationship Id="journalLink1686" Type="http://schemas.openxmlformats.org/officeDocument/2006/relationships/hyperlink" Target="https://link.springer.com/journal/10311" TargetMode="External" /><ns0:Relationship Id="journalLink1687" Type="http://schemas.openxmlformats.org/officeDocument/2006/relationships/hyperlink" Target="https://openalex.org/S88719806" TargetMode="External" /><ns0:Relationship Id="journalLink1688" Type="http://schemas.openxmlformats.org/officeDocument/2006/relationships/hyperlink" Target="https://www.niic.nsc.ru/phocadownload/publications/2025/JCR_JournalImpactFactor_2026.pdf#page=20" TargetMode="External" /><ns0:Relationship Id="journalLink1689" Type="http://schemas.openxmlformats.org/officeDocument/2006/relationships/hyperlink" Target="https://huaxue.hebtu.edu.cn/a/2025/09/23/A5A5BBD96F6B4410B87B6D4C43BDFD63.html" TargetMode="External" /><ns0:Relationship Id="journalLink1690" Type="http://schemas.openxmlformats.org/officeDocument/2006/relationships/hyperlink" Target="https://www.nature.com/npjcleanwater/" TargetMode="External" /><ns0:Relationship Id="journalLink1691" Type="http://schemas.openxmlformats.org/officeDocument/2006/relationships/hyperlink" Target="https://openalex.org/S4210171286" TargetMode="External" /><ns0:Relationship Id="journalLink1692" Type="http://schemas.openxmlformats.org/officeDocument/2006/relationships/hyperlink" Target="https://www.niic.nsc.ru/phocadownload/publications/2025/JCR_JournalImpactFactor_2026.pdf#page=44" TargetMode="External" /><ns0:Relationship Id="journalLink1693" Type="http://schemas.openxmlformats.org/officeDocument/2006/relationships/hyperlink" Target="https://huaxue.hebtu.edu.cn/a/2025/09/23/A5A5BBD96F6B4410B87B6D4C43BDFD63.html" TargetMode="External" /><ns0:Relationship Id="journalLink1694" Type="http://schemas.openxmlformats.org/officeDocument/2006/relationships/hyperlink" Target="https://pubs.acs.org/journal/estlcu" TargetMode="External" /><ns0:Relationship Id="journalLink1695" Type="http://schemas.openxmlformats.org/officeDocument/2006/relationships/hyperlink" Target="https://openalex.org/S2764476807" TargetMode="External" /><ns0:Relationship Id="journalLink1696" Type="http://schemas.openxmlformats.org/officeDocument/2006/relationships/hyperlink" Target="https://www.niic.nsc.ru/phocadownload/publications/2025/JCR_JournalImpactFactor_2026.pdf#page=27" TargetMode="External" /><ns0:Relationship Id="journalLink1697" Type="http://schemas.openxmlformats.org/officeDocument/2006/relationships/hyperlink" Target="https://huaxue.hebtu.edu.cn/a/2025/09/23/A5A5BBD96F6B4410B87B6D4C43BDFD63.html" TargetMode="External" /><ns0:Relationship Id="journalLink1698" Type="http://schemas.openxmlformats.org/officeDocument/2006/relationships/hyperlink" Target="https://www.journals.elsevier.com/journal-of-environmental-management" TargetMode="External" /><ns0:Relationship Id="journalLink1699" Type="http://schemas.openxmlformats.org/officeDocument/2006/relationships/hyperlink" Target="https://openalex.org/S44455300" TargetMode="External" /><ns0:Relationship Id="journalLink1700" Type="http://schemas.openxmlformats.org/officeDocument/2006/relationships/hyperlink" Target="https://www.niic.nsc.ru/phocadownload/publications/2025/JCR_JournalImpactFactor_2026.pdf#page=47" TargetMode="External" /><ns0:Relationship Id="journalLink1701" Type="http://schemas.openxmlformats.org/officeDocument/2006/relationships/hyperlink" Target="https://huaxue.hebtu.edu.cn/a/2025/09/23/A5A5BBD96F6B4410B87B6D4C43BDFD63.html" TargetMode="External" /><ns0:Relationship Id="journalLink1702" Type="http://schemas.openxmlformats.org/officeDocument/2006/relationships/hyperlink" Target="https://www.journals.elsevier.com/water-research-x" TargetMode="External" /><ns0:Relationship Id="journalLink1703" Type="http://schemas.openxmlformats.org/officeDocument/2006/relationships/hyperlink" Target="https://openalex.org/S4210208646" TargetMode="External" /><ns0:Relationship Id="journalLink1704" Type="http://schemas.openxmlformats.org/officeDocument/2006/relationships/hyperlink" Target="https://www.niic.nsc.ru/phocadownload/publications/2025/JCR_JournalImpactFactor_2026.pdf" TargetMode="External" /><ns0:Relationship Id="journalLink1705" Type="http://schemas.openxmlformats.org/officeDocument/2006/relationships/hyperlink" Target="https://huaxue.hebtu.edu.cn/a/2025/09/23/A5A5BBD96F6B4410B87B6D4C43BDFD63.html" TargetMode="External" /><ns0:Relationship Id="journalLink1706" Type="http://schemas.openxmlformats.org/officeDocument/2006/relationships/hyperlink" Target="https://www.journals.elsevier.com/science-of-the-total-environment" TargetMode="External" /><ns0:Relationship Id="journalLink1707" Type="http://schemas.openxmlformats.org/officeDocument/2006/relationships/hyperlink" Target="https://openalex.org/S86852077" TargetMode="External" /><ns0:Relationship Id="journalLink1708" Type="http://schemas.openxmlformats.org/officeDocument/2006/relationships/hyperlink" Target="https://www.niic.nsc.ru/phocadownload/publications/2025/JCR_JournalImpactFactor_2026.pdf#page=34" TargetMode="External" /><ns0:Relationship Id="journalLink1709" Type="http://schemas.openxmlformats.org/officeDocument/2006/relationships/hyperlink" Target="https://huaxue.hebtu.edu.cn/a/2025/09/23/A5A5BBD96F6B4410B87B6D4C43BDFD63.html" TargetMode="External" /><ns0:Relationship Id="journalLink1710" Type="http://schemas.openxmlformats.org/officeDocument/2006/relationships/hyperlink" Target="http://www.journals.elsevier.com/environmental-research/" TargetMode="External" /><ns0:Relationship Id="journalLink1711" Type="http://schemas.openxmlformats.org/officeDocument/2006/relationships/hyperlink" Target="https://openalex.org/S173943867" TargetMode="External" /><ns0:Relationship Id="journalLink1712" Type="http://schemas.openxmlformats.org/officeDocument/2006/relationships/hyperlink" Target="https://www.niic.nsc.ru/phocadownload/publications/2025/JCR_JournalImpactFactor_2026.pdf#page=28" TargetMode="External" /><ns0:Relationship Id="journalLink1713" Type="http://schemas.openxmlformats.org/officeDocument/2006/relationships/hyperlink" Target="https://huaxue.hebtu.edu.cn/a/2025/09/23/A5A5BBD96F6B4410B87B6D4C43BDFD63.html" TargetMode="External" /><ns0:Relationship Id="journalLink1714" Type="http://schemas.openxmlformats.org/officeDocument/2006/relationships/hyperlink" Target="https://esajournals.onlinelibrary.wiley.com/journal/15577015" TargetMode="External" /><ns0:Relationship Id="journalLink1715" Type="http://schemas.openxmlformats.org/officeDocument/2006/relationships/hyperlink" Target="https://openalex.org/S201386569" TargetMode="External" /><ns0:Relationship Id="journalLink1716" Type="http://schemas.openxmlformats.org/officeDocument/2006/relationships/hyperlink" Target="https://www.niic.nsc.ru/phocadownload/publications/2025/JCR_JournalImpactFactor_2026.pdf#page=45" TargetMode="External" /><ns0:Relationship Id="journalLink1717" Type="http://schemas.openxmlformats.org/officeDocument/2006/relationships/hyperlink" Target="https://huaxue.hebtu.edu.cn/a/2025/09/23/A5A5BBD96F6B4410B87B6D4C43BDFD63.html" TargetMode="External" /><ns0:Relationship Id="journalLink1718" Type="http://schemas.openxmlformats.org/officeDocument/2006/relationships/hyperlink" Target="https://www.journals.elsevier.com/environmental-pollution" TargetMode="External" /><ns0:Relationship Id="journalLink1719" Type="http://schemas.openxmlformats.org/officeDocument/2006/relationships/hyperlink" Target="https://openalex.org/S201530359" TargetMode="External" /><ns0:Relationship Id="journalLink1720" Type="http://schemas.openxmlformats.org/officeDocument/2006/relationships/hyperlink" Target="https://www.niic.nsc.ru/phocadownload/publications/2025/JCR_JournalImpactFactor_2026.pdf#page=31" TargetMode="External" /><ns0:Relationship Id="journalLink1721" Type="http://schemas.openxmlformats.org/officeDocument/2006/relationships/hyperlink" Target="https://huaxue.hebtu.edu.cn/a/2025/09/23/A5A5BBD96F6B4410B87B6D4C43BDFD63.html" TargetMode="External" /><ns0:Relationship Id="journalLink1722" Type="http://schemas.openxmlformats.org/officeDocument/2006/relationships/hyperlink" Target="https://www.journals.elsevier.com/ecological-informatics" TargetMode="External" /><ns0:Relationship Id="journalLink1723" Type="http://schemas.openxmlformats.org/officeDocument/2006/relationships/hyperlink" Target="https://openalex.org/S195809937" TargetMode="External" /><ns0:Relationship Id="journalLink1724" Type="http://schemas.openxmlformats.org/officeDocument/2006/relationships/hyperlink" Target="https://www.niic.nsc.ru/phocadownload/publications/2025/JCR_JournalImpactFactor_2026.pdf#page=44" TargetMode="External" /><ns0:Relationship Id="journalLink1725" Type="http://schemas.openxmlformats.org/officeDocument/2006/relationships/hyperlink" Target="https://huaxue.hebtu.edu.cn/a/2025/09/23/A5A5BBD96F6B4410B87B6D4C43BDFD63.html" TargetMode="External" /><ns0:Relationship Id="journalLink1726" Type="http://schemas.openxmlformats.org/officeDocument/2006/relationships/hyperlink" Target="https://www.journals.elsevier.com/waste-management" TargetMode="External" /><ns0:Relationship Id="journalLink1727" Type="http://schemas.openxmlformats.org/officeDocument/2006/relationships/hyperlink" Target="https://openalex.org/S19266977" TargetMode="External" /><ns0:Relationship Id="journalLink1728" Type="http://schemas.openxmlformats.org/officeDocument/2006/relationships/hyperlink" Target="https://www.niic.nsc.ru/phocadownload/publications/2025/JCR_JournalImpactFactor_2026.pdf#page=38" TargetMode="External" /><ns0:Relationship Id="journalLink1729" Type="http://schemas.openxmlformats.org/officeDocument/2006/relationships/hyperlink" Target="https://huaxue.hebtu.edu.cn/a/2025/09/23/A5A5BBD96F6B4410B87B6D4C43BDFD63.html" TargetMode="External" /><ns0:Relationship Id="journalLink1730" Type="http://schemas.openxmlformats.org/officeDocument/2006/relationships/hyperlink" Target="https://www.journals.elsevier.com/ecosystem-services" TargetMode="External" /><ns0:Relationship Id="journalLink1731" Type="http://schemas.openxmlformats.org/officeDocument/2006/relationships/hyperlink" Target="https://openalex.org/S2764388848" TargetMode="External" /><ns0:Relationship Id="journalLink1732" Type="http://schemas.openxmlformats.org/officeDocument/2006/relationships/hyperlink" Target="https://www.niic.nsc.ru/phocadownload/publications/2025/JCR_JournalImpactFactor_2026.pdf#page=54" TargetMode="External" /><ns0:Relationship Id="journalLink1733" Type="http://schemas.openxmlformats.org/officeDocument/2006/relationships/hyperlink" Target="https://huaxue.hebtu.edu.cn/a/2025/09/23/A5A5BBD96F6B4410B87B6D4C43BDFD63.html" TargetMode="External" /><ns0:Relationship Id="journalLink1734" Type="http://schemas.openxmlformats.org/officeDocument/2006/relationships/hyperlink" Target="https://www.journals.elsevier.com/journal-of-environmental-sciences" TargetMode="External" /><ns0:Relationship Id="journalLink1735" Type="http://schemas.openxmlformats.org/officeDocument/2006/relationships/hyperlink" Target="https://openalex.org/S35825460" TargetMode="External" /><ns0:Relationship Id="journalLink1736" Type="http://schemas.openxmlformats.org/officeDocument/2006/relationships/hyperlink" Target="https://www.niic.nsc.ru/phocadownload/publications/2025/JCR_JournalImpactFactor_2026.pdf#page=67" TargetMode="External" /><ns0:Relationship Id="journalLink1737" Type="http://schemas.openxmlformats.org/officeDocument/2006/relationships/hyperlink" Target="https://huaxue.hebtu.edu.cn/a/2025/09/23/A5A5BBD96F6B4410B87B6D4C43BDFD63.html" TargetMode="External" /><ns0:Relationship Id="journalLink1738" Type="http://schemas.openxmlformats.org/officeDocument/2006/relationships/hyperlink" Target="https://besjournals.onlinelibrary.wiley.com/journal/2041210x" TargetMode="External" /><ns0:Relationship Id="journalLink1739" Type="http://schemas.openxmlformats.org/officeDocument/2006/relationships/hyperlink" Target="https://besjournals.onlinelibrary.wiley.com/journal/2041210x" TargetMode="External" /><ns0:Relationship Id="journalLink1740" Type="http://schemas.openxmlformats.org/officeDocument/2006/relationships/hyperlink" Target="https://www.niic.nsc.ru/phocadownload/publications/2025/JCR_JournalImpactFactor_2026.pdf#page=53" TargetMode="External" /><ns0:Relationship Id="journalLink1741" Type="http://schemas.openxmlformats.org/officeDocument/2006/relationships/hyperlink" Target="https://huaxue.hebtu.edu.cn/a/2025/09/23/A5A5BBD96F6B4410B87B6D4C43BDFD63.html" TargetMode="External" /><ns0:Relationship Id="journalLink1742" Type="http://schemas.openxmlformats.org/officeDocument/2006/relationships/hyperlink" Target="https://www.journals.elsevier.com/ecotoxicology-and-environmental-safety" TargetMode="External" /><ns0:Relationship Id="journalLink1743" Type="http://schemas.openxmlformats.org/officeDocument/2006/relationships/hyperlink" Target="https://openalex.org/S13733787" TargetMode="External" /><ns0:Relationship Id="journalLink1744" Type="http://schemas.openxmlformats.org/officeDocument/2006/relationships/hyperlink" Target="https://www.niic.nsc.ru/phocadownload/publications/2025/JCR_JournalImpactFactor_2026.pdf#page=55" TargetMode="External" /><ns0:Relationship Id="journalLink1745" Type="http://schemas.openxmlformats.org/officeDocument/2006/relationships/hyperlink" Target="https://huaxue.hebtu.edu.cn/a/2025/09/23/A5A5BBD96F6B4410B87B6D4C43BDFD63.html" TargetMode="External" /><ns0:Relationship Id="journalLink1746" Type="http://schemas.openxmlformats.org/officeDocument/2006/relationships/hyperlink" Target="https://www.nature.com/ismecomms/" TargetMode="External" /><ns0:Relationship Id="journalLink1747" Type="http://schemas.openxmlformats.org/officeDocument/2006/relationships/hyperlink" Target="https://openalex.org/S4210240812" TargetMode="External" /><ns0:Relationship Id="journalLink1748" Type="http://schemas.openxmlformats.org/officeDocument/2006/relationships/hyperlink" Target="https://www.niic.nsc.ru/phocadownload/publications/2025/JCR_JournalImpactFactor_2026.pdf#page=75" TargetMode="External" /><ns0:Relationship Id="journalLink1749" Type="http://schemas.openxmlformats.org/officeDocument/2006/relationships/hyperlink" Target="https://huaxue.hebtu.edu.cn/a/2025/09/23/A5A5BBD96F6B4410B87B6D4C43BDFD63.html" TargetMode="External" /><ns0:Relationship Id="journalLink1750" Type="http://schemas.openxmlformats.org/officeDocument/2006/relationships/hyperlink" Target="http://iopscience.org/erl" TargetMode="External" /><ns0:Relationship Id="journalLink1751" Type="http://schemas.openxmlformats.org/officeDocument/2006/relationships/hyperlink" Target="https://openalex.org/S139338987" TargetMode="External" /><ns0:Relationship Id="journalLink1752" Type="http://schemas.openxmlformats.org/officeDocument/2006/relationships/hyperlink" Target="https://www.niic.nsc.ru/phocadownload/publications/2025/JCR_JournalImpactFactor_2026.pdf#page=69" TargetMode="External" /><ns0:Relationship Id="journalLink1753" Type="http://schemas.openxmlformats.org/officeDocument/2006/relationships/hyperlink" Target="https://huaxue.hebtu.edu.cn/a/2025/09/23/A5A5BBD96F6B4410B87B6D4C43BDFD63.html" TargetMode="External" /><ns0:Relationship Id="journalLink1754" Type="http://schemas.openxmlformats.org/officeDocument/2006/relationships/hyperlink" Target="http://www.springer.com/environment/journal/13280" TargetMode="External" /><ns0:Relationship Id="journalLink1755" Type="http://schemas.openxmlformats.org/officeDocument/2006/relationships/hyperlink" Target="https://openalex.org/S46982553" TargetMode="External" /><ns0:Relationship Id="journalLink1756" Type="http://schemas.openxmlformats.org/officeDocument/2006/relationships/hyperlink" Target="https://www.niic.nsc.ru/phocadownload/publications/2025/JCR_JournalImpactFactor_2026.pdf#page=98" TargetMode="External" /><ns0:Relationship Id="journalLink1757" Type="http://schemas.openxmlformats.org/officeDocument/2006/relationships/hyperlink" Target="https://huaxue.hebtu.edu.cn/a/2025/09/23/A5A5BBD96F6B4410B87B6D4C43BDFD63.html" TargetMode="External" /><ns0:Relationship Id="journalLink1758" Type="http://schemas.openxmlformats.org/officeDocument/2006/relationships/hyperlink" Target="https://esajournals.onlinelibrary.wiley.com/journal/19395582" TargetMode="External" /><ns0:Relationship Id="journalLink1759" Type="http://schemas.openxmlformats.org/officeDocument/2006/relationships/hyperlink" Target="https://openalex.org/S166870025" TargetMode="External" /><ns0:Relationship Id="journalLink1760" Type="http://schemas.openxmlformats.org/officeDocument/2006/relationships/hyperlink" Target="https://www.niic.nsc.ru/phocadownload/publications/2025/JCR_JournalImpactFactor_2026.pdf#page=119" TargetMode="External" /><ns0:Relationship Id="journalLink1761" Type="http://schemas.openxmlformats.org/officeDocument/2006/relationships/hyperlink" Target="https://huaxue.hebtu.edu.cn/a/2025/09/23/A5A5BBD96F6B4410B87B6D4C43BDFD63.html" TargetMode="External" /><ns0:Relationship Id="journalLink1762" Type="http://schemas.openxmlformats.org/officeDocument/2006/relationships/hyperlink" Target="https://esajournals.onlinelibrary.wiley.com/journal/19399170" TargetMode="External" /><ns0:Relationship Id="journalLink1763" Type="http://schemas.openxmlformats.org/officeDocument/2006/relationships/hyperlink" Target="https://openalex.org/S35917800" TargetMode="External" /><ns0:Relationship Id="journalLink1764" Type="http://schemas.openxmlformats.org/officeDocument/2006/relationships/hyperlink" Target="https://www.niic.nsc.ru/phocadownload/publications/2025/JCR_JournalImpactFactor_2026.pdf#page=121" TargetMode="External" /><ns0:Relationship Id="journalLink1765" Type="http://schemas.openxmlformats.org/officeDocument/2006/relationships/hyperlink" Target="https://huaxue.hebtu.edu.cn/a/2025/09/23/A5A5BBD96F6B4410B87B6D4C43BDFD63.html" TargetMode="External" /><ns0:Relationship Id="journalLink1766" Type="http://schemas.openxmlformats.org/officeDocument/2006/relationships/hyperlink" Target="https://www.journals.elsevier.com/ecological-engineering" TargetMode="External" /><ns0:Relationship Id="journalLink1767" Type="http://schemas.openxmlformats.org/officeDocument/2006/relationships/hyperlink" Target="https://openalex.org/S134185576" TargetMode="External" /><ns0:Relationship Id="journalLink1768" Type="http://schemas.openxmlformats.org/officeDocument/2006/relationships/hyperlink" Target="https://www.niic.nsc.ru/phocadownload/publications/2025/JCR_JournalImpactFactor_2026.pdf#page=90" TargetMode="External" /><ns0:Relationship Id="journalLink1769" Type="http://schemas.openxmlformats.org/officeDocument/2006/relationships/hyperlink" Target="https://huaxue.hebtu.edu.cn/a/2025/09/23/A5A5BBD96F6B4410B87B6D4C43BDFD63.html" TargetMode="External" /><ns0:Relationship Id="journalLink1770" Type="http://schemas.openxmlformats.org/officeDocument/2006/relationships/hyperlink" Target="https://onlinelibrary.wiley.com/journal/17571707" TargetMode="External" /><ns0:Relationship Id="journalLink1771" Type="http://schemas.openxmlformats.org/officeDocument/2006/relationships/hyperlink" Target="https://openalex.org/S192395394" TargetMode="External" /><ns0:Relationship Id="journalLink1772" Type="http://schemas.openxmlformats.org/officeDocument/2006/relationships/hyperlink" Target="https://www.niic.nsc.ru/phocadownload/publications/2025/JCR_JournalImpactFactor_2026.pdf#page=125" TargetMode="External" /><ns0:Relationship Id="journalLink1773" Type="http://schemas.openxmlformats.org/officeDocument/2006/relationships/hyperlink" Target="https://huaxue.hebtu.edu.cn/a/2025/09/23/A5A5BBD96F6B4410B87B6D4C43BDFD63.html" TargetMode="External" /><ns0:Relationship Id="journalLink1774" Type="http://schemas.openxmlformats.org/officeDocument/2006/relationships/hyperlink" Target="https://sfamjournals.onlinelibrary.wiley.com/journal/14622920" TargetMode="External" /><ns0:Relationship Id="journalLink1775" Type="http://schemas.openxmlformats.org/officeDocument/2006/relationships/hyperlink" Target="https://openalex.org/S6919857" TargetMode="External" /><ns0:Relationship Id="journalLink1776" Type="http://schemas.openxmlformats.org/officeDocument/2006/relationships/hyperlink" Target="https://www.niic.nsc.ru/phocadownload/publications/2025/JCR_JournalImpactFactor_2026.pdf#page=95" TargetMode="External" /><ns0:Relationship Id="journalLink1777" Type="http://schemas.openxmlformats.org/officeDocument/2006/relationships/hyperlink" Target="https://huaxue.hebtu.edu.cn/a/2025/09/23/A5A5BBD96F6B4410B87B6D4C43BDFD63.html" TargetMode="External" /><ns0:Relationship Id="journalLink1778" Type="http://schemas.openxmlformats.org/officeDocument/2006/relationships/hyperlink" Target="https://link.springer.com/journal/10980" TargetMode="External" /><ns0:Relationship Id="journalLink1779" Type="http://schemas.openxmlformats.org/officeDocument/2006/relationships/hyperlink" Target="https://openalex.org/S104292366" TargetMode="External" /><ns0:Relationship Id="journalLink1780" Type="http://schemas.openxmlformats.org/officeDocument/2006/relationships/hyperlink" Target="https://www.niic.nsc.ru/phocadownload/publications/2025/JCR_JournalImpactFactor_2026.pdf#page=141" TargetMode="External" /><ns0:Relationship Id="journalLink1781" Type="http://schemas.openxmlformats.org/officeDocument/2006/relationships/hyperlink" Target="https://huaxue.hebtu.edu.cn/a/2025/09/23/A5A5BBD96F6B4410B87B6D4C43BDFD63.html" TargetMode="External" /><ns0:Relationship Id="journalLink1782" Type="http://schemas.openxmlformats.org/officeDocument/2006/relationships/hyperlink" Target="https://www.journals.elsevier.com/global-ecology-and-conservation" TargetMode="External" /><ns0:Relationship Id="journalLink1783" Type="http://schemas.openxmlformats.org/officeDocument/2006/relationships/hyperlink" Target="https://openalex.org/S2765061010" TargetMode="External" /><ns0:Relationship Id="journalLink1784" Type="http://schemas.openxmlformats.org/officeDocument/2006/relationships/hyperlink" Target="https://www.niic.nsc.ru/phocadownload/publications/2025/JCR_JournalImpactFactor_2026.pdf#page=143" TargetMode="External" /><ns0:Relationship Id="journalLink1785" Type="http://schemas.openxmlformats.org/officeDocument/2006/relationships/hyperlink" Target="https://huaxue.hebtu.edu.cn/a/2025/09/23/A5A5BBD96F6B4410B87B6D4C43BDFD63.html" TargetMode="External" /><ns0:Relationship Id="journalLink1786" Type="http://schemas.openxmlformats.org/officeDocument/2006/relationships/hyperlink" Target="https://link.springer.com/journal/10531" TargetMode="External" /><ns0:Relationship Id="journalLink1787" Type="http://schemas.openxmlformats.org/officeDocument/2006/relationships/hyperlink" Target="https://openalex.org/S5043789" TargetMode="External" /><ns0:Relationship Id="journalLink1788" Type="http://schemas.openxmlformats.org/officeDocument/2006/relationships/hyperlink" Target="https://www.niic.nsc.ru/phocadownload/publications/2025/JCR_JournalImpactFactor_2026.pdf#page=194" TargetMode="External" /><ns0:Relationship Id="journalLink1789" Type="http://schemas.openxmlformats.org/officeDocument/2006/relationships/hyperlink" Target="https://huaxue.hebtu.edu.cn/a/2025/09/23/A5A5BBD96F6B4410B87B6D4C43BDFD63.html" TargetMode="External" /><ns0:Relationship Id="journalLink1790" Type="http://schemas.openxmlformats.org/officeDocument/2006/relationships/hyperlink" Target="http://onlinelibrary.wiley.com/journal/10.1111/(ISSN)1600-0706" TargetMode="External" /><ns0:Relationship Id="journalLink1791" Type="http://schemas.openxmlformats.org/officeDocument/2006/relationships/hyperlink" Target="https://openalex.org/S200794352" TargetMode="External" /><ns0:Relationship Id="journalLink1792" Type="http://schemas.openxmlformats.org/officeDocument/2006/relationships/hyperlink" Target="https://www.niic.nsc.ru/phocadownload/publications/2025/JCR_JournalImpactFactor_2026.pdf#page=234" TargetMode="External" /><ns0:Relationship Id="journalLink1793" Type="http://schemas.openxmlformats.org/officeDocument/2006/relationships/hyperlink" Target="https://huaxue.hebtu.edu.cn/a/2025/09/23/A5A5BBD96F6B4410B87B6D4C43BDFD63.html" TargetMode="External" /><ns0:Relationship Id="journalLink1794" Type="http://schemas.openxmlformats.org/officeDocument/2006/relationships/hyperlink" Target="http://onlinelibrary.wiley.com/journal/10.1002/(ISSN)2045-7758" TargetMode="External" /><ns0:Relationship Id="journalLink1795" Type="http://schemas.openxmlformats.org/officeDocument/2006/relationships/hyperlink" Target="https://openalex.org/S2482021738" TargetMode="External" /><ns0:Relationship Id="journalLink1796" Type="http://schemas.openxmlformats.org/officeDocument/2006/relationships/hyperlink" Target="https://www.niic.nsc.ru/phocadownload/publications/2025/JCR_JournalImpactFactor_2026.pdf#page=110" TargetMode="External" /><ns0:Relationship Id="journalLink1797" Type="http://schemas.openxmlformats.org/officeDocument/2006/relationships/hyperlink" Target="https://huaxue.hebtu.edu.cn/a/2025/09/23/A5A5BBD96F6B4410B87B6D4C43BDFD63.html" TargetMode="External" /><ns0:Relationship Id="journalLink1798" Type="http://schemas.openxmlformats.org/officeDocument/2006/relationships/hyperlink" Target="https://www.springer.com/journal/248" TargetMode="External" /><ns0:Relationship Id="journalLink1799" Type="http://schemas.openxmlformats.org/officeDocument/2006/relationships/hyperlink" Target="https://openalex.org/S97758720" TargetMode="External" /><ns0:Relationship Id="journalLink1800" Type="http://schemas.openxmlformats.org/officeDocument/2006/relationships/hyperlink" Target="https://www.niic.nsc.ru/phocadownload/publications/2025/JCR_JournalImpactFactor_2026.pdf#page=169" TargetMode="External" /><ns0:Relationship Id="journalLink1801" Type="http://schemas.openxmlformats.org/officeDocument/2006/relationships/hyperlink" Target="https://huaxue.hebtu.edu.cn/a/2025/09/23/A5A5BBD96F6B4410B87B6D4C43BDFD63.html" TargetMode="External" /><ns0:Relationship Id="journalLink1802" Type="http://schemas.openxmlformats.org/officeDocument/2006/relationships/hyperlink" Target="https://link.springer.com/journal/10021" TargetMode="External" /><ns0:Relationship Id="journalLink1803" Type="http://schemas.openxmlformats.org/officeDocument/2006/relationships/hyperlink" Target="https://openalex.org/S83499872" TargetMode="External" /><ns0:Relationship Id="journalLink1804" Type="http://schemas.openxmlformats.org/officeDocument/2006/relationships/hyperlink" Target="https://www.niic.nsc.ru/phocadownload/publications/2025/JCR_JournalImpactFactor_2026.pdf#page=154" TargetMode="External" /><ns0:Relationship Id="journalLink1805" Type="http://schemas.openxmlformats.org/officeDocument/2006/relationships/hyperlink" Target="https://huaxue.hebtu.edu.cn/a/2025/09/23/A5A5BBD96F6B4410B87B6D4C43BDFD63.html" TargetMode="External" /><ns0:Relationship Id="journalLink1806" Type="http://schemas.openxmlformats.org/officeDocument/2006/relationships/hyperlink" Target="https://www.journals.elsevier.com/ecological-modelling" TargetMode="External" /><ns0:Relationship Id="journalLink1807" Type="http://schemas.openxmlformats.org/officeDocument/2006/relationships/hyperlink" Target="https://openalex.org/S88315673" TargetMode="External" /><ns0:Relationship Id="journalLink1808" Type="http://schemas.openxmlformats.org/officeDocument/2006/relationships/hyperlink" Target="https://www.niic.nsc.ru/phocadownload/publications/2025/JCR_JournalImpactFactor_2026.pdf#page=120" TargetMode="External" /><ns0:Relationship Id="journalLink1809" Type="http://schemas.openxmlformats.org/officeDocument/2006/relationships/hyperlink" Target="https://huaxue.hebtu.edu.cn/a/2025/09/23/A5A5BBD96F6B4410B87B6D4C43BDFD63.html" TargetMode="External" /><ns0:Relationship Id="journalLink1810" Type="http://schemas.openxmlformats.org/officeDocument/2006/relationships/hyperlink" Target="https://academic.oup.com/femsec" TargetMode="External" /><ns0:Relationship Id="journalLink1811" Type="http://schemas.openxmlformats.org/officeDocument/2006/relationships/hyperlink" Target="https://openalex.org/S171282171" TargetMode="External" /><ns0:Relationship Id="journalLink1812" Type="http://schemas.openxmlformats.org/officeDocument/2006/relationships/hyperlink" Target="https://www.niic.nsc.ru/phocadownload/publications/2025/JCR_JournalImpactFactor_2026.pdf#page=165" TargetMode="External" /><ns0:Relationship Id="journalLink1813" Type="http://schemas.openxmlformats.org/officeDocument/2006/relationships/hyperlink" Target="https://huaxue.hebtu.edu.cn/a/2025/09/23/A5A5BBD96F6B4410B87B6D4C43BDFD63.html" TargetMode="External" /><ns0:Relationship Id="journalLink1814" Type="http://schemas.openxmlformats.org/officeDocument/2006/relationships/hyperlink" Target="https://link.springer.com/journal/40333" TargetMode="External" /><ns0:Relationship Id="journalLink1815" Type="http://schemas.openxmlformats.org/officeDocument/2006/relationships/hyperlink" Target="https://openalex.org/S184316860" TargetMode="External" /><ns0:Relationship Id="journalLink1816" Type="http://schemas.openxmlformats.org/officeDocument/2006/relationships/hyperlink" Target="https://www.niic.nsc.ru/phocadownload/publications/2025/JCR_JournalImpactFactor_2026.pdf#page=172" TargetMode="External" /><ns0:Relationship Id="journalLink1817" Type="http://schemas.openxmlformats.org/officeDocument/2006/relationships/hyperlink" Target="https://huaxue.hebtu.edu.cn/a/2025/09/23/A5A5BBD96F6B4410B87B6D4C43BDFD63.html" TargetMode="External" /><ns0:Relationship Id="journalLink1818" Type="http://schemas.openxmlformats.org/officeDocument/2006/relationships/hyperlink" Target="http://www.springer.com/journal/12665" TargetMode="External" /><ns0:Relationship Id="journalLink1819" Type="http://schemas.openxmlformats.org/officeDocument/2006/relationships/hyperlink" Target="https://openalex.org/S198573919" TargetMode="External" /><ns0:Relationship Id="journalLink1820" Type="http://schemas.openxmlformats.org/officeDocument/2006/relationships/hyperlink" Target="https://www.niic.nsc.ru/phocadownload/publications/2025/JCR_JournalImpactFactor_2026.pdf#page=170" TargetMode="External" /><ns0:Relationship Id="journalLink1821" Type="http://schemas.openxmlformats.org/officeDocument/2006/relationships/hyperlink" Target="https://huaxue.hebtu.edu.cn/a/2025/09/23/A5A5BBD96F6B4410B87B6D4C43BDFD63.html" TargetMode="External" /><ns0:Relationship Id="journalLink1822" Type="http://schemas.openxmlformats.org/officeDocument/2006/relationships/hyperlink" Target="https://onlinelibrary.wiley.com/journal/16541103" TargetMode="External" /><ns0:Relationship Id="journalLink1823" Type="http://schemas.openxmlformats.org/officeDocument/2006/relationships/hyperlink" Target="https://openalex.org/S102998770" TargetMode="External" /><ns0:Relationship Id="journalLink1824" Type="http://schemas.openxmlformats.org/officeDocument/2006/relationships/hyperlink" Target="https://www.niic.nsc.ru/phocadownload/publications/2025/JCR_JournalImpactFactor_2026.pdf#page=224" TargetMode="External" /><ns0:Relationship Id="journalLink1825" Type="http://schemas.openxmlformats.org/officeDocument/2006/relationships/hyperlink" Target="https://huaxue.hebtu.edu.cn/a/2025/09/23/A5A5BBD96F6B4410B87B6D4C43BDFD63.html" TargetMode="External" /><ns0:Relationship Id="journalLink1826" Type="http://schemas.openxmlformats.org/officeDocument/2006/relationships/hyperlink" Target="https://onlinelibrary.wiley.com/journal/1526100X" TargetMode="External" /><ns0:Relationship Id="journalLink1827" Type="http://schemas.openxmlformats.org/officeDocument/2006/relationships/hyperlink" Target="https://openalex.org/S191257319" TargetMode="External" /><ns0:Relationship Id="journalLink1828" Type="http://schemas.openxmlformats.org/officeDocument/2006/relationships/hyperlink" Target="https://www.niic.nsc.ru/phocadownload/publications/2025/JCR_JournalImpactFactor_2026.pdf#page=141" TargetMode="External" /><ns0:Relationship Id="journalLink1829" Type="http://schemas.openxmlformats.org/officeDocument/2006/relationships/hyperlink" Target="https://huaxue.hebtu.edu.cn/a/2025/09/23/A5A5BBD96F6B4410B87B6D4C43BDFD63.html" TargetMode="External" /><ns0:Relationship Id="journalLink1830" Type="http://schemas.openxmlformats.org/officeDocument/2006/relationships/hyperlink" Target="https://onlinelibrary.wiley.com/journal/1654109X" TargetMode="External" /><ns0:Relationship Id="journalLink1831" Type="http://schemas.openxmlformats.org/officeDocument/2006/relationships/hyperlink" Target="https://openalex.org/S179963793" TargetMode="External" /><ns0:Relationship Id="journalLink1832" Type="http://schemas.openxmlformats.org/officeDocument/2006/relationships/hyperlink" Target="https://www.niic.nsc.ru/phocadownload/publications/2025/JCR_JournalImpactFactor_2026.pdf#page=222" TargetMode="External" /><ns0:Relationship Id="journalLink1833" Type="http://schemas.openxmlformats.org/officeDocument/2006/relationships/hyperlink" Target="https://huaxue.hebtu.edu.cn/a/2025/09/23/A5A5BBD96F6B4410B87B6D4C43BDFD63.html" TargetMode="External" /><ns0:Relationship Id="journalLink1834" Type="http://schemas.openxmlformats.org/officeDocument/2006/relationships/hyperlink" Target="https://link.springer.com/journal/12862" TargetMode="External" /><ns0:Relationship Id="journalLink1835" Type="http://schemas.openxmlformats.org/officeDocument/2006/relationships/hyperlink" Target="https://openalex.org/S4210180929" TargetMode="External" /><ns0:Relationship Id="journalLink1836" Type="http://schemas.openxmlformats.org/officeDocument/2006/relationships/hyperlink" Target="https://www.niic.nsc.ru/phocadownload/publications/2025/JCR_JournalImpactFactor_2026.pdf#page=179" TargetMode="External" /><ns0:Relationship Id="journalLink1837" Type="http://schemas.openxmlformats.org/officeDocument/2006/relationships/hyperlink" Target="https://huaxue.hebtu.edu.cn/a/2025/09/23/A5A5BBD96F6B4410B87B6D4C43BDFD63.html" TargetMode="External" /><ns0:Relationship Id="journalLink1838" Type="http://schemas.openxmlformats.org/officeDocument/2006/relationships/hyperlink" Target="http://www.frontiersin.org/ecology_and_evolution" TargetMode="External" /><ns0:Relationship Id="journalLink1839" Type="http://schemas.openxmlformats.org/officeDocument/2006/relationships/hyperlink" Target="https://openalex.org/S2597028195" TargetMode="External" /><ns0:Relationship Id="journalLink1840" Type="http://schemas.openxmlformats.org/officeDocument/2006/relationships/hyperlink" Target="https://www.niic.nsc.ru/phocadownload/publications/2025/JCR_JournalImpactFactor_2026.pdf#page=247" TargetMode="External" /><ns0:Relationship Id="journalLink1841" Type="http://schemas.openxmlformats.org/officeDocument/2006/relationships/hyperlink" Target="https://huaxue.hebtu.edu.cn/a/2025/09/23/A5A5BBD96F6B4410B87B6D4C43BDFD63.html" TargetMode="External" /><ns0:Relationship Id="journalLink1842" Type="http://schemas.openxmlformats.org/officeDocument/2006/relationships/hyperlink" Target="http://www.journals.elsevier.com/journal-of-arid-environments" TargetMode="External" /><ns0:Relationship Id="journalLink1843" Type="http://schemas.openxmlformats.org/officeDocument/2006/relationships/hyperlink" Target="https://openalex.org/S128210042" TargetMode="External" /><ns0:Relationship Id="journalLink1844" Type="http://schemas.openxmlformats.org/officeDocument/2006/relationships/hyperlink" Target="https://www.niic.nsc.ru/phocadownload/publications/2025/JCR_JournalImpactFactor_2026.pdf#page=235" TargetMode="External" /><ns0:Relationship Id="journalLink1845" Type="http://schemas.openxmlformats.org/officeDocument/2006/relationships/hyperlink" Target="https://huaxue.hebtu.edu.cn/a/2025/09/23/A5A5BBD96F6B4410B87B6D4C43BDFD63.html" TargetMode="External" /><ns0:Relationship Id="journalLink1846" Type="http://schemas.openxmlformats.org/officeDocument/2006/relationships/hyperlink" Target="https://www.journals.elsevier.com/pedobiologia" TargetMode="External" /><ns0:Relationship Id="journalLink1847" Type="http://schemas.openxmlformats.org/officeDocument/2006/relationships/hyperlink" Target="https://openalex.org/S133986316" TargetMode="External" /><ns0:Relationship Id="journalLink1848" Type="http://schemas.openxmlformats.org/officeDocument/2006/relationships/hyperlink" Target="https://www.niic.nsc.ru/phocadownload/publications/2025/JCR_JournalImpactFactor_2026.pdf#page=348" TargetMode="External" /><ns0:Relationship Id="journalLink1849" Type="http://schemas.openxmlformats.org/officeDocument/2006/relationships/hyperlink" Target="https://huaxue.hebtu.edu.cn/a/2025/09/23/A5A5BBD96F6B4410B87B6D4C43BDFD63.html" TargetMode="External" /><ns0:Relationship Id="journalLink1850" Type="http://schemas.openxmlformats.org/officeDocument/2006/relationships/hyperlink" Target="https://www.tandfonline.com/toc/uasr20/current" TargetMode="External" /><ns0:Relationship Id="journalLink1851" Type="http://schemas.openxmlformats.org/officeDocument/2006/relationships/hyperlink" Target="https://openalex.org/S81401984" TargetMode="External" /><ns0:Relationship Id="journalLink1852" Type="http://schemas.openxmlformats.org/officeDocument/2006/relationships/hyperlink" Target="https://www.niic.nsc.ru/phocadownload/publications/2025/JCR_JournalImpactFactor_2026.pdf#page=150" TargetMode="External" /><ns0:Relationship Id="journalLink1853" Type="http://schemas.openxmlformats.org/officeDocument/2006/relationships/hyperlink" Target="https://huaxue.hebtu.edu.cn/a/2025/09/23/A5A5BBD96F6B4410B87B6D4C43BDFD63.html" TargetMode="External" /><ns0:Relationship Id="journalLink1854" Type="http://schemas.openxmlformats.org/officeDocument/2006/relationships/hyperlink" Target="http://www.springer.com/environment/monitoring+-+environmental+analysis/journal/10661" TargetMode="External" /><ns0:Relationship Id="journalLink1855" Type="http://schemas.openxmlformats.org/officeDocument/2006/relationships/hyperlink" Target="https://openalex.org/S11732831" TargetMode="External" /><ns0:Relationship Id="journalLink1856" Type="http://schemas.openxmlformats.org/officeDocument/2006/relationships/hyperlink" Target="https://www.niic.nsc.ru/phocadownload/publications/2025/JCR_JournalImpactFactor_2026.pdf#page=156" TargetMode="External" /><ns0:Relationship Id="journalLink1857" Type="http://schemas.openxmlformats.org/officeDocument/2006/relationships/hyperlink" Target="https://huaxue.hebtu.edu.cn/a/2025/09/23/A5A5BBD96F6B4410B87B6D4C43BDFD63.html" TargetMode="External" /><ns0:Relationship Id="journalLink1858" Type="http://schemas.openxmlformats.org/officeDocument/2006/relationships/hyperlink" Target="https://www.springer.com/journal/11270" TargetMode="External" /><ns0:Relationship Id="journalLink1859" Type="http://schemas.openxmlformats.org/officeDocument/2006/relationships/hyperlink" Target="https://openalex.org/S156652029" TargetMode="External" /><ns0:Relationship Id="journalLink1860" Type="http://schemas.openxmlformats.org/officeDocument/2006/relationships/hyperlink" Target="https://www.niic.nsc.ru/phocadownload/publications/2025/JCR_JournalImpactFactor_2026.pdf#page=149" TargetMode="External" /><ns0:Relationship Id="journalLink1861" Type="http://schemas.openxmlformats.org/officeDocument/2006/relationships/hyperlink" Target="https://huaxue.hebtu.edu.cn/a/2025/09/23/A5A5BBD96F6B4410B87B6D4C43BDFD63.html" TargetMode="External" /><ns0:Relationship Id="journalLink1862" Type="http://schemas.openxmlformats.org/officeDocument/2006/relationships/hyperlink" Target="https://setac.onlinelibrary.wiley.com/journal/15528618" TargetMode="External" /><ns0:Relationship Id="journalLink1863" Type="http://schemas.openxmlformats.org/officeDocument/2006/relationships/hyperlink" Target="https://openalex.org/S136710263" TargetMode="External" /><ns0:Relationship Id="journalLink1864" Type="http://schemas.openxmlformats.org/officeDocument/2006/relationships/hyperlink" Target="https://www.niic.nsc.ru/phocadownload/publications/2025/JCR_JournalImpactFactor_2026.pdf#page=224" TargetMode="External" /><ns0:Relationship Id="journalLink1865" Type="http://schemas.openxmlformats.org/officeDocument/2006/relationships/hyperlink" Target="https://huaxue.hebtu.edu.cn/a/2025/09/23/A5A5BBD96F6B4410B87B6D4C43BDFD63.html" TargetMode="External" /><ns0:Relationship Id="journalLink1866" Type="http://schemas.openxmlformats.org/officeDocument/2006/relationships/hyperlink" Target="https://link.springer.com/journal/10646" TargetMode="External" /><ns0:Relationship Id="journalLink1867" Type="http://schemas.openxmlformats.org/officeDocument/2006/relationships/hyperlink" Target="https://openalex.org/S71291874" TargetMode="External" /><ns0:Relationship Id="journalLink1868" Type="http://schemas.openxmlformats.org/officeDocument/2006/relationships/hyperlink" Target="https://www.niic.nsc.ru/phocadownload/publications/2025/JCR_JournalImpactFactor_2026.pdf#page=250" TargetMode="External" /><ns0:Relationship Id="journalLink1869" Type="http://schemas.openxmlformats.org/officeDocument/2006/relationships/hyperlink" Target="https://huaxue.hebtu.edu.cn/a/2025/09/23/A5A5BBD96F6B4410B87B6D4C43BDFD63.html" TargetMode="External" /><ns0:Relationship Id="journalLink1870" Type="http://schemas.openxmlformats.org/officeDocument/2006/relationships/hyperlink" Target="https://www.cambridge.org/core/journals/environmental-conservation" TargetMode="External" /><ns0:Relationship Id="journalLink1871" Type="http://schemas.openxmlformats.org/officeDocument/2006/relationships/hyperlink" Target="https://openalex.org/S122509743" TargetMode="External" /><ns0:Relationship Id="journalLink1872" Type="http://schemas.openxmlformats.org/officeDocument/2006/relationships/hyperlink" Target="https://www.niic.nsc.ru/phocadownload/publications/2025/JCR_JournalImpactFactor_2026.pdf#page=238" TargetMode="External" /><ns0:Relationship Id="journalLink1873" Type="http://schemas.openxmlformats.org/officeDocument/2006/relationships/hyperlink" Target="https://huaxue.hebtu.edu.cn/a/2025/09/23/A5A5BBD96F6B4410B87B6D4C43BDFD63.html" TargetMode="External" /><ns0:Relationship Id="journalLink1874" Type="http://schemas.openxmlformats.org/officeDocument/2006/relationships/hyperlink" Target="https://acsess.onlinelibrary.wiley.com/journal/15372537" TargetMode="External" /><ns0:Relationship Id="journalLink1875" Type="http://schemas.openxmlformats.org/officeDocument/2006/relationships/hyperlink" Target="https://openalex.org/S81083566" TargetMode="External" /><ns0:Relationship Id="journalLink1876" Type="http://schemas.openxmlformats.org/officeDocument/2006/relationships/hyperlink" Target="https://www.niic.nsc.ru/phocadownload/publications/2025/JCR_JournalImpactFactor_2026.pdf#page=316" TargetMode="External" /><ns0:Relationship Id="journalLink1877" Type="http://schemas.openxmlformats.org/officeDocument/2006/relationships/hyperlink" Target="https://huaxue.hebtu.edu.cn/a/2025/09/23/A5A5BBD96F6B4410B87B6D4C43BDFD63.html" TargetMode="External" /><ns0:Relationship Id="journalLink1878" Type="http://schemas.openxmlformats.org/officeDocument/2006/relationships/hyperlink" Target="http://aaarjournal.org/" TargetMode="External" /><ns0:Relationship Id="journalLink1879" Type="http://schemas.openxmlformats.org/officeDocument/2006/relationships/hyperlink" Target="https://openalex.org/S111448270" TargetMode="External" /><ns0:Relationship Id="journalLink1880" Type="http://schemas.openxmlformats.org/officeDocument/2006/relationships/hyperlink" Target="https://www.niic.nsc.ru/phocadownload/publications/2025/JCR_JournalImpactFactor_2026.pdf#page=262" TargetMode="External" /><ns0:Relationship Id="journalLink1881" Type="http://schemas.openxmlformats.org/officeDocument/2006/relationships/hyperlink" Target="https://huaxue.hebtu.edu.cn/a/2025/09/23/A5A5BBD96F6B4410B87B6D4C43BDFD63.html" TargetMode="External" /><ns0:Relationship Id="journalLink1882" Type="http://schemas.openxmlformats.org/officeDocument/2006/relationships/hyperlink" Target="https://link.springer.com/journal/13157" TargetMode="External" /><ns0:Relationship Id="journalLink1883" Type="http://schemas.openxmlformats.org/officeDocument/2006/relationships/hyperlink" Target="https://openalex.org/S127668553" TargetMode="External" /><ns0:Relationship Id="journalLink1884" Type="http://schemas.openxmlformats.org/officeDocument/2006/relationships/hyperlink" Target="https://www.niic.nsc.ru/phocadownload/publications/2025/JCR_JournalImpactFactor_2026.pdf#page=343" TargetMode="External" /><ns0:Relationship Id="journalLink1885" Type="http://schemas.openxmlformats.org/officeDocument/2006/relationships/hyperlink" Target="https://huaxue.hebtu.edu.cn/a/2025/09/23/A5A5BBD96F6B4410B87B6D4C43BDFD63.html" TargetMode="External" /><ns0:Relationship Id="journalLink1886" Type="http://schemas.openxmlformats.org/officeDocument/2006/relationships/hyperlink" Target="http://www.springer.com/life+sciences/plant+sciences/journal/11258" TargetMode="External" /><ns0:Relationship Id="journalLink1887" Type="http://schemas.openxmlformats.org/officeDocument/2006/relationships/hyperlink" Target="https://openalex.org/S58716519" TargetMode="External" /><ns0:Relationship Id="journalLink1888" Type="http://schemas.openxmlformats.org/officeDocument/2006/relationships/hyperlink" Target="https://www.niic.nsc.ru/phocadownload/publications/2025/JCR_JournalImpactFactor_2026.pdf#page=330" TargetMode="External" /><ns0:Relationship Id="journalLink1889" Type="http://schemas.openxmlformats.org/officeDocument/2006/relationships/hyperlink" Target="https://huaxue.hebtu.edu.cn/a/2025/09/23/A5A5BBD96F6B4410B87B6D4C43BDFD63.html" TargetMode="External" /><ns0:Relationship Id="journalLink1890" Type="http://schemas.openxmlformats.org/officeDocument/2006/relationships/hyperlink" Target="https://link.springer.com/journal/42965" TargetMode="External" /><ns0:Relationship Id="journalLink1891" Type="http://schemas.openxmlformats.org/officeDocument/2006/relationships/hyperlink" Target="https://openalex.org/S130157274" TargetMode="External" /><ns0:Relationship Id="journalLink1892" Type="http://schemas.openxmlformats.org/officeDocument/2006/relationships/hyperlink" Target="https://www.niic.nsc.ru/phocadownload/publications/2025/JCR_JournalImpactFactor_2026.pdf#page=408" TargetMode="External" /><ns0:Relationship Id="journalLink1893" Type="http://schemas.openxmlformats.org/officeDocument/2006/relationships/hyperlink" Target="https://huaxue.hebtu.edu.cn/a/2025/09/23/A5A5BBD96F6B4410B87B6D4C43BDFD63.html" TargetMode="External" /><ns0:Relationship Id="journalLink1894" Type="http://schemas.openxmlformats.org/officeDocument/2006/relationships/hyperlink" Target="https://www.springer.com/journal/300" TargetMode="External" /><ns0:Relationship Id="journalLink1895" Type="http://schemas.openxmlformats.org/officeDocument/2006/relationships/hyperlink" Target="https://openalex.org/S196656238" TargetMode="External" /><ns0:Relationship Id="journalLink1896" Type="http://schemas.openxmlformats.org/officeDocument/2006/relationships/hyperlink" Target="https://www.niic.nsc.ru/phocadownload/publications/2025/JCR_JournalImpactFactor_2026.pdf#page=348" TargetMode="External" /><ns0:Relationship Id="journalLink1897" Type="http://schemas.openxmlformats.org/officeDocument/2006/relationships/hyperlink" Target="https://huaxue.hebtu.edu.cn/a/2025/09/23/A5A5BBD96F6B4410B87B6D4C43BDFD63.html" TargetMode="External" /><ns0:Relationship Id="journalLink1898" Type="http://schemas.openxmlformats.org/officeDocument/2006/relationships/hyperlink" Target="https://link.springer.com/journal/11273" TargetMode="External" /><ns0:Relationship Id="journalLink1899" Type="http://schemas.openxmlformats.org/officeDocument/2006/relationships/hyperlink" Target="https://openalex.org/S41353823" TargetMode="External" /><ns0:Relationship Id="journalLink1900" Type="http://schemas.openxmlformats.org/officeDocument/2006/relationships/hyperlink" Target="https://www.niic.nsc.ru/phocadownload/publications/2025/JCR_JournalImpactFactor_2026.pdf#page=3" TargetMode="External" /><ns0:Relationship Id="journalLink1901" Type="http://schemas.openxmlformats.org/officeDocument/2006/relationships/hyperlink" Target="https://www.nature.com/natwater/" TargetMode="External" /><ns0:Relationship Id="journalLink1902" Type="http://schemas.openxmlformats.org/officeDocument/2006/relationships/hyperlink" Target="https://www.nature.com/natwater/" TargetMode="External" /><ns0:Relationship Id="journalLink1903" Type="http://schemas.openxmlformats.org/officeDocument/2006/relationships/hyperlink" Target="https://www.niic.nsc.ru/phocadownload/publications/2025/JCR_JournalImpactFactor_2026.pdf#page=41" TargetMode="External" /><ns0:Relationship Id="journalLink1904" Type="http://schemas.openxmlformats.org/officeDocument/2006/relationships/hyperlink" Target="https://www.cell.com/cell-reports-sustainability/home" TargetMode="External" /><ns0:Relationship Id="journalLink1905" Type="http://schemas.openxmlformats.org/officeDocument/2006/relationships/hyperlink" Target="https://www.cell.com/cell-reports-sustainability/home" TargetMode="External" /><ns0:Relationship Id="journalLink1906" Type="http://schemas.openxmlformats.org/officeDocument/2006/relationships/hyperlink" Target="https://www.niic.nsc.ru/phocadownload/publications/2025/JCR_JournalImpactFactor_2026.pdf" TargetMode="External" /><ns0:Relationship Id="journalLink1907" Type="http://schemas.openxmlformats.org/officeDocument/2006/relationships/hyperlink" Target="https://www.sciencedirect.com/journal/chemosphere" TargetMode="External" /><ns0:Relationship Id="journalLink1908" Type="http://schemas.openxmlformats.org/officeDocument/2006/relationships/hyperlink" Target="https://www.sciencedirect.com/journal/chemosphere" TargetMode="External" /><ns0:Relationship Id="journalLink1909" Type="http://schemas.openxmlformats.org/officeDocument/2006/relationships/hyperlink" Target="https://www.niic.nsc.ru/phocadownload/publications/2025/JCR_JournalImpactFactor_2026.pdf" TargetMode="External" /><ns0:Relationship Id="journalLink1910" Type="http://schemas.openxmlformats.org/officeDocument/2006/relationships/hyperlink" Target="https://link.springer.com/journal/11356" TargetMode="External" /><ns0:Relationship Id="journalLink1911" Type="http://schemas.openxmlformats.org/officeDocument/2006/relationships/hyperlink" Target="https://link.springer.com/journal/11356" TargetMode="External" /><ns0:Relationship Id="journalLink1912" Type="http://schemas.openxmlformats.org/officeDocument/2006/relationships/hyperlink" Target="https://www.niic.nsc.ru/phocadownload/publications/2025/JCR_JournalImpactFactor_2026.pdf#page=21" TargetMode="External" /><ns0:Relationship Id="journalLink1913" Type="http://schemas.openxmlformats.org/officeDocument/2006/relationships/hyperlink" Target="https://www.nature.com/npjbiodivers/journal-impact" TargetMode="External" /><ns0:Relationship Id="journalLink1914" Type="http://schemas.openxmlformats.org/officeDocument/2006/relationships/hyperlink" Target="https://www.nature.com/npjbiodivers/" TargetMode="External" /><ns0:Relationship Id="journalLink1915" Type="http://schemas.openxmlformats.org/officeDocument/2006/relationships/hyperlink" Target="https://www.nature.com/npjbiodivers/" TargetMode="External" /><ns0:Relationship Id="journalLink1916" Type="http://schemas.openxmlformats.org/officeDocument/2006/relationships/hyperlink" Target="https://www.niic.nsc.ru/phocadownload/publications/2025/JCR_JournalImpactFactor_2026.pdf#page=1" TargetMode="External" /><ns0:Relationship Id="journalLink1917" Type="http://schemas.openxmlformats.org/officeDocument/2006/relationships/hyperlink" Target="https://huaxue.hebtu.edu.cn/a/2025/09/23/A5A5BBD96F6B4410B87B6D4C43BDFD63.html" TargetMode="External" /><ns0:Relationship Id="journalLink1918" Type="http://schemas.openxmlformats.org/officeDocument/2006/relationships/hyperlink" Target="https://www.nature.com/nrmicro/" TargetMode="External" /><ns0:Relationship Id="journalLink1919" Type="http://schemas.openxmlformats.org/officeDocument/2006/relationships/hyperlink" Target="https://openalex.org/S56802129" TargetMode="External" /><ns0:Relationship Id="journalLink1920" Type="http://schemas.openxmlformats.org/officeDocument/2006/relationships/hyperlink" Target="https://www.niic.nsc.ru/phocadownload/publications/2025/JCR_JournalImpactFactor_2026.pdf#page=2" TargetMode="External" /><ns0:Relationship Id="journalLink1921" Type="http://schemas.openxmlformats.org/officeDocument/2006/relationships/hyperlink" Target="https://huaxue.hebtu.edu.cn/a/2025/09/23/A5A5BBD96F6B4410B87B6D4C43BDFD63.html" TargetMode="External" /><ns0:Relationship Id="journalLink1922" Type="http://schemas.openxmlformats.org/officeDocument/2006/relationships/hyperlink" Target="https://www.nature.com/natrevchem/" TargetMode="External" /><ns0:Relationship Id="journalLink1923" Type="http://schemas.openxmlformats.org/officeDocument/2006/relationships/hyperlink" Target="https://openalex.org/S4210174246" TargetMode="External" /><ns0:Relationship Id="journalLink1924" Type="http://schemas.openxmlformats.org/officeDocument/2006/relationships/hyperlink" Target="https://www.niic.nsc.ru/phocadownload/publications/2025/JCR_JournalImpactFactor_2026.pdf#page=2" TargetMode="External" /><ns0:Relationship Id="journalLink1925" Type="http://schemas.openxmlformats.org/officeDocument/2006/relationships/hyperlink" Target="https://huaxue.hebtu.edu.cn/a/2025/09/23/A5A5BBD96F6B4410B87B6D4C43BDFD63.html" TargetMode="External" /><ns0:Relationship Id="journalLink1926" Type="http://schemas.openxmlformats.org/officeDocument/2006/relationships/hyperlink" Target="http://www.nature.com/nbt" TargetMode="External" /><ns0:Relationship Id="journalLink1927" Type="http://schemas.openxmlformats.org/officeDocument/2006/relationships/hyperlink" Target="https://openalex.org/S106963461" TargetMode="External" /><ns0:Relationship Id="journalLink1928" Type="http://schemas.openxmlformats.org/officeDocument/2006/relationships/hyperlink" Target="https://www.niic.nsc.ru/phocadownload/publications/2025/JCR_JournalImpactFactor_2026.pdf#page=4" TargetMode="External" /><ns0:Relationship Id="journalLink1929" Type="http://schemas.openxmlformats.org/officeDocument/2006/relationships/hyperlink" Target="https://huaxue.hebtu.edu.cn/a/2025/09/23/A5A5BBD96F6B4410B87B6D4C43BDFD63.html" TargetMode="External" /><ns0:Relationship Id="journalLink1930" Type="http://schemas.openxmlformats.org/officeDocument/2006/relationships/hyperlink" Target="https://www.nature.com/natbiomedeng/" TargetMode="External" /><ns0:Relationship Id="journalLink1931" Type="http://schemas.openxmlformats.org/officeDocument/2006/relationships/hyperlink" Target="https://openalex.org/S2764624792" TargetMode="External" /><ns0:Relationship Id="journalLink1932" Type="http://schemas.openxmlformats.org/officeDocument/2006/relationships/hyperlink" Target="https://www.niic.nsc.ru/phocadownload/publications/2025/JCR_JournalImpactFactor_2026.pdf#page=4" TargetMode="External" /><ns0:Relationship Id="journalLink1933" Type="http://schemas.openxmlformats.org/officeDocument/2006/relationships/hyperlink" Target="https://huaxue.hebtu.edu.cn/a/2025/09/23/A5A5BBD96F6B4410B87B6D4C43BDFD63.html" TargetMode="External" /><ns0:Relationship Id="journalLink1934" Type="http://schemas.openxmlformats.org/officeDocument/2006/relationships/hyperlink" Target="https://www.springer.com/journal/13225" TargetMode="External" /><ns0:Relationship Id="journalLink1935" Type="http://schemas.openxmlformats.org/officeDocument/2006/relationships/hyperlink" Target="https://openalex.org/S150033744" TargetMode="External" /><ns0:Relationship Id="journalLink1936" Type="http://schemas.openxmlformats.org/officeDocument/2006/relationships/hyperlink" Target="https://www.niic.nsc.ru/phocadownload/publications/2025/JCR_JournalImpactFactor_2026.pdf#page=8" TargetMode="External" /><ns0:Relationship Id="journalLink1937" Type="http://schemas.openxmlformats.org/officeDocument/2006/relationships/hyperlink" Target="https://huaxue.hebtu.edu.cn/a/2025/09/23/A5A5BBD96F6B4410B87B6D4C43BDFD63.html" TargetMode="External" /><ns0:Relationship Id="journalLink1938" Type="http://schemas.openxmlformats.org/officeDocument/2006/relationships/hyperlink" Target="http://www.nature.com/nmicrobiol/" TargetMode="External" /><ns0:Relationship Id="journalLink1939" Type="http://schemas.openxmlformats.org/officeDocument/2006/relationships/hyperlink" Target="https://openalex.org/S2764926557" TargetMode="External" /><ns0:Relationship Id="journalLink1940" Type="http://schemas.openxmlformats.org/officeDocument/2006/relationships/hyperlink" Target="https://www.niic.nsc.ru/phocadownload/publications/2025/JCR_JournalImpactFactor_2026.pdf#page=8" TargetMode="External" /><ns0:Relationship Id="journalLink1941" Type="http://schemas.openxmlformats.org/officeDocument/2006/relationships/hyperlink" Target="https://huaxue.hebtu.edu.cn/a/2025/09/23/A5A5BBD96F6B4410B87B6D4C43BDFD63.html" TargetMode="External" /><ns0:Relationship Id="journalLink1942" Type="http://schemas.openxmlformats.org/officeDocument/2006/relationships/hyperlink" Target="https://www.journals.elsevier.com/studies-in-mycology" TargetMode="External" /><ns0:Relationship Id="journalLink1943" Type="http://schemas.openxmlformats.org/officeDocument/2006/relationships/hyperlink" Target="https://openalex.org/S128934584" TargetMode="External" /><ns0:Relationship Id="journalLink1944" Type="http://schemas.openxmlformats.org/officeDocument/2006/relationships/hyperlink" Target="https://www.niic.nsc.ru/phocadownload/publications/2025/JCR_JournalImpactFactor_2026.pdf#page=7" TargetMode="External" /><ns0:Relationship Id="journalLink1945" Type="http://schemas.openxmlformats.org/officeDocument/2006/relationships/hyperlink" Target="https://huaxue.hebtu.edu.cn/a/2025/09/23/A5A5BBD96F6B4410B87B6D4C43BDFD63.html" TargetMode="External" /><ns0:Relationship Id="journalLink1946" Type="http://schemas.openxmlformats.org/officeDocument/2006/relationships/hyperlink" Target="http://www.mycosphere.org/" TargetMode="External" /><ns0:Relationship Id="journalLink1947" Type="http://schemas.openxmlformats.org/officeDocument/2006/relationships/hyperlink" Target="https://openalex.org/S2739093061" TargetMode="External" /><ns0:Relationship Id="journalLink1948" Type="http://schemas.openxmlformats.org/officeDocument/2006/relationships/hyperlink" Target="https://www.niic.nsc.ru/phocadownload/publications/2025/JCR_JournalImpactFactor_2026.pdf#page=10" TargetMode="External" /><ns0:Relationship Id="journalLink1949" Type="http://schemas.openxmlformats.org/officeDocument/2006/relationships/hyperlink" Target="https://huaxue.hebtu.edu.cn/a/2025/09/23/A5A5BBD96F6B4410B87B6D4C43BDFD63.html" TargetMode="External" /><ns0:Relationship Id="journalLink1950" Type="http://schemas.openxmlformats.org/officeDocument/2006/relationships/hyperlink" Target="https://www.sciencedirect.com/journal/trends-in-biotechnology" TargetMode="External" /><ns0:Relationship Id="journalLink1951" Type="http://schemas.openxmlformats.org/officeDocument/2006/relationships/hyperlink" Target="https://openalex.org/S147849156" TargetMode="External" /><ns0:Relationship Id="journalLink1952" Type="http://schemas.openxmlformats.org/officeDocument/2006/relationships/hyperlink" Target="https://www.niic.nsc.ru/phocadownload/publications/2025/JCR_JournalImpactFactor_2026.pdf#page=8" TargetMode="External" /><ns0:Relationship Id="journalLink1953" Type="http://schemas.openxmlformats.org/officeDocument/2006/relationships/hyperlink" Target="https://huaxue.hebtu.edu.cn/a/2025/09/23/A5A5BBD96F6B4410B87B6D4C43BDFD63.html" TargetMode="External" /><ns0:Relationship Id="journalLink1954" Type="http://schemas.openxmlformats.org/officeDocument/2006/relationships/hyperlink" Target="https://www.journals.elsevier.com/trends-in-microbiology" TargetMode="External" /><ns0:Relationship Id="journalLink1955" Type="http://schemas.openxmlformats.org/officeDocument/2006/relationships/hyperlink" Target="https://openalex.org/S587692" TargetMode="External" /><ns0:Relationship Id="journalLink1956" Type="http://schemas.openxmlformats.org/officeDocument/2006/relationships/hyperlink" Target="https://www.niic.nsc.ru/phocadownload/publications/2025/JCR_JournalImpactFactor_2026.pdf#page=10" TargetMode="External" /><ns0:Relationship Id="journalLink1957" Type="http://schemas.openxmlformats.org/officeDocument/2006/relationships/hyperlink" Target="https://huaxue.hebtu.edu.cn/a/2025/09/23/A5A5BBD96F6B4410B87B6D4C43BDFD63.html" TargetMode="External" /><ns0:Relationship Id="journalLink1958" Type="http://schemas.openxmlformats.org/officeDocument/2006/relationships/hyperlink" Target="https://www.nature.com/nchembio/" TargetMode="External" /><ns0:Relationship Id="journalLink1959" Type="http://schemas.openxmlformats.org/officeDocument/2006/relationships/hyperlink" Target="https://openalex.org/S51309854" TargetMode="External" /><ns0:Relationship Id="journalLink1960" Type="http://schemas.openxmlformats.org/officeDocument/2006/relationships/hyperlink" Target="https://www.niic.nsc.ru/phocadownload/publications/2025/JCR_JournalImpactFactor_2026.pdf#page=12" TargetMode="External" /><ns0:Relationship Id="journalLink1961" Type="http://schemas.openxmlformats.org/officeDocument/2006/relationships/hyperlink" Target="https://huaxue.hebtu.edu.cn/a/2025/09/23/A5A5BBD96F6B4410B87B6D4C43BDFD63.html" TargetMode="External" /><ns0:Relationship Id="journalLink1962" Type="http://schemas.openxmlformats.org/officeDocument/2006/relationships/hyperlink" Target="http://www.journals.elsevier.com/biotechnology-advances/" TargetMode="External" /><ns0:Relationship Id="journalLink1963" Type="http://schemas.openxmlformats.org/officeDocument/2006/relationships/hyperlink" Target="https://openalex.org/S160877137" TargetMode="External" /><ns0:Relationship Id="journalLink1964" Type="http://schemas.openxmlformats.org/officeDocument/2006/relationships/hyperlink" Target="https://www.niic.nsc.ru/phocadownload/publications/2025/JCR_JournalImpactFactor_2026.pdf#page=9" TargetMode="External" /><ns0:Relationship Id="journalLink1965" Type="http://schemas.openxmlformats.org/officeDocument/2006/relationships/hyperlink" Target="https://huaxue.hebtu.edu.cn/a/2025/09/23/A5A5BBD96F6B4410B87B6D4C43BDFD63.html" TargetMode="External" /><ns0:Relationship Id="journalLink1966" Type="http://schemas.openxmlformats.org/officeDocument/2006/relationships/hyperlink" Target="https://academic.oup.com/femsre" TargetMode="External" /><ns0:Relationship Id="journalLink1967" Type="http://schemas.openxmlformats.org/officeDocument/2006/relationships/hyperlink" Target="https://openalex.org/S7317325" TargetMode="External" /><ns0:Relationship Id="journalLink1968" Type="http://schemas.openxmlformats.org/officeDocument/2006/relationships/hyperlink" Target="https://www.niic.nsc.ru/phocadownload/publications/2025/JCR_JournalImpactFactor_2026.pdf#page=12" TargetMode="External" /><ns0:Relationship Id="journalLink1969" Type="http://schemas.openxmlformats.org/officeDocument/2006/relationships/hyperlink" Target="https://huaxue.hebtu.edu.cn/a/2025/09/23/A5A5BBD96F6B4410B87B6D4C43BDFD63.html" TargetMode="External" /><ns0:Relationship Id="journalLink1970" Type="http://schemas.openxmlformats.org/officeDocument/2006/relationships/hyperlink" Target="https://www.journals.elsevier.com/trends-in-biochemical-sciences" TargetMode="External" /><ns0:Relationship Id="journalLink1971" Type="http://schemas.openxmlformats.org/officeDocument/2006/relationships/hyperlink" Target="https://openalex.org/S136233269" TargetMode="External" /><ns0:Relationship Id="journalLink1972" Type="http://schemas.openxmlformats.org/officeDocument/2006/relationships/hyperlink" Target="https://www.niic.nsc.ru/phocadownload/publications/2025/JCR_JournalImpactFactor_2026.pdf#page=17" TargetMode="External" /><ns0:Relationship Id="journalLink1973" Type="http://schemas.openxmlformats.org/officeDocument/2006/relationships/hyperlink" Target="https://huaxue.hebtu.edu.cn/a/2025/09/23/A5A5BBD96F6B4410B87B6D4C43BDFD63.html" TargetMode="External" /><ns0:Relationship Id="journalLink1974" Type="http://schemas.openxmlformats.org/officeDocument/2006/relationships/hyperlink" Target="http://www.annualreviews.org/journal/micro" TargetMode="External" /><ns0:Relationship Id="journalLink1975" Type="http://schemas.openxmlformats.org/officeDocument/2006/relationships/hyperlink" Target="https://openalex.org/S82779230" TargetMode="External" /><ns0:Relationship Id="journalLink1976" Type="http://schemas.openxmlformats.org/officeDocument/2006/relationships/hyperlink" Target="https://www.niic.nsc.ru/phocadownload/publications/2025/JCR_JournalImpactFactor_2026.pdf#page=18" TargetMode="External" /><ns0:Relationship Id="journalLink1977" Type="http://schemas.openxmlformats.org/officeDocument/2006/relationships/hyperlink" Target="https://huaxue.hebtu.edu.cn/a/2025/09/23/A5A5BBD96F6B4410B87B6D4C43BDFD63.html" TargetMode="External" /><ns0:Relationship Id="journalLink1978" Type="http://schemas.openxmlformats.org/officeDocument/2006/relationships/hyperlink" Target="https://www.nature.com/npjbiofilms/" TargetMode="External" /><ns0:Relationship Id="journalLink1979" Type="http://schemas.openxmlformats.org/officeDocument/2006/relationships/hyperlink" Target="https://openalex.org/S4210229179" TargetMode="External" /><ns0:Relationship Id="journalLink1980" Type="http://schemas.openxmlformats.org/officeDocument/2006/relationships/hyperlink" Target="https://www.niic.nsc.ru/phocadownload/publications/2025/JCR_JournalImpactFactor_2026.pdf#page=43" TargetMode="External" /><ns0:Relationship Id="journalLink1981" Type="http://schemas.openxmlformats.org/officeDocument/2006/relationships/hyperlink" Target="https://huaxue.hebtu.edu.cn/a/2025/09/23/A5A5BBD96F6B4410B87B6D4C43BDFD63.html" TargetMode="External" /><ns0:Relationship Id="journalLink1982" Type="http://schemas.openxmlformats.org/officeDocument/2006/relationships/hyperlink" Target="https://www.journals.elsevier.com/metabolic-engineering" TargetMode="External" /><ns0:Relationship Id="journalLink1983" Type="http://schemas.openxmlformats.org/officeDocument/2006/relationships/hyperlink" Target="https://openalex.org/S173328182" TargetMode="External" /><ns0:Relationship Id="journalLink1984" Type="http://schemas.openxmlformats.org/officeDocument/2006/relationships/hyperlink" Target="https://www.niic.nsc.ru/phocadownload/publications/2025/JCR_JournalImpactFactor_2026.pdf#page=92" TargetMode="External" /><ns0:Relationship Id="journalLink1985" Type="http://schemas.openxmlformats.org/officeDocument/2006/relationships/hyperlink" Target="https://huaxue.hebtu.edu.cn/a/2025/09/23/A5A5BBD96F6B4410B87B6D4C43BDFD63.html" TargetMode="External" /><ns0:Relationship Id="journalLink1986" Type="http://schemas.openxmlformats.org/officeDocument/2006/relationships/hyperlink" Target="https://www.sciencedirect.com/journal/synthetic-and-systems-biotechnology" TargetMode="External" /><ns0:Relationship Id="journalLink1987" Type="http://schemas.openxmlformats.org/officeDocument/2006/relationships/hyperlink" Target="https://openalex.org/S2898462621" TargetMode="External" /><ns0:Relationship Id="journalLink1988" Type="http://schemas.openxmlformats.org/officeDocument/2006/relationships/hyperlink" Target="https://www.niic.nsc.ru/phocadownload/publications/2025/JCR_JournalImpactFactor_2026.pdf#page=17" TargetMode="External" /><ns0:Relationship Id="journalLink1989" Type="http://schemas.openxmlformats.org/officeDocument/2006/relationships/hyperlink" Target="https://huaxue.hebtu.edu.cn/a/2025/09/23/A5A5BBD96F6B4410B87B6D4C43BDFD63.html" TargetMode="External" /><ns0:Relationship Id="journalLink1990" Type="http://schemas.openxmlformats.org/officeDocument/2006/relationships/hyperlink" Target="http://mmbr.asm.org/" TargetMode="External" /><ns0:Relationship Id="journalLink1991" Type="http://schemas.openxmlformats.org/officeDocument/2006/relationships/hyperlink" Target="https://openalex.org/S187187948" TargetMode="External" /><ns0:Relationship Id="journalLink1992" Type="http://schemas.openxmlformats.org/officeDocument/2006/relationships/hyperlink" Target="https://www.niic.nsc.ru/phocadownload/publications/2025/JCR_JournalImpactFactor_2026.pdf#page=32" TargetMode="External" /><ns0:Relationship Id="journalLink1993" Type="http://schemas.openxmlformats.org/officeDocument/2006/relationships/hyperlink" Target="https://huaxue.hebtu.edu.cn/a/2025/09/23/A5A5BBD96F6B4410B87B6D4C43BDFD63.html" TargetMode="External" /><ns0:Relationship Id="journalLink1994" Type="http://schemas.openxmlformats.org/officeDocument/2006/relationships/hyperlink" Target="http://www.journals.elsevier.com/microbiological-research/" TargetMode="External" /><ns0:Relationship Id="journalLink1995" Type="http://schemas.openxmlformats.org/officeDocument/2006/relationships/hyperlink" Target="https://openalex.org/S106450229" TargetMode="External" /><ns0:Relationship Id="journalLink1996" Type="http://schemas.openxmlformats.org/officeDocument/2006/relationships/hyperlink" Target="https://www.niic.nsc.ru/phocadownload/publications/2025/JCR_JournalImpactFactor_2026.pdf#page=51" TargetMode="External" /><ns0:Relationship Id="journalLink1997" Type="http://schemas.openxmlformats.org/officeDocument/2006/relationships/hyperlink" Target="https://huaxue.hebtu.edu.cn/a/2025/09/23/A5A5BBD96F6B4410B87B6D4C43BDFD63.html" TargetMode="External" /><ns0:Relationship Id="journalLink1998" Type="http://schemas.openxmlformats.org/officeDocument/2006/relationships/hyperlink" Target="https://sfamjournals.onlinelibrary.wiley.com/journal/17517915" TargetMode="External" /><ns0:Relationship Id="journalLink1999" Type="http://schemas.openxmlformats.org/officeDocument/2006/relationships/hyperlink" Target="https://openalex.org/S4210238104" TargetMode="External" /><ns0:Relationship Id="journalLink2000" Type="http://schemas.openxmlformats.org/officeDocument/2006/relationships/hyperlink" Target="https://www.niic.nsc.ru/phocadownload/publications/2025/JCR_JournalImpactFactor_2026.pdf#page=66" TargetMode="External" /><ns0:Relationship Id="journalLink2001" Type="http://schemas.openxmlformats.org/officeDocument/2006/relationships/hyperlink" Target="https://huaxue.hebtu.edu.cn/a/2025/09/23/A5A5BBD96F6B4410B87B6D4C43BDFD63.html" TargetMode="External" /><ns0:Relationship Id="journalLink2002" Type="http://schemas.openxmlformats.org/officeDocument/2006/relationships/hyperlink" Target="https://microbialcellfactories.biomedcentral.com/" TargetMode="External" /><ns0:Relationship Id="journalLink2003" Type="http://schemas.openxmlformats.org/officeDocument/2006/relationships/hyperlink" Target="https://openalex.org/S171368329" TargetMode="External" /><ns0:Relationship Id="journalLink2004" Type="http://schemas.openxmlformats.org/officeDocument/2006/relationships/hyperlink" Target="https://www.niic.nsc.ru/phocadownload/publications/2025/JCR_JournalImpactFactor_2026.pdf#page=75" TargetMode="External" /><ns0:Relationship Id="journalLink2005" Type="http://schemas.openxmlformats.org/officeDocument/2006/relationships/hyperlink" Target="https://huaxue.hebtu.edu.cn/a/2025/09/23/A5A5BBD96F6B4410B87B6D4C43BDFD63.html" TargetMode="External" /><ns0:Relationship Id="journalLink2006" Type="http://schemas.openxmlformats.org/officeDocument/2006/relationships/hyperlink" Target="https://journals.asm.org/journal/mbio" TargetMode="External" /><ns0:Relationship Id="journalLink2007" Type="http://schemas.openxmlformats.org/officeDocument/2006/relationships/hyperlink" Target="https://openalex.org/S4210201176" TargetMode="External" /><ns0:Relationship Id="journalLink2008" Type="http://schemas.openxmlformats.org/officeDocument/2006/relationships/hyperlink" Target="https://www.niic.nsc.ru/phocadownload/publications/2025/JCR_JournalImpactFactor_2026.pdf#page=63" TargetMode="External" /><ns0:Relationship Id="journalLink2009" Type="http://schemas.openxmlformats.org/officeDocument/2006/relationships/hyperlink" Target="https://huaxue.hebtu.edu.cn/a/2025/09/23/A5A5BBD96F6B4410B87B6D4C43BDFD63.html" TargetMode="External" /><ns0:Relationship Id="journalLink2010" Type="http://schemas.openxmlformats.org/officeDocument/2006/relationships/hyperlink" Target="https://biotechnologyforbiofuels.biomedcentral.com/" TargetMode="External" /><ns0:Relationship Id="journalLink2011" Type="http://schemas.openxmlformats.org/officeDocument/2006/relationships/hyperlink" Target="https://openalex.org/S4210233465" TargetMode="External" /><ns0:Relationship Id="journalLink2012" Type="http://schemas.openxmlformats.org/officeDocument/2006/relationships/hyperlink" Target="https://www.niic.nsc.ru/phocadownload/publications/2025/JCR_JournalImpactFactor_2026.pdf#page=79" TargetMode="External" /><ns0:Relationship Id="journalLink2013" Type="http://schemas.openxmlformats.org/officeDocument/2006/relationships/hyperlink" Target="https://huaxue.hebtu.edu.cn/a/2025/09/23/A5A5BBD96F6B4410B87B6D4C43BDFD63.html" TargetMode="External" /><ns0:Relationship Id="journalLink2014" Type="http://schemas.openxmlformats.org/officeDocument/2006/relationships/hyperlink" Target="https://journals.asm.org/journal/msystems" TargetMode="External" /><ns0:Relationship Id="journalLink2015" Type="http://schemas.openxmlformats.org/officeDocument/2006/relationships/hyperlink" Target="https://openalex.org/S4210181942" TargetMode="External" /><ns0:Relationship Id="journalLink2016" Type="http://schemas.openxmlformats.org/officeDocument/2006/relationships/hyperlink" Target="https://www.niic.nsc.ru/phocadownload/publications/2025/JCR_JournalImpactFactor_2026.pdf#page=66" TargetMode="External" /><ns0:Relationship Id="journalLink2017" Type="http://schemas.openxmlformats.org/officeDocument/2006/relationships/hyperlink" Target="https://huaxue.hebtu.edu.cn/a/2025/09/23/A5A5BBD96F6B4410B87B6D4C43BDFD63.html" TargetMode="External" /><ns0:Relationship Id="journalLink2018" Type="http://schemas.openxmlformats.org/officeDocument/2006/relationships/hyperlink" Target="http://www.frontiersin.org/microbiology" TargetMode="External" /><ns0:Relationship Id="journalLink2019" Type="http://schemas.openxmlformats.org/officeDocument/2006/relationships/hyperlink" Target="https://openalex.org/S2484704948" TargetMode="External" /><ns0:Relationship Id="journalLink2020" Type="http://schemas.openxmlformats.org/officeDocument/2006/relationships/hyperlink" Target="https://www.niic.nsc.ru/phocadownload/publications/2025/JCR_JournalImpactFactor_2026.pdf#page=75" TargetMode="External" /><ns0:Relationship Id="journalLink2021" Type="http://schemas.openxmlformats.org/officeDocument/2006/relationships/hyperlink" Target="https://huaxue.hebtu.edu.cn/a/2025/09/23/A5A5BBD96F6B4410B87B6D4C43BDFD63.html" TargetMode="External" /><ns0:Relationship Id="journalLink2022" Type="http://schemas.openxmlformats.org/officeDocument/2006/relationships/hyperlink" Target="https://bmcmicrobiol.biomedcentral.com" TargetMode="External" /><ns0:Relationship Id="journalLink2023" Type="http://schemas.openxmlformats.org/officeDocument/2006/relationships/hyperlink" Target="https://openalex.org/S128543880" TargetMode="External" /><ns0:Relationship Id="journalLink2024" Type="http://schemas.openxmlformats.org/officeDocument/2006/relationships/hyperlink" Target="https://www.niic.nsc.ru/phocadownload/publications/2025/JCR_JournalImpactFactor_2026.pdf#page=177" TargetMode="External" /><ns0:Relationship Id="journalLink2025" Type="http://schemas.openxmlformats.org/officeDocument/2006/relationships/hyperlink" Target="https://huaxue.hebtu.edu.cn/a/2025/09/23/A5A5BBD96F6B4410B87B6D4C43BDFD63.html" TargetMode="External" /><ns0:Relationship Id="journalLink2026" Type="http://schemas.openxmlformats.org/officeDocument/2006/relationships/hyperlink" Target="https://www.journals.elsevier.com/systematic-and-applied-microbiology" TargetMode="External" /><ns0:Relationship Id="journalLink2027" Type="http://schemas.openxmlformats.org/officeDocument/2006/relationships/hyperlink" Target="https://openalex.org/S111458355" TargetMode="External" /><ns0:Relationship Id="journalLink2028" Type="http://schemas.openxmlformats.org/officeDocument/2006/relationships/hyperlink" Target="https://www.niic.nsc.ru/phocadownload/publications/2025/JCR_JournalImpactFactor_2026.pdf#page=116" TargetMode="External" /><ns0:Relationship Id="journalLink2029" Type="http://schemas.openxmlformats.org/officeDocument/2006/relationships/hyperlink" Target="https://huaxue.hebtu.edu.cn/a/2025/09/23/A5A5BBD96F6B4410B87B6D4C43BDFD63.html" TargetMode="External" /><ns0:Relationship Id="journalLink2030" Type="http://schemas.openxmlformats.org/officeDocument/2006/relationships/hyperlink" Target="https://www.journals.elsevier.com/metabolic-engineering-communications" TargetMode="External" /><ns0:Relationship Id="journalLink2031" Type="http://schemas.openxmlformats.org/officeDocument/2006/relationships/hyperlink" Target="https://openalex.org/S2898246255" TargetMode="External" /><ns0:Relationship Id="journalLink2032" Type="http://schemas.openxmlformats.org/officeDocument/2006/relationships/hyperlink" Target="https://www.niic.nsc.ru/phocadownload/publications/2025/JCR_JournalImpactFactor_2026.pdf#page=111" TargetMode="External" /><ns0:Relationship Id="journalLink2033" Type="http://schemas.openxmlformats.org/officeDocument/2006/relationships/hyperlink" Target="https://huaxue.hebtu.edu.cn/a/2025/09/23/A5A5BBD96F6B4410B87B6D4C43BDFD63.html" TargetMode="External" /><ns0:Relationship Id="journalLink2034" Type="http://schemas.openxmlformats.org/officeDocument/2006/relationships/hyperlink" Target="https://www.mdpi.com/journal/jof" TargetMode="External" /><ns0:Relationship Id="journalLink2035" Type="http://schemas.openxmlformats.org/officeDocument/2006/relationships/hyperlink" Target="https://openalex.org/S2737643958" TargetMode="External" /><ns0:Relationship Id="journalLink2036" Type="http://schemas.openxmlformats.org/officeDocument/2006/relationships/hyperlink" Target="https://www.niic.nsc.ru/phocadownload/publications/2025/JCR_JournalImpactFactor_2026.pdf#page=102" TargetMode="External" /><ns0:Relationship Id="journalLink2037" Type="http://schemas.openxmlformats.org/officeDocument/2006/relationships/hyperlink" Target="https://huaxue.hebtu.edu.cn/a/2025/09/23/A5A5BBD96F6B4410B87B6D4C43BDFD63.html" TargetMode="External" /><ns0:Relationship Id="journalLink2038" Type="http://schemas.openxmlformats.org/officeDocument/2006/relationships/hyperlink" Target="http://pubs.acs.org/journal/asbcd6" TargetMode="External" /><ns0:Relationship Id="journalLink2039" Type="http://schemas.openxmlformats.org/officeDocument/2006/relationships/hyperlink" Target="https://openalex.org/S54167817" TargetMode="External" /><ns0:Relationship Id="journalLink2040" Type="http://schemas.openxmlformats.org/officeDocument/2006/relationships/hyperlink" Target="https://www.niic.nsc.ru/phocadownload/publications/2025/JCR_JournalImpactFactor_2026.pdf#page=126" TargetMode="External" /><ns0:Relationship Id="journalLink2041" Type="http://schemas.openxmlformats.org/officeDocument/2006/relationships/hyperlink" Target="https://huaxue.hebtu.edu.cn/a/2025/09/23/A5A5BBD96F6B4410B87B6D4C43BDFD63.html" TargetMode="External" /><ns0:Relationship Id="journalLink2042" Type="http://schemas.openxmlformats.org/officeDocument/2006/relationships/hyperlink" Target="http://www.journals.elsevier.com/journal-of-biotechnology/#description" TargetMode="External" /><ns0:Relationship Id="journalLink2043" Type="http://schemas.openxmlformats.org/officeDocument/2006/relationships/hyperlink" Target="https://openalex.org/S182099265" TargetMode="External" /><ns0:Relationship Id="journalLink2044" Type="http://schemas.openxmlformats.org/officeDocument/2006/relationships/hyperlink" Target="https://www.niic.nsc.ru/phocadownload/publications/2025/JCR_JournalImpactFactor_2026.pdf#page=120" TargetMode="External" /><ns0:Relationship Id="journalLink2045" Type="http://schemas.openxmlformats.org/officeDocument/2006/relationships/hyperlink" Target="https://huaxue.hebtu.edu.cn/a/2025/09/23/A5A5BBD96F6B4410B87B6D4C43BDFD63.html" TargetMode="External" /><ns0:Relationship Id="journalLink2046" Type="http://schemas.openxmlformats.org/officeDocument/2006/relationships/hyperlink" Target="https://journals.asm.org/journal/spectrum" TargetMode="External" /><ns0:Relationship Id="journalLink2047" Type="http://schemas.openxmlformats.org/officeDocument/2006/relationships/hyperlink" Target="https://openalex.org/S2764766708" TargetMode="External" /><ns0:Relationship Id="journalLink2048" Type="http://schemas.openxmlformats.org/officeDocument/2006/relationships/hyperlink" Target="https://www.niic.nsc.ru/phocadownload/publications/2025/JCR_JournalImpactFactor_2026.pdf#page=131" TargetMode="External" /><ns0:Relationship Id="journalLink2049" Type="http://schemas.openxmlformats.org/officeDocument/2006/relationships/hyperlink" Target="https://huaxue.hebtu.edu.cn/a/2025/09/23/A5A5BBD96F6B4410B87B6D4C43BDFD63.html" TargetMode="External" /><ns0:Relationship Id="journalLink2050" Type="http://schemas.openxmlformats.org/officeDocument/2006/relationships/hyperlink" Target="https://amb-express.springeropen.com" TargetMode="External" /><ns0:Relationship Id="journalLink2051" Type="http://schemas.openxmlformats.org/officeDocument/2006/relationships/hyperlink" Target="https://openalex.org/S129630946" TargetMode="External" /><ns0:Relationship Id="journalLink2052" Type="http://schemas.openxmlformats.org/officeDocument/2006/relationships/hyperlink" Target="https://www.niic.nsc.ru/phocadownload/publications/2025/JCR_JournalImpactFactor_2026.pdf#page=116" TargetMode="External" /><ns0:Relationship Id="journalLink2053" Type="http://schemas.openxmlformats.org/officeDocument/2006/relationships/hyperlink" Target="https://huaxue.hebtu.edu.cn/a/2025/09/23/A5A5BBD96F6B4410B87B6D4C43BDFD63.html" TargetMode="External" /><ns0:Relationship Id="journalLink2054" Type="http://schemas.openxmlformats.org/officeDocument/2006/relationships/hyperlink" Target="http://aem.asm.org/" TargetMode="External" /><ns0:Relationship Id="journalLink2055" Type="http://schemas.openxmlformats.org/officeDocument/2006/relationships/hyperlink" Target="https://openalex.org/S158228368" TargetMode="External" /><ns0:Relationship Id="journalLink2056" Type="http://schemas.openxmlformats.org/officeDocument/2006/relationships/hyperlink" Target="https://www.niic.nsc.ru/phocadownload/publications/2025/JCR_JournalImpactFactor_2026.pdf#page=125" TargetMode="External" /><ns0:Relationship Id="journalLink2057" Type="http://schemas.openxmlformats.org/officeDocument/2006/relationships/hyperlink" Target="https://huaxue.hebtu.edu.cn/a/2025/09/23/A5A5BBD96F6B4410B87B6D4C43BDFD63.html" TargetMode="External" /><ns0:Relationship Id="journalLink2058" Type="http://schemas.openxmlformats.org/officeDocument/2006/relationships/hyperlink" Target="https://journals.asm.org/journal/msphere" TargetMode="External" /><ns0:Relationship Id="journalLink2059" Type="http://schemas.openxmlformats.org/officeDocument/2006/relationships/hyperlink" Target="https://openalex.org/S4210207018" TargetMode="External" /><ns0:Relationship Id="journalLink2060" Type="http://schemas.openxmlformats.org/officeDocument/2006/relationships/hyperlink" Target="https://www.niic.nsc.ru/phocadownload/publications/2025/JCR_JournalImpactFactor_2026.pdf#page=201" TargetMode="External" /><ns0:Relationship Id="journalLink2061" Type="http://schemas.openxmlformats.org/officeDocument/2006/relationships/hyperlink" Target="https://huaxue.hebtu.edu.cn/a/2025/09/23/A5A5BBD96F6B4410B87B6D4C43BDFD63.html" TargetMode="External" /><ns0:Relationship Id="journalLink2062" Type="http://schemas.openxmlformats.org/officeDocument/2006/relationships/hyperlink" Target="http://www.elsevier.com/wps/find/journaldescription.cws_home/720691/description#description" TargetMode="External" /><ns0:Relationship Id="journalLink2063" Type="http://schemas.openxmlformats.org/officeDocument/2006/relationships/hyperlink" Target="https://openalex.org/S187344466" TargetMode="External" /><ns0:Relationship Id="journalLink2064" Type="http://schemas.openxmlformats.org/officeDocument/2006/relationships/hyperlink" Target="https://www.niic.nsc.ru/phocadownload/publications/2025/JCR_JournalImpactFactor_2026.pdf#page=283" TargetMode="External" /><ns0:Relationship Id="journalLink2065" Type="http://schemas.openxmlformats.org/officeDocument/2006/relationships/hyperlink" Target="https://huaxue.hebtu.edu.cn/a/2025/09/23/A5A5BBD96F6B4410B87B6D4C43BDFD63.html" TargetMode="External" /><ns0:Relationship Id="journalLink2066" Type="http://schemas.openxmlformats.org/officeDocument/2006/relationships/hyperlink" Target="http://www.mycologia.org/" TargetMode="External" /><ns0:Relationship Id="journalLink2067" Type="http://schemas.openxmlformats.org/officeDocument/2006/relationships/hyperlink" Target="https://openalex.org/S188770946" TargetMode="External" /><ns0:Relationship Id="journalLink2068" Type="http://schemas.openxmlformats.org/officeDocument/2006/relationships/hyperlink" Target="https://www.niic.nsc.ru/phocadownload/publications/2025/JCR_JournalImpactFactor_2026.pdf#page=96" TargetMode="External" /><ns0:Relationship Id="journalLink2069" Type="http://schemas.openxmlformats.org/officeDocument/2006/relationships/hyperlink" Target="https://huaxue.hebtu.edu.cn/a/2025/09/23/A5A5BBD96F6B4410B87B6D4C43BDFD63.html" TargetMode="External" /><ns0:Relationship Id="journalLink2070" Type="http://schemas.openxmlformats.org/officeDocument/2006/relationships/hyperlink" Target="https://www.springer.com/journal/253" TargetMode="External" /><ns0:Relationship Id="journalLink2071" Type="http://schemas.openxmlformats.org/officeDocument/2006/relationships/hyperlink" Target="https://openalex.org/S70979998" TargetMode="External" /><ns0:Relationship Id="journalLink2072" Type="http://schemas.openxmlformats.org/officeDocument/2006/relationships/hyperlink" Target="https://www.niic.nsc.ru/phocadownload/publications/2025/JCR_JournalImpactFactor_2026.pdf#page=96" TargetMode="External" /><ns0:Relationship Id="journalLink2073" Type="http://schemas.openxmlformats.org/officeDocument/2006/relationships/hyperlink" Target="https://huaxue.hebtu.edu.cn/a/2025/09/23/A5A5BBD96F6B4410B87B6D4C43BDFD63.html" TargetMode="External" /><ns0:Relationship Id="journalLink2074" Type="http://schemas.openxmlformats.org/officeDocument/2006/relationships/hyperlink" Target="https://www.springer.com/journal/11274" TargetMode="External" /><ns0:Relationship Id="journalLink2075" Type="http://schemas.openxmlformats.org/officeDocument/2006/relationships/hyperlink" Target="https://openalex.org/S55229178" TargetMode="External" /><ns0:Relationship Id="journalLink2076" Type="http://schemas.openxmlformats.org/officeDocument/2006/relationships/hyperlink" Target="https://www.niic.nsc.ru/phocadownload/publications/2025/JCR_JournalImpactFactor_2026.pdf#page=108" TargetMode="External" /><ns0:Relationship Id="journalLink2077" Type="http://schemas.openxmlformats.org/officeDocument/2006/relationships/hyperlink" Target="https://huaxue.hebtu.edu.cn/a/2025/09/23/A5A5BBD96F6B4410B87B6D4C43BDFD63.html" TargetMode="External" /><ns0:Relationship Id="journalLink2078" Type="http://schemas.openxmlformats.org/officeDocument/2006/relationships/hyperlink" Target="https://www.journals.elsevier.com/process-biochemistry" TargetMode="External" /><ns0:Relationship Id="journalLink2079" Type="http://schemas.openxmlformats.org/officeDocument/2006/relationships/hyperlink" Target="https://openalex.org/S173499201" TargetMode="External" /><ns0:Relationship Id="journalLink2080" Type="http://schemas.openxmlformats.org/officeDocument/2006/relationships/hyperlink" Target="https://www.niic.nsc.ru/phocadownload/publications/2025/JCR_JournalImpactFactor_2026.pdf#page=149" TargetMode="External" /><ns0:Relationship Id="journalLink2081" Type="http://schemas.openxmlformats.org/officeDocument/2006/relationships/hyperlink" Target="https://huaxue.hebtu.edu.cn/a/2025/09/23/A5A5BBD96F6B4410B87B6D4C43BDFD63.html" TargetMode="External" /><ns0:Relationship Id="journalLink2082" Type="http://schemas.openxmlformats.org/officeDocument/2006/relationships/hyperlink" Target="https://www.journals.elsevier.com/biochemical-engineering-journal" TargetMode="External" /><ns0:Relationship Id="journalLink2083" Type="http://schemas.openxmlformats.org/officeDocument/2006/relationships/hyperlink" Target="https://openalex.org/S168210271" TargetMode="External" /><ns0:Relationship Id="journalLink2084" Type="http://schemas.openxmlformats.org/officeDocument/2006/relationships/hyperlink" Target="https://www.niic.nsc.ru/phocadownload/publications/2025/JCR_JournalImpactFactor_2026.pdf#page=131" TargetMode="External" /><ns0:Relationship Id="journalLink2085" Type="http://schemas.openxmlformats.org/officeDocument/2006/relationships/hyperlink" Target="https://huaxue.hebtu.edu.cn/a/2025/09/23/A5A5BBD96F6B4410B87B6D4C43BDFD63.html" TargetMode="External" /><ns0:Relationship Id="journalLink2086" Type="http://schemas.openxmlformats.org/officeDocument/2006/relationships/hyperlink" Target="https://www.journals.elsevier.com/enzyme-and-microbial-technology" TargetMode="External" /><ns0:Relationship Id="journalLink2087" Type="http://schemas.openxmlformats.org/officeDocument/2006/relationships/hyperlink" Target="https://openalex.org/S4210230422" TargetMode="External" /><ns0:Relationship Id="journalLink2088" Type="http://schemas.openxmlformats.org/officeDocument/2006/relationships/hyperlink" Target="https://www.niic.nsc.ru/phocadownload/publications/2025/JCR_JournalImpactFactor_2026.pdf#page=132" TargetMode="External" /><ns0:Relationship Id="journalLink2089" Type="http://schemas.openxmlformats.org/officeDocument/2006/relationships/hyperlink" Target="https://huaxue.hebtu.edu.cn/a/2025/09/23/A5A5BBD96F6B4410B87B6D4C43BDFD63.html" TargetMode="External" /><ns0:Relationship Id="journalLink2090" Type="http://schemas.openxmlformats.org/officeDocument/2006/relationships/hyperlink" Target="http://www3.interscience.wiley.com/journal/117933915/grouphome/home.html" TargetMode="External" /><ns0:Relationship Id="journalLink2091" Type="http://schemas.openxmlformats.org/officeDocument/2006/relationships/hyperlink" Target="https://openalex.org/S151564723" TargetMode="External" /><ns0:Relationship Id="journalLink2092" Type="http://schemas.openxmlformats.org/officeDocument/2006/relationships/hyperlink" Target="https://www.niic.nsc.ru/phocadownload/publications/2025/JCR_JournalImpactFactor_2026.pdf#page=131" TargetMode="External" /><ns0:Relationship Id="journalLink2093" Type="http://schemas.openxmlformats.org/officeDocument/2006/relationships/hyperlink" Target="https://huaxue.hebtu.edu.cn/a/2025/09/23/A5A5BBD96F6B4410B87B6D4C43BDFD63.html" TargetMode="External" /><ns0:Relationship Id="journalLink2094" Type="http://schemas.openxmlformats.org/officeDocument/2006/relationships/hyperlink" Target="https://www.sciencedirect.com/journal/microbial-pathogenesis" TargetMode="External" /><ns0:Relationship Id="journalLink2095" Type="http://schemas.openxmlformats.org/officeDocument/2006/relationships/hyperlink" Target="https://openalex.org/S113190374" TargetMode="External" /><ns0:Relationship Id="journalLink2096" Type="http://schemas.openxmlformats.org/officeDocument/2006/relationships/hyperlink" Target="https://www.niic.nsc.ru/phocadownload/publications/2025/JCR_JournalImpactFactor_2026.pdf#page=108" TargetMode="External" /><ns0:Relationship Id="journalLink2097" Type="http://schemas.openxmlformats.org/officeDocument/2006/relationships/hyperlink" Target="https://huaxue.hebtu.edu.cn/a/2025/09/23/A5A5BBD96F6B4410B87B6D4C43BDFD63.html" TargetMode="External" /><ns0:Relationship Id="journalLink2098" Type="http://schemas.openxmlformats.org/officeDocument/2006/relationships/hyperlink" Target="https://www.journals.elsevier.com/research-in-microbiology" TargetMode="External" /><ns0:Relationship Id="journalLink2099" Type="http://schemas.openxmlformats.org/officeDocument/2006/relationships/hyperlink" Target="https://openalex.org/S37853641" TargetMode="External" /><ns0:Relationship Id="journalLink2100" Type="http://schemas.openxmlformats.org/officeDocument/2006/relationships/hyperlink" Target="https://www.niic.nsc.ru/phocadownload/publications/2025/JCR_JournalImpactFactor_2026.pdf#page=214" TargetMode="External" /><ns0:Relationship Id="journalLink2101" Type="http://schemas.openxmlformats.org/officeDocument/2006/relationships/hyperlink" Target="https://huaxue.hebtu.edu.cn/a/2025/09/23/A5A5BBD96F6B4410B87B6D4C43BDFD63.html" TargetMode="External" /><ns0:Relationship Id="journalLink2102" Type="http://schemas.openxmlformats.org/officeDocument/2006/relationships/hyperlink" Target="https://academic.oup.com/jambio" TargetMode="External" /><ns0:Relationship Id="journalLink2103" Type="http://schemas.openxmlformats.org/officeDocument/2006/relationships/hyperlink" Target="https://openalex.org/S39794811" TargetMode="External" /><ns0:Relationship Id="journalLink2104" Type="http://schemas.openxmlformats.org/officeDocument/2006/relationships/hyperlink" Target="https://www.niic.nsc.ru/phocadownload/publications/2025/JCR_JournalImpactFactor_2026.pdf#page=142" TargetMode="External" /><ns0:Relationship Id="journalLink2105" Type="http://schemas.openxmlformats.org/officeDocument/2006/relationships/hyperlink" Target="https://huaxue.hebtu.edu.cn/a/2025/09/23/A5A5BBD96F6B4410B87B6D4C43BDFD63.html" TargetMode="External" /><ns0:Relationship Id="journalLink2106" Type="http://schemas.openxmlformats.org/officeDocument/2006/relationships/hyperlink" Target="http://onlinelibrary.wiley.com/journal/10.1002/(ISSN)1860-7314" TargetMode="External" /><ns0:Relationship Id="journalLink2107" Type="http://schemas.openxmlformats.org/officeDocument/2006/relationships/hyperlink" Target="https://openalex.org/S31411064" TargetMode="External" /><ns0:Relationship Id="journalLink2108" Type="http://schemas.openxmlformats.org/officeDocument/2006/relationships/hyperlink" Target="https://www.niic.nsc.ru/phocadownload/publications/2025/JCR_JournalImpactFactor_2026.pdf#page=138" TargetMode="External" /><ns0:Relationship Id="journalLink2109" Type="http://schemas.openxmlformats.org/officeDocument/2006/relationships/hyperlink" Target="https://huaxue.hebtu.edu.cn/a/2025/09/23/A5A5BBD96F6B4410B87B6D4C43BDFD63.html" TargetMode="External" /><ns0:Relationship Id="journalLink2110" Type="http://schemas.openxmlformats.org/officeDocument/2006/relationships/hyperlink" Target="http://jb.asm.org/" TargetMode="External" /><ns0:Relationship Id="journalLink2111" Type="http://schemas.openxmlformats.org/officeDocument/2006/relationships/hyperlink" Target="https://openalex.org/S133274750" TargetMode="External" /><ns0:Relationship Id="journalLink2112" Type="http://schemas.openxmlformats.org/officeDocument/2006/relationships/hyperlink" Target="https://www.niic.nsc.ru/phocadownload/publications/2025/JCR_JournalImpactFactor_2026.pdf#page=244" TargetMode="External" /><ns0:Relationship Id="journalLink2113" Type="http://schemas.openxmlformats.org/officeDocument/2006/relationships/hyperlink" Target="https://huaxue.hebtu.edu.cn/a/2025/09/23/A5A5BBD96F6B4410B87B6D4C43BDFD63.html" TargetMode="External" /><ns0:Relationship Id="journalLink2114" Type="http://schemas.openxmlformats.org/officeDocument/2006/relationships/hyperlink" Target="https://www.springer.com/journal/11557" TargetMode="External" /><ns0:Relationship Id="journalLink2115" Type="http://schemas.openxmlformats.org/officeDocument/2006/relationships/hyperlink" Target="https://openalex.org/S26519103" TargetMode="External" /><ns0:Relationship Id="journalLink2116" Type="http://schemas.openxmlformats.org/officeDocument/2006/relationships/hyperlink" Target="https://www.niic.nsc.ru/phocadownload/publications/2025/JCR_JournalImpactFactor_2026.pdf#page=286" TargetMode="External" /><ns0:Relationship Id="journalLink2117" Type="http://schemas.openxmlformats.org/officeDocument/2006/relationships/hyperlink" Target="https://huaxue.hebtu.edu.cn/a/2025/09/23/A5A5BBD96F6B4410B87B6D4C43BDFD63.html" TargetMode="External" /><ns0:Relationship Id="journalLink2118" Type="http://schemas.openxmlformats.org/officeDocument/2006/relationships/hyperlink" Target="https://www.springer.com/journal/792" TargetMode="External" /><ns0:Relationship Id="journalLink2119" Type="http://schemas.openxmlformats.org/officeDocument/2006/relationships/hyperlink" Target="https://openalex.org/S195642041" TargetMode="External" /><ns0:Relationship Id="journalLink2120" Type="http://schemas.openxmlformats.org/officeDocument/2006/relationships/hyperlink" Target="https://www.niic.nsc.ru/phocadownload/publications/2025/JCR_JournalImpactFactor_2026.pdf#page=138" TargetMode="External" /><ns0:Relationship Id="journalLink2121" Type="http://schemas.openxmlformats.org/officeDocument/2006/relationships/hyperlink" Target="https://huaxue.hebtu.edu.cn/a/2025/09/23/A5A5BBD96F6B4410B87B6D4C43BDFD63.html" TargetMode="External" /><ns0:Relationship Id="journalLink2122" Type="http://schemas.openxmlformats.org/officeDocument/2006/relationships/hyperlink" Target="https://link.springer.com/journal/12275" TargetMode="External" /><ns0:Relationship Id="journalLink2123" Type="http://schemas.openxmlformats.org/officeDocument/2006/relationships/hyperlink" Target="https://openalex.org/S119912628" TargetMode="External" /><ns0:Relationship Id="journalLink2124" Type="http://schemas.openxmlformats.org/officeDocument/2006/relationships/hyperlink" Target="https://www.niic.nsc.ru/phocadownload/publications/2025/JCR_JournalImpactFactor_2026.pdf#page=195" TargetMode="External" /><ns0:Relationship Id="journalLink2125" Type="http://schemas.openxmlformats.org/officeDocument/2006/relationships/hyperlink" Target="https://huaxue.hebtu.edu.cn/a/2025/09/23/A5A5BBD96F6B4410B87B6D4C43BDFD63.html" TargetMode="External" /><ns0:Relationship Id="journalLink2126" Type="http://schemas.openxmlformats.org/officeDocument/2006/relationships/hyperlink" Target="http://www.elsevier.com/wps/find/journaldescription.cws_home/622835/description#description" TargetMode="External" /><ns0:Relationship Id="journalLink2127" Type="http://schemas.openxmlformats.org/officeDocument/2006/relationships/hyperlink" Target="https://openalex.org/S51923826" TargetMode="External" /><ns0:Relationship Id="journalLink2128" Type="http://schemas.openxmlformats.org/officeDocument/2006/relationships/hyperlink" Target="https://www.niic.nsc.ru/phocadownload/publications/2025/JCR_JournalImpactFactor_2026.pdf#page=155" TargetMode="External" /><ns0:Relationship Id="journalLink2129" Type="http://schemas.openxmlformats.org/officeDocument/2006/relationships/hyperlink" Target="https://huaxue.hebtu.edu.cn/a/2025/09/23/A5A5BBD96F6B4410B87B6D4C43BDFD63.html" TargetMode="External" /><ns0:Relationship Id="journalLink2130" Type="http://schemas.openxmlformats.org/officeDocument/2006/relationships/hyperlink" Target="https://www.journals.elsevier.com/fungal-ecology" TargetMode="External" /><ns0:Relationship Id="journalLink2131" Type="http://schemas.openxmlformats.org/officeDocument/2006/relationships/hyperlink" Target="https://openalex.org/S18660344" TargetMode="External" /><ns0:Relationship Id="journalLink2132" Type="http://schemas.openxmlformats.org/officeDocument/2006/relationships/hyperlink" Target="https://www.niic.nsc.ru/phocadownload/publications/2025/JCR_JournalImpactFactor_2026.pdf#page=313" TargetMode="External" /><ns0:Relationship Id="journalLink2133" Type="http://schemas.openxmlformats.org/officeDocument/2006/relationships/hyperlink" Target="https://huaxue.hebtu.edu.cn/a/2025/09/23/A5A5BBD96F6B4410B87B6D4C43BDFD63.html" TargetMode="External" /><ns0:Relationship Id="journalLink2134" Type="http://schemas.openxmlformats.org/officeDocument/2006/relationships/hyperlink" Target="https://www.springer.com/journal/10482" TargetMode="External" /><ns0:Relationship Id="journalLink2135" Type="http://schemas.openxmlformats.org/officeDocument/2006/relationships/hyperlink" Target="https://openalex.org/S192712274" TargetMode="External" /><ns0:Relationship Id="journalLink2136" Type="http://schemas.openxmlformats.org/officeDocument/2006/relationships/hyperlink" Target="https://www.niic.nsc.ru/phocadownload/publications/2025/JCR_JournalImpactFactor_2026.pdf#page=189" TargetMode="External" /><ns0:Relationship Id="journalLink2137" Type="http://schemas.openxmlformats.org/officeDocument/2006/relationships/hyperlink" Target="https://huaxue.hebtu.edu.cn/a/2025/09/23/A5A5BBD96F6B4410B87B6D4C43BDFD63.html" TargetMode="External" /><ns0:Relationship Id="journalLink2138" Type="http://schemas.openxmlformats.org/officeDocument/2006/relationships/hyperlink" Target="https://www.springer.com/journal/13205" TargetMode="External" /><ns0:Relationship Id="journalLink2139" Type="http://schemas.openxmlformats.org/officeDocument/2006/relationships/hyperlink" Target="https://openalex.org/S4210190239" TargetMode="External" /><ns0:Relationship Id="journalLink2140" Type="http://schemas.openxmlformats.org/officeDocument/2006/relationships/hyperlink" Target="https://www.niic.nsc.ru/phocadownload/publications/2025/JCR_JournalImpactFactor_2026.pdf#page=156" TargetMode="External" /><ns0:Relationship Id="journalLink2141" Type="http://schemas.openxmlformats.org/officeDocument/2006/relationships/hyperlink" Target="https://huaxue.hebtu.edu.cn/a/2025/09/23/A5A5BBD96F6B4410B87B6D4C43BDFD63.html" TargetMode="External" /><ns0:Relationship Id="journalLink2142" Type="http://schemas.openxmlformats.org/officeDocument/2006/relationships/hyperlink" Target="https://academic.oup.com/femsyr" TargetMode="External" /><ns0:Relationship Id="journalLink2143" Type="http://schemas.openxmlformats.org/officeDocument/2006/relationships/hyperlink" Target="https://openalex.org/S58380981" TargetMode="External" /><ns0:Relationship Id="journalLink2144" Type="http://schemas.openxmlformats.org/officeDocument/2006/relationships/hyperlink" Target="https://www.niic.nsc.ru/phocadownload/publications/2025/JCR_JournalImpactFactor_2026.pdf#page=173" TargetMode="External" /><ns0:Relationship Id="journalLink2145" Type="http://schemas.openxmlformats.org/officeDocument/2006/relationships/hyperlink" Target="https://huaxue.hebtu.edu.cn/a/2025/09/23/A5A5BBD96F6B4410B87B6D4C43BDFD63.html" TargetMode="External" /><ns0:Relationship Id="journalLink2146" Type="http://schemas.openxmlformats.org/officeDocument/2006/relationships/hyperlink" Target="http://onlinelibrary.wiley.com/journal/10.1002/(ISSN)1521-4028" TargetMode="External" /><ns0:Relationship Id="journalLink2147" Type="http://schemas.openxmlformats.org/officeDocument/2006/relationships/hyperlink" Target="https://openalex.org/S169733112" TargetMode="External" /><ns0:Relationship Id="journalLink2148" Type="http://schemas.openxmlformats.org/officeDocument/2006/relationships/hyperlink" Target="https://www.niic.nsc.ru/phocadownload/publications/2025/JCR_JournalImpactFactor_2026.pdf#page=164" TargetMode="External" /><ns0:Relationship Id="journalLink2149" Type="http://schemas.openxmlformats.org/officeDocument/2006/relationships/hyperlink" Target="https://huaxue.hebtu.edu.cn/a/2025/09/23/A5A5BBD96F6B4410B87B6D4C43BDFD63.html" TargetMode="External" /><ns0:Relationship Id="journalLink2150" Type="http://schemas.openxmlformats.org/officeDocument/2006/relationships/hyperlink" Target="https://www.springer.com/journal/203" TargetMode="External" /><ns0:Relationship Id="journalLink2151" Type="http://schemas.openxmlformats.org/officeDocument/2006/relationships/hyperlink" Target="https://openalex.org/S111869560" TargetMode="External" /><ns0:Relationship Id="journalLink2152" Type="http://schemas.openxmlformats.org/officeDocument/2006/relationships/hyperlink" Target="https://www.niic.nsc.ru/phocadownload/publications/2025/JCR_JournalImpactFactor_2026.pdf#page=215" TargetMode="External" /><ns0:Relationship Id="journalLink2153" Type="http://schemas.openxmlformats.org/officeDocument/2006/relationships/hyperlink" Target="https://huaxue.hebtu.edu.cn/a/2025/09/23/A5A5BBD96F6B4410B87B6D4C43BDFD63.html" TargetMode="External" /><ns0:Relationship Id="journalLink2154" Type="http://schemas.openxmlformats.org/officeDocument/2006/relationships/hyperlink" Target="https://link.springer.com/journal/284" TargetMode="External" /><ns0:Relationship Id="journalLink2155" Type="http://schemas.openxmlformats.org/officeDocument/2006/relationships/hyperlink" Target="https://openalex.org/S2248630" TargetMode="External" /><ns0:Relationship Id="journalLink2156" Type="http://schemas.openxmlformats.org/officeDocument/2006/relationships/hyperlink" Target="https://www.niic.nsc.ru/phocadownload/publications/2025/JCR_JournalImpactFactor_2026.pdf#page=288" TargetMode="External" /><ns0:Relationship Id="journalLink2157" Type="http://schemas.openxmlformats.org/officeDocument/2006/relationships/hyperlink" Target="https://huaxue.hebtu.edu.cn/a/2025/09/23/A5A5BBD96F6B4410B87B6D4C43BDFD63.html" TargetMode="External" /><ns0:Relationship Id="journalLink2158" Type="http://schemas.openxmlformats.org/officeDocument/2006/relationships/hyperlink" Target="http://onlinelibrary.wiley.com/journal/10.1002/(ISSN)1097-0061" TargetMode="External" /><ns0:Relationship Id="journalLink2159" Type="http://schemas.openxmlformats.org/officeDocument/2006/relationships/hyperlink" Target="https://openalex.org/S80252601" TargetMode="External" /><ns0:Relationship Id="journalLink2160" Type="http://schemas.openxmlformats.org/officeDocument/2006/relationships/hyperlink" Target="https://www.niic.nsc.ru/phocadownload/publications/2025/JCR_JournalImpactFactor_2026.pdf#page=205" TargetMode="External" /><ns0:Relationship Id="journalLink2161" Type="http://schemas.openxmlformats.org/officeDocument/2006/relationships/hyperlink" Target="https://huaxue.hebtu.edu.cn/a/2025/09/23/A5A5BBD96F6B4410B87B6D4C43BDFD63.html" TargetMode="External" /><ns0:Relationship Id="journalLink2162" Type="http://schemas.openxmlformats.org/officeDocument/2006/relationships/hyperlink" Target="https://www.springer.com/journal/10123" TargetMode="External" /><ns0:Relationship Id="journalLink2163" Type="http://schemas.openxmlformats.org/officeDocument/2006/relationships/hyperlink" Target="https://openalex.org/S146978284" TargetMode="External" /><ns0:Relationship Id="journalLink2164" Type="http://schemas.openxmlformats.org/officeDocument/2006/relationships/hyperlink" Target="https://www.niic.nsc.ru/phocadownload/publications/2025/JCR_JournalImpactFactor_2026.pdf#page=314" TargetMode="External" /><ns0:Relationship Id="journalLink2165" Type="http://schemas.openxmlformats.org/officeDocument/2006/relationships/hyperlink" Target="https://huaxue.hebtu.edu.cn/a/2025/09/23/A5A5BBD96F6B4410B87B6D4C43BDFD63.html" TargetMode="External" /><ns0:Relationship Id="journalLink2166" Type="http://schemas.openxmlformats.org/officeDocument/2006/relationships/hyperlink" Target="https://academic.oup.com/femsle" TargetMode="External" /><ns0:Relationship Id="journalLink2167" Type="http://schemas.openxmlformats.org/officeDocument/2006/relationships/hyperlink" Target="https://openalex.org/S34954451" TargetMode="External" /><ns0:Relationship Id="journalLink2168" Type="http://schemas.openxmlformats.org/officeDocument/2006/relationships/hyperlink" Target="https://www.niic.nsc.ru/phocadownload/publications/2025/JCR_JournalImpactFactor_2026.pdf#page=249" TargetMode="External" /><ns0:Relationship Id="journalLink2169" Type="http://schemas.openxmlformats.org/officeDocument/2006/relationships/hyperlink" Target="https://huaxue.hebtu.edu.cn/a/2025/09/23/A5A5BBD96F6B4410B87B6D4C43BDFD63.html" TargetMode="External" /><ns0:Relationship Id="journalLink2170" Type="http://schemas.openxmlformats.org/officeDocument/2006/relationships/hyperlink" Target="https://www.springer.com/journal/10529" TargetMode="External" /><ns0:Relationship Id="journalLink2171" Type="http://schemas.openxmlformats.org/officeDocument/2006/relationships/hyperlink" Target="https://openalex.org/S113993733" TargetMode="External" /><ns0:Relationship Id="journalLink2172" Type="http://schemas.openxmlformats.org/officeDocument/2006/relationships/hyperlink" Target="https://www.niic.nsc.ru/phocadownload/publications/2025/JCR_JournalImpactFactor_2026.pdf#page=315" TargetMode="External" /><ns0:Relationship Id="journalLink2173" Type="http://schemas.openxmlformats.org/officeDocument/2006/relationships/hyperlink" Target="https://huaxue.hebtu.edu.cn/a/2025/09/23/A5A5BBD96F6B4410B87B6D4C43BDFD63.html" TargetMode="External" /><ns0:Relationship Id="journalLink2174" Type="http://schemas.openxmlformats.org/officeDocument/2006/relationships/hyperlink" Target="https://academic.oup.com/lambio" TargetMode="External" /><ns0:Relationship Id="journalLink2175" Type="http://schemas.openxmlformats.org/officeDocument/2006/relationships/hyperlink" Target="https://openalex.org/S171033905" TargetMode="External" /><ns0:Relationship Id="journalLink2176" Type="http://schemas.openxmlformats.org/officeDocument/2006/relationships/hyperlink" Target="https://www.niic.nsc.ru/phocadownload/publications/2025/JCR_JournalImpactFactor_2026.pdf#page=274" TargetMode="External" /><ns0:Relationship Id="journalLink2177" Type="http://schemas.openxmlformats.org/officeDocument/2006/relationships/hyperlink" Target="https://huaxue.hebtu.edu.cn/a/2025/09/23/A5A5BBD96F6B4410B87B6D4C43BDFD63.html" TargetMode="External" /><ns0:Relationship Id="journalLink2178" Type="http://schemas.openxmlformats.org/officeDocument/2006/relationships/hyperlink" Target="http://ijs.sgmjournals.org/" TargetMode="External" /><ns0:Relationship Id="journalLink2179" Type="http://schemas.openxmlformats.org/officeDocument/2006/relationships/hyperlink" Target="https://openalex.org/S102181007" TargetMode="External" /><ns0:Relationship Id="journalLink2180" Type="http://schemas.openxmlformats.org/officeDocument/2006/relationships/hyperlink" Target="https://www.niic.nsc.ru/phocadownload/publications/2025/JCR_JournalImpactFactor_2026.pdf#page=407" TargetMode="External" /><ns0:Relationship Id="journalLink2181" Type="http://schemas.openxmlformats.org/officeDocument/2006/relationships/hyperlink" Target="https://huaxue.hebtu.edu.cn/a/2025/09/23/A5A5BBD96F6B4410B87B6D4C43BDFD63.html" TargetMode="External" /><ns0:Relationship Id="journalLink2182" Type="http://schemas.openxmlformats.org/officeDocument/2006/relationships/hyperlink" Target="http://www.springer.com/life+sciences/microbiology/journal/10267" TargetMode="External" /><ns0:Relationship Id="journalLink2183" Type="http://schemas.openxmlformats.org/officeDocument/2006/relationships/hyperlink" Target="https://openalex.org/S85891262" TargetMode="External" /><ns0:Relationship Id="journalLink2184" Type="http://schemas.openxmlformats.org/officeDocument/2006/relationships/hyperlink" Target="https://www.niic.nsc.ru/phocadownload/publications/2025/JCR_JournalImpactFactor_2026.pdf#page=478" TargetMode="External" /><ns0:Relationship Id="journalLink2185" Type="http://schemas.openxmlformats.org/officeDocument/2006/relationships/hyperlink" Target="https://huaxue.hebtu.edu.cn/a/2025/09/23/A5A5BBD96F6B4410B87B6D4C43BDFD63.html" TargetMode="External" /><ns0:Relationship Id="journalLink2186" Type="http://schemas.openxmlformats.org/officeDocument/2006/relationships/hyperlink" Target="https://www.springer.com/journal/11021" TargetMode="External" /><ns0:Relationship Id="journalLink2187" Type="http://schemas.openxmlformats.org/officeDocument/2006/relationships/hyperlink" Target="https://openalex.org/S4210199608" TargetMode="External" /><ns0:Relationship Id="journalLink2188" Type="http://schemas.openxmlformats.org/officeDocument/2006/relationships/hyperlink" Target="https://www.niic.nsc.ru/phocadownload/publications/2025/JCR_JournalImpactFactor_2026.pdf" TargetMode="External" /><ns0:Relationship Id="journalLink2189" Type="http://schemas.openxmlformats.org/officeDocument/2006/relationships/hyperlink" Target="https://huaxue.hebtu.edu.cn/a/2025/09/23/A5A5BBD96F6B4410B87B6D4C43BDFD63.html" TargetMode="External" /><ns0:Relationship Id="journalLink2190" Type="http://schemas.openxmlformats.org/officeDocument/2006/relationships/hyperlink" Target="https://www.tandfonline.com/journals/kbie20" TargetMode="External" /><ns0:Relationship Id="journalLink2191" Type="http://schemas.openxmlformats.org/officeDocument/2006/relationships/hyperlink" Target="https://www.tandfonline.com/journals/kbie20" TargetMode="External" /><ns0:Relationship Id="journalLink2192" Type="http://schemas.openxmlformats.org/officeDocument/2006/relationships/hyperlink" Target="https://www.niic.nsc.ru/phocadownload/publications/2025/JCR_JournalImpactFactor_2026.pdf#page=2" TargetMode="External" /><ns0:Relationship Id="journalLink2193" Type="http://schemas.openxmlformats.org/officeDocument/2006/relationships/hyperlink" Target="https://www.nature.com/natrevbioeng/" TargetMode="External" /><ns0:Relationship Id="journalLink2194" Type="http://schemas.openxmlformats.org/officeDocument/2006/relationships/hyperlink" Target="https://www.nature.com/natrevbioeng/" TargetMode="External" /><ns0:Relationship Id="journalLink2195" Type="http://schemas.openxmlformats.org/officeDocument/2006/relationships/hyperlink" Target="https://www.niic.nsc.ru/phocadownload/publications/2025/JCR_JournalImpactFactor_2026.pdf#page=45" TargetMode="External" /><ns0:Relationship Id="journalLink2196" Type="http://schemas.openxmlformats.org/officeDocument/2006/relationships/hyperlink" Target="https://spj.sciencemag.org/bdr/" TargetMode="External" /><ns0:Relationship Id="journalLink2197" Type="http://schemas.openxmlformats.org/officeDocument/2006/relationships/hyperlink" Target="https://openalex.org/S4210209251" TargetMode="External" /><ns0:Relationship Id="journalLink2198" Type="http://schemas.openxmlformats.org/officeDocument/2006/relationships/hyperlink" Target="https://www.niic.nsc.ru/phocadownload/publications/2025/JCR_JournalImpactFactor_2026.pdf#page=1" TargetMode="External" /><ns0:Relationship Id="journalLink2199" Type="http://schemas.openxmlformats.org/officeDocument/2006/relationships/hyperlink" Target="https://huaxue.hebtu.edu.cn/a/2025/09/23/A5A5BBD96F6B4410B87B6D4C43BDFD63.html" TargetMode="External" /><ns0:Relationship Id="journalLink2200" Type="http://schemas.openxmlformats.org/officeDocument/2006/relationships/hyperlink" Target="https://www.nature.com/nrmp/" TargetMode="External" /><ns0:Relationship Id="journalLink2201" Type="http://schemas.openxmlformats.org/officeDocument/2006/relationships/hyperlink" Target="https://openalex.org/S4210231269" TargetMode="External" /><ns0:Relationship Id="journalLink2202" Type="http://schemas.openxmlformats.org/officeDocument/2006/relationships/hyperlink" Target="https://www.niic.nsc.ru/phocadownload/publications/2025/JCR_JournalImpactFactor_2026.pdf#page=1" TargetMode="External" /><ns0:Relationship Id="journalLink2203" Type="http://schemas.openxmlformats.org/officeDocument/2006/relationships/hyperlink" Target="https://huaxue.hebtu.edu.cn/a/2025/09/23/A5A5BBD96F6B4410B87B6D4C43BDFD63.html" TargetMode="External" /><ns0:Relationship Id="journalLink2204" Type="http://schemas.openxmlformats.org/officeDocument/2006/relationships/hyperlink" Target="http://www.nature.com/nrg/index.html" TargetMode="External" /><ns0:Relationship Id="journalLink2205" Type="http://schemas.openxmlformats.org/officeDocument/2006/relationships/hyperlink" Target="https://openalex.org/S8553189" TargetMode="External" /><ns0:Relationship Id="journalLink2206" Type="http://schemas.openxmlformats.org/officeDocument/2006/relationships/hyperlink" Target="https://www.niic.nsc.ru/phocadownload/publications/2025/JCR_JournalImpactFactor_2026.pdf#page=4" TargetMode="External" /><ns0:Relationship Id="journalLink2207" Type="http://schemas.openxmlformats.org/officeDocument/2006/relationships/hyperlink" Target="https://huaxue.hebtu.edu.cn/a/2025/09/23/A5A5BBD96F6B4410B87B6D4C43BDFD63.html" TargetMode="External" /><ns0:Relationship Id="journalLink2208" Type="http://schemas.openxmlformats.org/officeDocument/2006/relationships/hyperlink" Target="https://www.nature.com/nmeth/" TargetMode="External" /><ns0:Relationship Id="journalLink2209" Type="http://schemas.openxmlformats.org/officeDocument/2006/relationships/hyperlink" Target="https://openalex.org/S127827428" TargetMode="External" /><ns0:Relationship Id="journalLink2210" Type="http://schemas.openxmlformats.org/officeDocument/2006/relationships/hyperlink" Target="https://www.niic.nsc.ru/phocadownload/publications/2025/JCR_JournalImpactFactor_2026.pdf#page=4" TargetMode="External" /><ns0:Relationship Id="journalLink2211" Type="http://schemas.openxmlformats.org/officeDocument/2006/relationships/hyperlink" Target="https://huaxue.hebtu.edu.cn/a/2025/09/23/A5A5BBD96F6B4410B87B6D4C43BDFD63.html" TargetMode="External" /><ns0:Relationship Id="journalLink2212" Type="http://schemas.openxmlformats.org/officeDocument/2006/relationships/hyperlink" Target="https://www.nature.com/ng/" TargetMode="External" /><ns0:Relationship Id="journalLink2213" Type="http://schemas.openxmlformats.org/officeDocument/2006/relationships/hyperlink" Target="https://openalex.org/S137905309" TargetMode="External" /><ns0:Relationship Id="journalLink2214" Type="http://schemas.openxmlformats.org/officeDocument/2006/relationships/hyperlink" Target="https://www.niic.nsc.ru/phocadownload/publications/2025/JCR_JournalImpactFactor_2026.pdf#page=8" TargetMode="External" /><ns0:Relationship Id="journalLink2215" Type="http://schemas.openxmlformats.org/officeDocument/2006/relationships/hyperlink" Target="https://huaxue.hebtu.edu.cn/a/2025/09/23/A5A5BBD96F6B4410B87B6D4C43BDFD63.html" TargetMode="External" /><ns0:Relationship Id="journalLink2216" Type="http://schemas.openxmlformats.org/officeDocument/2006/relationships/hyperlink" Target="https://www.sciencedirect.com/journal/trends-in-ecology-and-evolution" TargetMode="External" /><ns0:Relationship Id="journalLink2217" Type="http://schemas.openxmlformats.org/officeDocument/2006/relationships/hyperlink" Target="https://openalex.org/S79131028" TargetMode="External" /><ns0:Relationship Id="journalLink2218" Type="http://schemas.openxmlformats.org/officeDocument/2006/relationships/hyperlink" Target="https://www.niic.nsc.ru/phocadownload/publications/2025/JCR_JournalImpactFactor_2026.pdf#page=15" TargetMode="External" /><ns0:Relationship Id="journalLink2219" Type="http://schemas.openxmlformats.org/officeDocument/2006/relationships/hyperlink" Target="https://huaxue.hebtu.edu.cn/a/2025/09/23/A5A5BBD96F6B4410B87B6D4C43BDFD63.html" TargetMode="External" /><ns0:Relationship Id="journalLink2220" Type="http://schemas.openxmlformats.org/officeDocument/2006/relationships/hyperlink" Target="https://www.journals.elsevier.com/trends-in-genetics" TargetMode="External" /><ns0:Relationship Id="journalLink2221" Type="http://schemas.openxmlformats.org/officeDocument/2006/relationships/hyperlink" Target="https://openalex.org/S139283865" TargetMode="External" /><ns0:Relationship Id="journalLink2222" Type="http://schemas.openxmlformats.org/officeDocument/2006/relationships/hyperlink" Target="https://www.niic.nsc.ru/phocadownload/publications/2025/JCR_JournalImpactFactor_2026.pdf#page=20" TargetMode="External" /><ns0:Relationship Id="journalLink2223" Type="http://schemas.openxmlformats.org/officeDocument/2006/relationships/hyperlink" Target="https://huaxue.hebtu.edu.cn/a/2025/09/23/A5A5BBD96F6B4410B87B6D4C43BDFD63.html" TargetMode="External" /><ns0:Relationship Id="journalLink2224" Type="http://schemas.openxmlformats.org/officeDocument/2006/relationships/hyperlink" Target="https://genomemedicine.biomedcentral.com/" TargetMode="External" /><ns0:Relationship Id="journalLink2225" Type="http://schemas.openxmlformats.org/officeDocument/2006/relationships/hyperlink" Target="https://openalex.org/S149201819" TargetMode="External" /><ns0:Relationship Id="journalLink2226" Type="http://schemas.openxmlformats.org/officeDocument/2006/relationships/hyperlink" Target="https://www.niic.nsc.ru/phocadownload/publications/2025/JCR_JournalImpactFactor_2026.pdf#page=27" TargetMode="External" /><ns0:Relationship Id="journalLink2227" Type="http://schemas.openxmlformats.org/officeDocument/2006/relationships/hyperlink" Target="https://huaxue.hebtu.edu.cn/a/2025/09/23/A5A5BBD96F6B4410B87B6D4C43BDFD63.html" TargetMode="External" /><ns0:Relationship Id="journalLink2228" Type="http://schemas.openxmlformats.org/officeDocument/2006/relationships/hyperlink" Target="https://genomebiology.biomedcentral.com/" TargetMode="External" /><ns0:Relationship Id="journalLink2229" Type="http://schemas.openxmlformats.org/officeDocument/2006/relationships/hyperlink" Target="https://openalex.org/S81160022" TargetMode="External" /><ns0:Relationship Id="journalLink2230" Type="http://schemas.openxmlformats.org/officeDocument/2006/relationships/hyperlink" Target="https://www.niic.nsc.ru/phocadownload/publications/2025/JCR_JournalImpactFactor_2026.pdf#page=32" TargetMode="External" /><ns0:Relationship Id="journalLink2231" Type="http://schemas.openxmlformats.org/officeDocument/2006/relationships/hyperlink" Target="https://huaxue.hebtu.edu.cn/a/2025/09/23/A5A5BBD96F6B4410B87B6D4C43BDFD63.html" TargetMode="External" /><ns0:Relationship Id="journalLink2232" Type="http://schemas.openxmlformats.org/officeDocument/2006/relationships/hyperlink" Target="https://www.sciencedirect.com/journal/cell-genomics" TargetMode="External" /><ns0:Relationship Id="journalLink2233" Type="http://schemas.openxmlformats.org/officeDocument/2006/relationships/hyperlink" Target="https://openalex.org/S4210194377" TargetMode="External" /><ns0:Relationship Id="journalLink2234" Type="http://schemas.openxmlformats.org/officeDocument/2006/relationships/hyperlink" Target="https://www.niic.nsc.ru/phocadownload/publications/2025/JCR_JournalImpactFactor_2026.pdf#page=28" TargetMode="External" /><ns0:Relationship Id="journalLink2235" Type="http://schemas.openxmlformats.org/officeDocument/2006/relationships/hyperlink" Target="https://huaxue.hebtu.edu.cn/a/2025/09/23/A5A5BBD96F6B4410B87B6D4C43BDFD63.html" TargetMode="External" /><ns0:Relationship Id="journalLink2236" Type="http://schemas.openxmlformats.org/officeDocument/2006/relationships/hyperlink" Target="http://www.annualreviews.org/journal/genet" TargetMode="External" /><ns0:Relationship Id="journalLink2237" Type="http://schemas.openxmlformats.org/officeDocument/2006/relationships/hyperlink" Target="https://openalex.org/S92134727" TargetMode="External" /><ns0:Relationship Id="journalLink2238" Type="http://schemas.openxmlformats.org/officeDocument/2006/relationships/hyperlink" Target="https://www.niic.nsc.ru/phocadownload/publications/2025/JCR_JournalImpactFactor_2026.pdf#page=34" TargetMode="External" /><ns0:Relationship Id="journalLink2239" Type="http://schemas.openxmlformats.org/officeDocument/2006/relationships/hyperlink" Target="https://huaxue.hebtu.edu.cn/a/2025/09/23/A5A5BBD96F6B4410B87B6D4C43BDFD63.html" TargetMode="External" /><ns0:Relationship Id="journalLink2240" Type="http://schemas.openxmlformats.org/officeDocument/2006/relationships/hyperlink" Target="http://www.annualreviews.org/journal/genom" TargetMode="External" /><ns0:Relationship Id="journalLink2241" Type="http://schemas.openxmlformats.org/officeDocument/2006/relationships/hyperlink" Target="https://openalex.org/S8095556" TargetMode="External" /><ns0:Relationship Id="journalLink2242" Type="http://schemas.openxmlformats.org/officeDocument/2006/relationships/hyperlink" Target="https://www.niic.nsc.ru/phocadownload/publications/2025/JCR_JournalImpactFactor_2026.pdf#page=41" TargetMode="External" /><ns0:Relationship Id="journalLink2243" Type="http://schemas.openxmlformats.org/officeDocument/2006/relationships/hyperlink" Target="https://huaxue.hebtu.edu.cn/a/2025/09/23/A5A5BBD96F6B4410B87B6D4C43BDFD63.html" TargetMode="External" /><ns0:Relationship Id="journalLink2244" Type="http://schemas.openxmlformats.org/officeDocument/2006/relationships/hyperlink" Target="https://www.journals.elsevier.com/cell-systems" TargetMode="External" /><ns0:Relationship Id="journalLink2245" Type="http://schemas.openxmlformats.org/officeDocument/2006/relationships/hyperlink" Target="https://openalex.org/S2764739556" TargetMode="External" /><ns0:Relationship Id="journalLink2246" Type="http://schemas.openxmlformats.org/officeDocument/2006/relationships/hyperlink" Target="https://www.niic.nsc.ru/phocadownload/publications/2025/JCR_JournalImpactFactor_2026.pdf#page=37" TargetMode="External" /><ns0:Relationship Id="journalLink2247" Type="http://schemas.openxmlformats.org/officeDocument/2006/relationships/hyperlink" Target="https://huaxue.hebtu.edu.cn/a/2025/09/23/A5A5BBD96F6B4410B87B6D4C43BDFD63.html" TargetMode="External" /><ns0:Relationship Id="journalLink2248" Type="http://schemas.openxmlformats.org/officeDocument/2006/relationships/hyperlink" Target="https://www.journals.elsevier.com/journal-of-genetics-and-genomics" TargetMode="External" /><ns0:Relationship Id="journalLink2249" Type="http://schemas.openxmlformats.org/officeDocument/2006/relationships/hyperlink" Target="https://openalex.org/S54145736" TargetMode="External" /><ns0:Relationship Id="journalLink2250" Type="http://schemas.openxmlformats.org/officeDocument/2006/relationships/hyperlink" Target="https://www.niic.nsc.ru/phocadownload/publications/2025/JCR_JournalImpactFactor_2026.pdf#page=29" TargetMode="External" /><ns0:Relationship Id="journalLink2251" Type="http://schemas.openxmlformats.org/officeDocument/2006/relationships/hyperlink" Target="https://huaxue.hebtu.edu.cn/a/2025/09/23/A5A5BBD96F6B4410B87B6D4C43BDFD63.html" TargetMode="External" /><ns0:Relationship Id="journalLink2252" Type="http://schemas.openxmlformats.org/officeDocument/2006/relationships/hyperlink" Target="http://www.wiley.com/bw/submit.asp?ref=0748-3007" TargetMode="External" /><ns0:Relationship Id="journalLink2253" Type="http://schemas.openxmlformats.org/officeDocument/2006/relationships/hyperlink" Target="https://openalex.org/S90511721" TargetMode="External" /><ns0:Relationship Id="journalLink2254" Type="http://schemas.openxmlformats.org/officeDocument/2006/relationships/hyperlink" Target="https://www.niic.nsc.ru/phocadownload/publications/2025/JCR_JournalImpactFactor_2026.pdf#page=58" TargetMode="External" /><ns0:Relationship Id="journalLink2255" Type="http://schemas.openxmlformats.org/officeDocument/2006/relationships/hyperlink" Target="https://huaxue.hebtu.edu.cn/a/2025/09/23/A5A5BBD96F6B4410B87B6D4C43BDFD63.html" TargetMode="External" /><ns0:Relationship Id="journalLink2256" Type="http://schemas.openxmlformats.org/officeDocument/2006/relationships/hyperlink" Target="http://sysbio.oxfordjournals.org/" TargetMode="External" /><ns0:Relationship Id="journalLink2257" Type="http://schemas.openxmlformats.org/officeDocument/2006/relationships/hyperlink" Target="https://openalex.org/S65478581" TargetMode="External" /><ns0:Relationship Id="journalLink2258" Type="http://schemas.openxmlformats.org/officeDocument/2006/relationships/hyperlink" Target="https://www.niic.nsc.ru/phocadownload/publications/2025/JCR_JournalImpactFactor_2026.pdf#page=57" TargetMode="External" /><ns0:Relationship Id="journalLink2259" Type="http://schemas.openxmlformats.org/officeDocument/2006/relationships/hyperlink" Target="https://huaxue.hebtu.edu.cn/a/2025/09/23/A5A5BBD96F6B4410B87B6D4C43BDFD63.html" TargetMode="External" /><ns0:Relationship Id="journalLink2260" Type="http://schemas.openxmlformats.org/officeDocument/2006/relationships/hyperlink" Target="http://genome.cshlp.org/" TargetMode="External" /><ns0:Relationship Id="journalLink2261" Type="http://schemas.openxmlformats.org/officeDocument/2006/relationships/hyperlink" Target="https://openalex.org/S43092948" TargetMode="External" /><ns0:Relationship Id="journalLink2262" Type="http://schemas.openxmlformats.org/officeDocument/2006/relationships/hyperlink" Target="https://www.niic.nsc.ru/phocadownload/publications/2025/JCR_JournalImpactFactor_2026.pdf#page=64" TargetMode="External" /><ns0:Relationship Id="journalLink2263" Type="http://schemas.openxmlformats.org/officeDocument/2006/relationships/hyperlink" Target="https://huaxue.hebtu.edu.cn/a/2025/09/23/A5A5BBD96F6B4410B87B6D4C43BDFD63.html" TargetMode="External" /><ns0:Relationship Id="journalLink2264" Type="http://schemas.openxmlformats.org/officeDocument/2006/relationships/hyperlink" Target="https://onlinelibrary.wiley.com/journal/17550998" TargetMode="External" /><ns0:Relationship Id="journalLink2265" Type="http://schemas.openxmlformats.org/officeDocument/2006/relationships/hyperlink" Target="https://openalex.org/S64961995" TargetMode="External" /><ns0:Relationship Id="journalLink2266" Type="http://schemas.openxmlformats.org/officeDocument/2006/relationships/hyperlink" Target="https://www.niic.nsc.ru/phocadownload/publications/2025/JCR_JournalImpactFactor_2026.pdf#page=55" TargetMode="External" /><ns0:Relationship Id="journalLink2267" Type="http://schemas.openxmlformats.org/officeDocument/2006/relationships/hyperlink" Target="https://huaxue.hebtu.edu.cn/a/2025/09/23/A5A5BBD96F6B4410B87B6D4C43BDFD63.html" TargetMode="External" /><ns0:Relationship Id="journalLink2268" Type="http://schemas.openxmlformats.org/officeDocument/2006/relationships/hyperlink" Target="http://mbe.oxfordjournals.org/" TargetMode="External" /><ns0:Relationship Id="journalLink2269" Type="http://schemas.openxmlformats.org/officeDocument/2006/relationships/hyperlink" Target="https://openalex.org/S57552105" TargetMode="External" /><ns0:Relationship Id="journalLink2270" Type="http://schemas.openxmlformats.org/officeDocument/2006/relationships/hyperlink" Target="https://www.niic.nsc.ru/phocadownload/publications/2025/JCR_JournalImpactFactor_2026.pdf#page=141" TargetMode="External" /><ns0:Relationship Id="journalLink2271" Type="http://schemas.openxmlformats.org/officeDocument/2006/relationships/hyperlink" Target="https://huaxue.hebtu.edu.cn/a/2025/09/23/A5A5BBD96F6B4410B87B6D4C43BDFD63.html" TargetMode="External" /><ns0:Relationship Id="journalLink2272" Type="http://schemas.openxmlformats.org/officeDocument/2006/relationships/hyperlink" Target="http://www.wiley.com/bw/journal.asp?ref=0962-1083" TargetMode="External" /><ns0:Relationship Id="journalLink2273" Type="http://schemas.openxmlformats.org/officeDocument/2006/relationships/hyperlink" Target="https://openalex.org/S22454499" TargetMode="External" /><ns0:Relationship Id="journalLink2274" Type="http://schemas.openxmlformats.org/officeDocument/2006/relationships/hyperlink" Target="https://www.niic.nsc.ru/phocadownload/publications/2025/JCR_JournalImpactFactor_2026.pdf#page=111" TargetMode="External" /><ns0:Relationship Id="journalLink2275" Type="http://schemas.openxmlformats.org/officeDocument/2006/relationships/hyperlink" Target="https://huaxue.hebtu.edu.cn/a/2025/09/23/A5A5BBD96F6B4410B87B6D4C43BDFD63.html" TargetMode="External" /><ns0:Relationship Id="journalLink2276" Type="http://schemas.openxmlformats.org/officeDocument/2006/relationships/hyperlink" Target="https://onlinelibrary.wiley.com/journal/20563744" TargetMode="External" /><ns0:Relationship Id="journalLink2277" Type="http://schemas.openxmlformats.org/officeDocument/2006/relationships/hyperlink" Target="https://openalex.org/S4210186268" TargetMode="External" /><ns0:Relationship Id="journalLink2278" Type="http://schemas.openxmlformats.org/officeDocument/2006/relationships/hyperlink" Target="https://www.niic.nsc.ru/phocadownload/publications/2025/JCR_JournalImpactFactor_2026.pdf#page=125" TargetMode="External" /><ns0:Relationship Id="journalLink2279" Type="http://schemas.openxmlformats.org/officeDocument/2006/relationships/hyperlink" Target="https://huaxue.hebtu.edu.cn/a/2025/09/23/A5A5BBD96F6B4410B87B6D4C43BDFD63.html" TargetMode="External" /><ns0:Relationship Id="journalLink2280" Type="http://schemas.openxmlformats.org/officeDocument/2006/relationships/hyperlink" Target="http://www.elsevier.com/wps/find/journaldescription.cws_home/622921/description#description/" TargetMode="External" /><ns0:Relationship Id="journalLink2281" Type="http://schemas.openxmlformats.org/officeDocument/2006/relationships/hyperlink" Target="https://openalex.org/S96989847" TargetMode="External" /><ns0:Relationship Id="journalLink2282" Type="http://schemas.openxmlformats.org/officeDocument/2006/relationships/hyperlink" Target="https://www.niic.nsc.ru/phocadownload/publications/2025/JCR_JournalImpactFactor_2026.pdf#page=8" TargetMode="External" /><ns0:Relationship Id="journalLink2283" Type="http://schemas.openxmlformats.org/officeDocument/2006/relationships/hyperlink" Target="https://huaxue.hebtu.edu.cn/a/2025/09/23/A5A5BBD96F6B4410B87B6D4C43BDFD63.html" TargetMode="External" /><ns0:Relationship Id="journalLink2284" Type="http://schemas.openxmlformats.org/officeDocument/2006/relationships/hyperlink" Target="https://www.nature.com/nprot/" TargetMode="External" /><ns0:Relationship Id="journalLink2285" Type="http://schemas.openxmlformats.org/officeDocument/2006/relationships/hyperlink" Target="https://openalex.org/S109387254" TargetMode="External" /><ns0:Relationship Id="journalLink2286" Type="http://schemas.openxmlformats.org/officeDocument/2006/relationships/hyperlink" Target="https://www.niic.nsc.ru/phocadownload/publications/2025/JCR_JournalImpactFactor_2026.pdf#page=11" TargetMode="External" /><ns0:Relationship Id="journalLink2287" Type="http://schemas.openxmlformats.org/officeDocument/2006/relationships/hyperlink" Target="https://huaxue.hebtu.edu.cn/a/2025/09/23/A5A5BBD96F6B4410B87B6D4C43BDFD63.html" TargetMode="External" /><ns0:Relationship Id="journalLink2288" Type="http://schemas.openxmlformats.org/officeDocument/2006/relationships/hyperlink" Target="http://nar.oxfordjournals.org/" TargetMode="External" /><ns0:Relationship Id="journalLink2289" Type="http://schemas.openxmlformats.org/officeDocument/2006/relationships/hyperlink" Target="https://openalex.org/S134668137" TargetMode="External" /><ns0:Relationship Id="journalLink2290" Type="http://schemas.openxmlformats.org/officeDocument/2006/relationships/hyperlink" Target="https://www.niic.nsc.ru/phocadownload/publications/2025/JCR_JournalImpactFactor_2026.pdf#page=44" TargetMode="External" /><ns0:Relationship Id="journalLink2291" Type="http://schemas.openxmlformats.org/officeDocument/2006/relationships/hyperlink" Target="https://huaxue.hebtu.edu.cn/a/2025/09/23/A5A5BBD96F6B4410B87B6D4C43BDFD63.html" TargetMode="External" /><ns0:Relationship Id="journalLink2292" Type="http://schemas.openxmlformats.org/officeDocument/2006/relationships/hyperlink" Target="https://www.journals.elsevier.com/genomics-proteomics-and-bioinformatics" TargetMode="External" /><ns0:Relationship Id="journalLink2293" Type="http://schemas.openxmlformats.org/officeDocument/2006/relationships/hyperlink" Target="https://openalex.org/S155547894" TargetMode="External" /><ns0:Relationship Id="journalLink2294" Type="http://schemas.openxmlformats.org/officeDocument/2006/relationships/hyperlink" Target="https://www.niic.nsc.ru/phocadownload/publications/2025/JCR_JournalImpactFactor_2026.pdf#page=43" TargetMode="External" /><ns0:Relationship Id="journalLink2295" Type="http://schemas.openxmlformats.org/officeDocument/2006/relationships/hyperlink" Target="https://huaxue.hebtu.edu.cn/a/2025/09/23/A5A5BBD96F6B4410B87B6D4C43BDFD63.html" TargetMode="External" /><ns0:Relationship Id="journalLink2296" Type="http://schemas.openxmlformats.org/officeDocument/2006/relationships/hyperlink" Target="http://bib.oxfordjournals.org/" TargetMode="External" /><ns0:Relationship Id="journalLink2297" Type="http://schemas.openxmlformats.org/officeDocument/2006/relationships/hyperlink" Target="https://openalex.org/S91767247" TargetMode="External" /><ns0:Relationship Id="journalLink2298" Type="http://schemas.openxmlformats.org/officeDocument/2006/relationships/hyperlink" Target="https://www.niic.nsc.ru/phocadownload/publications/2025/JCR_JournalImpactFactor_2026.pdf#page=20" TargetMode="External" /><ns0:Relationship Id="journalLink2299" Type="http://schemas.openxmlformats.org/officeDocument/2006/relationships/hyperlink" Target="https://huaxue.hebtu.edu.cn/a/2025/09/23/A5A5BBD96F6B4410B87B6D4C43BDFD63.html" TargetMode="External" /><ns0:Relationship Id="journalLink2300" Type="http://schemas.openxmlformats.org/officeDocument/2006/relationships/hyperlink" Target="https://www.journals.elsevier.com/patterns" TargetMode="External" /><ns0:Relationship Id="journalLink2301" Type="http://schemas.openxmlformats.org/officeDocument/2006/relationships/hyperlink" Target="https://openalex.org/S4210198061" TargetMode="External" /><ns0:Relationship Id="journalLink2302" Type="http://schemas.openxmlformats.org/officeDocument/2006/relationships/hyperlink" Target="https://www.niic.nsc.ru/phocadownload/publications/2025/JCR_JournalImpactFactor_2026.pdf#page=56" TargetMode="External" /><ns0:Relationship Id="journalLink2303" Type="http://schemas.openxmlformats.org/officeDocument/2006/relationships/hyperlink" Target="https://huaxue.hebtu.edu.cn/a/2025/09/23/A5A5BBD96F6B4410B87B6D4C43BDFD63.html" TargetMode="External" /><ns0:Relationship Id="journalLink2304" Type="http://schemas.openxmlformats.org/officeDocument/2006/relationships/hyperlink" Target="https://www.sciencedirect.com/journal/molecular-and-cellular-proteomics" TargetMode="External" /><ns0:Relationship Id="journalLink2305" Type="http://schemas.openxmlformats.org/officeDocument/2006/relationships/hyperlink" Target="https://openalex.org/S104550190" TargetMode="External" /><ns0:Relationship Id="journalLink2306" Type="http://schemas.openxmlformats.org/officeDocument/2006/relationships/hyperlink" Target="https://www.niic.nsc.ru/phocadownload/publications/2025/JCR_JournalImpactFactor_2026.pdf#page=72" TargetMode="External" /><ns0:Relationship Id="journalLink2307" Type="http://schemas.openxmlformats.org/officeDocument/2006/relationships/hyperlink" Target="https://huaxue.hebtu.edu.cn/a/2025/09/23/A5A5BBD96F6B4410B87B6D4C43BDFD63.html" TargetMode="External" /><ns0:Relationship Id="journalLink2308" Type="http://schemas.openxmlformats.org/officeDocument/2006/relationships/hyperlink" Target="http://www.biology-direct.com/" TargetMode="External" /><ns0:Relationship Id="journalLink2309" Type="http://schemas.openxmlformats.org/officeDocument/2006/relationships/hyperlink" Target="https://openalex.org/S42110715" TargetMode="External" /><ns0:Relationship Id="journalLink2310" Type="http://schemas.openxmlformats.org/officeDocument/2006/relationships/hyperlink" Target="https://www.niic.nsc.ru/phocadownload/publications/2025/JCR_JournalImpactFactor_2026.pdf#page=75" TargetMode="External" /><ns0:Relationship Id="journalLink2311" Type="http://schemas.openxmlformats.org/officeDocument/2006/relationships/hyperlink" Target="https://huaxue.hebtu.edu.cn/a/2025/09/23/A5A5BBD96F6B4410B87B6D4C43BDFD63.html" TargetMode="External" /><ns0:Relationship Id="journalLink2312" Type="http://schemas.openxmlformats.org/officeDocument/2006/relationships/hyperlink" Target="http://www.biomedcentral.com/bmcbiol/" TargetMode="External" /><ns0:Relationship Id="journalLink2313" Type="http://schemas.openxmlformats.org/officeDocument/2006/relationships/hyperlink" Target="https://openalex.org/S25903957" TargetMode="External" /><ns0:Relationship Id="journalLink2314" Type="http://schemas.openxmlformats.org/officeDocument/2006/relationships/hyperlink" Target="https://www.niic.nsc.ru/phocadownload/publications/2025/JCR_JournalImpactFactor_2026.pdf#page=231" TargetMode="External" /><ns0:Relationship Id="journalLink2315" Type="http://schemas.openxmlformats.org/officeDocument/2006/relationships/hyperlink" Target="https://huaxue.hebtu.edu.cn/a/2025/09/23/A5A5BBD96F6B4410B87B6D4C43BDFD63.html" TargetMode="External" /><ns0:Relationship Id="journalLink2316" Type="http://schemas.openxmlformats.org/officeDocument/2006/relationships/hyperlink" Target="http://www.nature.com/hdy/" TargetMode="External" /><ns0:Relationship Id="journalLink2317" Type="http://schemas.openxmlformats.org/officeDocument/2006/relationships/hyperlink" Target="https://openalex.org/S99462834" TargetMode="External" /><ns0:Relationship Id="journalLink2318" Type="http://schemas.openxmlformats.org/officeDocument/2006/relationships/hyperlink" Target="https://www.niic.nsc.ru/phocadownload/publications/2025/JCR_JournalImpactFactor_2026.pdf#page=130" TargetMode="External" /><ns0:Relationship Id="journalLink2319" Type="http://schemas.openxmlformats.org/officeDocument/2006/relationships/hyperlink" Target="https://huaxue.hebtu.edu.cn/a/2025/09/23/A5A5BBD96F6B4410B87B6D4C43BDFD63.html" TargetMode="External" /><ns0:Relationship Id="journalLink2320" Type="http://schemas.openxmlformats.org/officeDocument/2006/relationships/hyperlink" Target="https://bmcgenomics.biomedcentral.com/" TargetMode="External" /><ns0:Relationship Id="journalLink2321" Type="http://schemas.openxmlformats.org/officeDocument/2006/relationships/hyperlink" Target="https://openalex.org/S28614077" TargetMode="External" /><ns0:Relationship Id="journalLink2322" Type="http://schemas.openxmlformats.org/officeDocument/2006/relationships/hyperlink" Target="https://www.niic.nsc.ru/phocadownload/publications/2025/JCR_JournalImpactFactor_2026.pdf#page=130" TargetMode="External" /><ns0:Relationship Id="journalLink2323" Type="http://schemas.openxmlformats.org/officeDocument/2006/relationships/hyperlink" Target="https://huaxue.hebtu.edu.cn/a/2025/09/23/A5A5BBD96F6B4410B87B6D4C43BDFD63.html" TargetMode="External" /><ns0:Relationship Id="journalLink2324" Type="http://schemas.openxmlformats.org/officeDocument/2006/relationships/hyperlink" Target="http://www.plosgenetics.org/" TargetMode="External" /><ns0:Relationship Id="journalLink2325" Type="http://schemas.openxmlformats.org/officeDocument/2006/relationships/hyperlink" Target="https://openalex.org/S103870658" TargetMode="External" /><ns0:Relationship Id="journalLink2326" Type="http://schemas.openxmlformats.org/officeDocument/2006/relationships/hyperlink" Target="https://www.niic.nsc.ru/phocadownload/publications/2025/JCR_JournalImpactFactor_2026.pdf#page=136" TargetMode="External" /><ns0:Relationship Id="journalLink2327" Type="http://schemas.openxmlformats.org/officeDocument/2006/relationships/hyperlink" Target="https://huaxue.hebtu.edu.cn/a/2025/09/23/A5A5BBD96F6B4410B87B6D4C43BDFD63.html" TargetMode="External" /><ns0:Relationship Id="journalLink2328" Type="http://schemas.openxmlformats.org/officeDocument/2006/relationships/hyperlink" Target="http://pubs.acs.org/journal/jprobs" TargetMode="External" /><ns0:Relationship Id="journalLink2329" Type="http://schemas.openxmlformats.org/officeDocument/2006/relationships/hyperlink" Target="https://openalex.org/S74367812" TargetMode="External" /><ns0:Relationship Id="journalLink2330" Type="http://schemas.openxmlformats.org/officeDocument/2006/relationships/hyperlink" Target="https://www.niic.nsc.ru/phocadownload/publications/2025/JCR_JournalImpactFactor_2026.pdf#page=190" TargetMode="External" /><ns0:Relationship Id="journalLink2331" Type="http://schemas.openxmlformats.org/officeDocument/2006/relationships/hyperlink" Target="https://huaxue.hebtu.edu.cn/a/2025/09/23/A5A5BBD96F6B4410B87B6D4C43BDFD63.html" TargetMode="External" /><ns0:Relationship Id="journalLink2332" Type="http://schemas.openxmlformats.org/officeDocument/2006/relationships/hyperlink" Target="http://rsob.royalsocietypublishing.org/" TargetMode="External" /><ns0:Relationship Id="journalLink2333" Type="http://schemas.openxmlformats.org/officeDocument/2006/relationships/hyperlink" Target="https://openalex.org/S80033963" TargetMode="External" /><ns0:Relationship Id="journalLink2334" Type="http://schemas.openxmlformats.org/officeDocument/2006/relationships/hyperlink" Target="https://www.niic.nsc.ru/phocadownload/publications/2025/JCR_JournalImpactFactor_2026.pdf#page=141" TargetMode="External" /><ns0:Relationship Id="journalLink2335" Type="http://schemas.openxmlformats.org/officeDocument/2006/relationships/hyperlink" Target="https://huaxue.hebtu.edu.cn/a/2025/09/23/A5A5BBD96F6B4410B87B6D4C43BDFD63.html" TargetMode="External" /><ns0:Relationship Id="journalLink2336" Type="http://schemas.openxmlformats.org/officeDocument/2006/relationships/hyperlink" Target="http://journals.plos.org/ploscompbiol/" TargetMode="External" /><ns0:Relationship Id="journalLink2337" Type="http://schemas.openxmlformats.org/officeDocument/2006/relationships/hyperlink" Target="https://openalex.org/S86033158" TargetMode="External" /><ns0:Relationship Id="journalLink2338" Type="http://schemas.openxmlformats.org/officeDocument/2006/relationships/hyperlink" Target="https://www.niic.nsc.ru/phocadownload/publications/2025/JCR_JournalImpactFactor_2026.pdf#page=147" TargetMode="External" /><ns0:Relationship Id="journalLink2339" Type="http://schemas.openxmlformats.org/officeDocument/2006/relationships/hyperlink" Target="https://huaxue.hebtu.edu.cn/a/2025/09/23/A5A5BBD96F6B4410B87B6D4C43BDFD63.html" TargetMode="External" /><ns0:Relationship Id="journalLink2340" Type="http://schemas.openxmlformats.org/officeDocument/2006/relationships/hyperlink" Target="https://royalsocietypublishing.org/journal/rspb" TargetMode="External" /><ns0:Relationship Id="journalLink2341" Type="http://schemas.openxmlformats.org/officeDocument/2006/relationships/hyperlink" Target="https://openalex.org/S3006207977" TargetMode="External" /><ns0:Relationship Id="journalLink2342" Type="http://schemas.openxmlformats.org/officeDocument/2006/relationships/hyperlink" Target="https://www.niic.nsc.ru/phocadownload/publications/2025/JCR_JournalImpactFactor_2026.pdf#page=107" TargetMode="External" /><ns0:Relationship Id="journalLink2343" Type="http://schemas.openxmlformats.org/officeDocument/2006/relationships/hyperlink" Target="https://huaxue.hebtu.edu.cn/a/2025/09/23/A5A5BBD96F6B4410B87B6D4C43BDFD63.html" TargetMode="External" /><ns0:Relationship Id="journalLink2344" Type="http://schemas.openxmlformats.org/officeDocument/2006/relationships/hyperlink" Target="https://www.nature.com/npjsba/" TargetMode="External" /><ns0:Relationship Id="journalLink2345" Type="http://schemas.openxmlformats.org/officeDocument/2006/relationships/hyperlink" Target="https://openalex.org/S4210213125" TargetMode="External" /><ns0:Relationship Id="journalLink2346" Type="http://schemas.openxmlformats.org/officeDocument/2006/relationships/hyperlink" Target="https://www.niic.nsc.ru/phocadownload/publications/2025/JCR_JournalImpactFactor_2026.pdf#page=177" TargetMode="External" /><ns0:Relationship Id="journalLink2347" Type="http://schemas.openxmlformats.org/officeDocument/2006/relationships/hyperlink" Target="https://huaxue.hebtu.edu.cn/a/2025/09/23/A5A5BBD96F6B4410B87B6D4C43BDFD63.html" TargetMode="External" /><ns0:Relationship Id="journalLink2348" Type="http://schemas.openxmlformats.org/officeDocument/2006/relationships/hyperlink" Target="https://onlinelibrary.wiley.com/journal/17524571" TargetMode="External" /><ns0:Relationship Id="journalLink2349" Type="http://schemas.openxmlformats.org/officeDocument/2006/relationships/hyperlink" Target="https://openalex.org/S140378306" TargetMode="External" /><ns0:Relationship Id="journalLink2350" Type="http://schemas.openxmlformats.org/officeDocument/2006/relationships/hyperlink" Target="https://www.niic.nsc.ru/phocadownload/publications/2025/JCR_JournalImpactFactor_2026.pdf#page=125" TargetMode="External" /><ns0:Relationship Id="journalLink2351" Type="http://schemas.openxmlformats.org/officeDocument/2006/relationships/hyperlink" Target="https://huaxue.hebtu.edu.cn/a/2025/09/23/A5A5BBD96F6B4410B87B6D4C43BDFD63.html" TargetMode="External" /><ns0:Relationship Id="journalLink2352" Type="http://schemas.openxmlformats.org/officeDocument/2006/relationships/hyperlink" Target="https://www.springer.com/journal/10142" TargetMode="External" /><ns0:Relationship Id="journalLink2353" Type="http://schemas.openxmlformats.org/officeDocument/2006/relationships/hyperlink" Target="https://openalex.org/S205083708" TargetMode="External" /><ns0:Relationship Id="journalLink2354" Type="http://schemas.openxmlformats.org/officeDocument/2006/relationships/hyperlink" Target="https://www.niic.nsc.ru/phocadownload/publications/2025/JCR_JournalImpactFactor_2026.pdf#page=222" TargetMode="External" /><ns0:Relationship Id="journalLink2355" Type="http://schemas.openxmlformats.org/officeDocument/2006/relationships/hyperlink" Target="https://huaxue.hebtu.edu.cn/a/2025/09/23/A5A5BBD96F6B4410B87B6D4C43BDFD63.html" TargetMode="External" /><ns0:Relationship Id="journalLink2356" Type="http://schemas.openxmlformats.org/officeDocument/2006/relationships/hyperlink" Target="http://rsbl.royalsocietypublishing.org/" TargetMode="External" /><ns0:Relationship Id="journalLink2357" Type="http://schemas.openxmlformats.org/officeDocument/2006/relationships/hyperlink" Target="https://openalex.org/S153317304" TargetMode="External" /><ns0:Relationship Id="journalLink2358" Type="http://schemas.openxmlformats.org/officeDocument/2006/relationships/hyperlink" Target="https://www.niic.nsc.ru/phocadownload/publications/2025/JCR_JournalImpactFactor_2026.pdf#page=148" TargetMode="External" /><ns0:Relationship Id="journalLink2359" Type="http://schemas.openxmlformats.org/officeDocument/2006/relationships/hyperlink" Target="https://huaxue.hebtu.edu.cn/a/2025/09/23/A5A5BBD96F6B4410B87B6D4C43BDFD63.html" TargetMode="External" /><ns0:Relationship Id="journalLink2360" Type="http://schemas.openxmlformats.org/officeDocument/2006/relationships/hyperlink" Target="http://www.journals.elsevier.com/genomics" TargetMode="External" /><ns0:Relationship Id="journalLink2361" Type="http://schemas.openxmlformats.org/officeDocument/2006/relationships/hyperlink" Target="https://openalex.org/S146035217" TargetMode="External" /><ns0:Relationship Id="journalLink2362" Type="http://schemas.openxmlformats.org/officeDocument/2006/relationships/hyperlink" Target="https://www.niic.nsc.ru/phocadownload/publications/2025/JCR_JournalImpactFactor_2026.pdf#page=211" TargetMode="External" /><ns0:Relationship Id="journalLink2363" Type="http://schemas.openxmlformats.org/officeDocument/2006/relationships/hyperlink" Target="https://huaxue.hebtu.edu.cn/a/2025/09/23/A5A5BBD96F6B4410B87B6D4C43BDFD63.html" TargetMode="External" /><ns0:Relationship Id="journalLink2364" Type="http://schemas.openxmlformats.org/officeDocument/2006/relationships/hyperlink" Target="http://dnaresearch.oxfordjournals.org/" TargetMode="External" /><ns0:Relationship Id="journalLink2365" Type="http://schemas.openxmlformats.org/officeDocument/2006/relationships/hyperlink" Target="https://openalex.org/S143387647" TargetMode="External" /><ns0:Relationship Id="journalLink2366" Type="http://schemas.openxmlformats.org/officeDocument/2006/relationships/hyperlink" Target="https://www.niic.nsc.ru/phocadownload/publications/2025/JCR_JournalImpactFactor_2026.pdf#page=194" TargetMode="External" /><ns0:Relationship Id="journalLink2367" Type="http://schemas.openxmlformats.org/officeDocument/2006/relationships/hyperlink" Target="https://huaxue.hebtu.edu.cn/a/2025/09/23/A5A5BBD96F6B4410B87B6D4C43BDFD63.html" TargetMode="External" /><ns0:Relationship Id="journalLink2368" Type="http://schemas.openxmlformats.org/officeDocument/2006/relationships/hyperlink" Target="https://academic.oup.com/evolut" TargetMode="External" /><ns0:Relationship Id="journalLink2369" Type="http://schemas.openxmlformats.org/officeDocument/2006/relationships/hyperlink" Target="https://openalex.org/S87560609" TargetMode="External" /><ns0:Relationship Id="journalLink2370" Type="http://schemas.openxmlformats.org/officeDocument/2006/relationships/hyperlink" Target="https://www.niic.nsc.ru/phocadownload/publications/2025/JCR_JournalImpactFactor_2026.pdf#page=72" TargetMode="External" /><ns0:Relationship Id="journalLink2371" Type="http://schemas.openxmlformats.org/officeDocument/2006/relationships/hyperlink" Target="https://huaxue.hebtu.edu.cn/a/2025/09/23/A5A5BBD96F6B4410B87B6D4C43BDFD63.html" TargetMode="External" /><ns0:Relationship Id="journalLink2372" Type="http://schemas.openxmlformats.org/officeDocument/2006/relationships/hyperlink" Target="http://bioinformatics.oxfordjournals.org/" TargetMode="External" /><ns0:Relationship Id="journalLink2373" Type="http://schemas.openxmlformats.org/officeDocument/2006/relationships/hyperlink" Target="https://openalex.org/S52395412" TargetMode="External" /><ns0:Relationship Id="journalLink2374" Type="http://schemas.openxmlformats.org/officeDocument/2006/relationships/hyperlink" Target="https://www.niic.nsc.ru/phocadownload/publications/2025/JCR_JournalImpactFactor_2026.pdf#page=54" TargetMode="External" /><ns0:Relationship Id="journalLink2375" Type="http://schemas.openxmlformats.org/officeDocument/2006/relationships/hyperlink" Target="https://huaxue.hebtu.edu.cn/a/2025/09/23/A5A5BBD96F6B4410B87B6D4C43BDFD63.html" TargetMode="External" /><ns0:Relationship Id="journalLink2376" Type="http://schemas.openxmlformats.org/officeDocument/2006/relationships/hyperlink" Target="http://www.genetics.org/" TargetMode="External" /><ns0:Relationship Id="journalLink2377" Type="http://schemas.openxmlformats.org/officeDocument/2006/relationships/hyperlink" Target="https://openalex.org/S65932378" TargetMode="External" /><ns0:Relationship Id="journalLink2378" Type="http://schemas.openxmlformats.org/officeDocument/2006/relationships/hyperlink" Target="https://www.niic.nsc.ru/phocadownload/publications/2025/JCR_JournalImpactFactor_2026.pdf#page=92" TargetMode="External" /><ns0:Relationship Id="journalLink2379" Type="http://schemas.openxmlformats.org/officeDocument/2006/relationships/hyperlink" Target="https://huaxue.hebtu.edu.cn/a/2025/09/23/A5A5BBD96F6B4410B87B6D4C43BDFD63.html" TargetMode="External" /><ns0:Relationship Id="journalLink2380" Type="http://schemas.openxmlformats.org/officeDocument/2006/relationships/hyperlink" Target="https://www.journals.elsevier.com/computational-and-structural-biotechnology-journal" TargetMode="External" /><ns0:Relationship Id="journalLink2381" Type="http://schemas.openxmlformats.org/officeDocument/2006/relationships/hyperlink" Target="https://openalex.org/S2764539591" TargetMode="External" /><ns0:Relationship Id="journalLink2382" Type="http://schemas.openxmlformats.org/officeDocument/2006/relationships/hyperlink" Target="https://www.niic.nsc.ru/phocadownload/publications/2025/JCR_JournalImpactFactor_2026.pdf#page=122" TargetMode="External" /><ns0:Relationship Id="journalLink2383" Type="http://schemas.openxmlformats.org/officeDocument/2006/relationships/hyperlink" Target="https://huaxue.hebtu.edu.cn/a/2025/09/23/A5A5BBD96F6B4410B87B6D4C43BDFD63.html" TargetMode="External" /><ns0:Relationship Id="journalLink2384" Type="http://schemas.openxmlformats.org/officeDocument/2006/relationships/hyperlink" Target="http://onlinelibrary.wiley.com/journal/10.1002/%28ISSN%291615-9861" TargetMode="External" /><ns0:Relationship Id="journalLink2385" Type="http://schemas.openxmlformats.org/officeDocument/2006/relationships/hyperlink" Target="https://openalex.org/S182655450" TargetMode="External" /><ns0:Relationship Id="journalLink2386" Type="http://schemas.openxmlformats.org/officeDocument/2006/relationships/hyperlink" Target="https://www.niic.nsc.ru/phocadownload/publications/2025/JCR_JournalImpactFactor_2026.pdf#page=235" TargetMode="External" /><ns0:Relationship Id="journalLink2387" Type="http://schemas.openxmlformats.org/officeDocument/2006/relationships/hyperlink" Target="https://huaxue.hebtu.edu.cn/a/2025/09/23/A5A5BBD96F6B4410B87B6D4C43BDFD63.html" TargetMode="External" /><ns0:Relationship Id="journalLink2388" Type="http://schemas.openxmlformats.org/officeDocument/2006/relationships/hyperlink" Target="https://www.springer.com/journal/10577" TargetMode="External" /><ns0:Relationship Id="journalLink2389" Type="http://schemas.openxmlformats.org/officeDocument/2006/relationships/hyperlink" Target="https://openalex.org/S141144868" TargetMode="External" /><ns0:Relationship Id="journalLink2390" Type="http://schemas.openxmlformats.org/officeDocument/2006/relationships/hyperlink" Target="https://www.niic.nsc.ru/phocadownload/publications/2025/JCR_JournalImpactFactor_2026.pdf#page=223" TargetMode="External" /><ns0:Relationship Id="journalLink2391" Type="http://schemas.openxmlformats.org/officeDocument/2006/relationships/hyperlink" Target="https://huaxue.hebtu.edu.cn/a/2025/09/23/A5A5BBD96F6B4410B87B6D4C43BDFD63.html" TargetMode="External" /><ns0:Relationship Id="journalLink2392" Type="http://schemas.openxmlformats.org/officeDocument/2006/relationships/hyperlink" Target="http://www.elsevier.com/wps/find/journaldescription.cws_home/506033/description" TargetMode="External" /><ns0:Relationship Id="journalLink2393" Type="http://schemas.openxmlformats.org/officeDocument/2006/relationships/hyperlink" Target="https://openalex.org/S75702506" TargetMode="External" /><ns0:Relationship Id="journalLink2394" Type="http://schemas.openxmlformats.org/officeDocument/2006/relationships/hyperlink" Target="https://www.niic.nsc.ru/phocadownload/publications/2025/JCR_JournalImpactFactor_2026.pdf#page=249" TargetMode="External" /><ns0:Relationship Id="journalLink2395" Type="http://schemas.openxmlformats.org/officeDocument/2006/relationships/hyperlink" Target="https://huaxue.hebtu.edu.cn/a/2025/09/23/A5A5BBD96F6B4410B87B6D4C43BDFD63.html" TargetMode="External" /><ns0:Relationship Id="journalLink2396" Type="http://schemas.openxmlformats.org/officeDocument/2006/relationships/hyperlink" Target="https://link.springer.com/journal/412" TargetMode="External" /><ns0:Relationship Id="journalLink2397" Type="http://schemas.openxmlformats.org/officeDocument/2006/relationships/hyperlink" Target="https://openalex.org/S104451582" TargetMode="External" /><ns0:Relationship Id="journalLink2398" Type="http://schemas.openxmlformats.org/officeDocument/2006/relationships/hyperlink" Target="https://www.niic.nsc.ru/phocadownload/publications/2025/JCR_JournalImpactFactor_2026.pdf#page=273" TargetMode="External" /><ns0:Relationship Id="journalLink2399" Type="http://schemas.openxmlformats.org/officeDocument/2006/relationships/hyperlink" Target="https://huaxue.hebtu.edu.cn/a/2025/09/23/A5A5BBD96F6B4410B87B6D4C43BDFD63.html" TargetMode="External" /><ns0:Relationship Id="journalLink2400" Type="http://schemas.openxmlformats.org/officeDocument/2006/relationships/hyperlink" Target="https://academic.oup.com/jeb" TargetMode="External" /><ns0:Relationship Id="journalLink2401" Type="http://schemas.openxmlformats.org/officeDocument/2006/relationships/hyperlink" Target="https://openalex.org/S138169916" TargetMode="External" /><ns0:Relationship Id="journalLink2402" Type="http://schemas.openxmlformats.org/officeDocument/2006/relationships/hyperlink" Target="https://www.niic.nsc.ru/phocadownload/publications/2025/JCR_JournalImpactFactor_2026.pdf#page=286" TargetMode="External" /><ns0:Relationship Id="journalLink2403" Type="http://schemas.openxmlformats.org/officeDocument/2006/relationships/hyperlink" Target="https://huaxue.hebtu.edu.cn/a/2025/09/23/A5A5BBD96F6B4410B87B6D4C43BDFD63.html" TargetMode="External" /><ns0:Relationship Id="journalLink2404" Type="http://schemas.openxmlformats.org/officeDocument/2006/relationships/hyperlink" Target="https://link.springer.com/journal/438" TargetMode="External" /><ns0:Relationship Id="journalLink2405" Type="http://schemas.openxmlformats.org/officeDocument/2006/relationships/hyperlink" Target="https://openalex.org/S129324922" TargetMode="External" /><ns0:Relationship Id="journalLink2406" Type="http://schemas.openxmlformats.org/officeDocument/2006/relationships/hyperlink" Target="https://www.niic.nsc.ru/phocadownload/publications/2025/JCR_JournalImpactFactor_2026.pdf#page=261" TargetMode="External" /><ns0:Relationship Id="journalLink2407" Type="http://schemas.openxmlformats.org/officeDocument/2006/relationships/hyperlink" Target="https://huaxue.hebtu.edu.cn/a/2025/09/23/A5A5BBD96F6B4410B87B6D4C43BDFD63.html" TargetMode="External" /><ns0:Relationship Id="journalLink2408" Type="http://schemas.openxmlformats.org/officeDocument/2006/relationships/hyperlink" Target="https://www.springer.com/journal/10592" TargetMode="External" /><ns0:Relationship Id="journalLink2409" Type="http://schemas.openxmlformats.org/officeDocument/2006/relationships/hyperlink" Target="https://openalex.org/S176933442" TargetMode="External" /><ns0:Relationship Id="journalLink2410" Type="http://schemas.openxmlformats.org/officeDocument/2006/relationships/hyperlink" Target="https://www.niic.nsc.ru/phocadownload/publications/2025/JCR_JournalImpactFactor_2026.pdf#page=374" TargetMode="External" /><ns0:Relationship Id="journalLink2411" Type="http://schemas.openxmlformats.org/officeDocument/2006/relationships/hyperlink" Target="https://huaxue.hebtu.edu.cn/a/2025/09/23/A5A5BBD96F6B4410B87B6D4C43BDFD63.html" TargetMode="External" /><ns0:Relationship Id="journalLink2412" Type="http://schemas.openxmlformats.org/officeDocument/2006/relationships/hyperlink" Target="http://onlinelibrary.wiley.com/journal/10.1111/(ISSN)1095-8312" TargetMode="External" /><ns0:Relationship Id="journalLink2413" Type="http://schemas.openxmlformats.org/officeDocument/2006/relationships/hyperlink" Target="https://openalex.org/S98424699" TargetMode="External" /><ns0:Relationship Id="journalLink2414" Type="http://schemas.openxmlformats.org/officeDocument/2006/relationships/hyperlink" Target="https://www.niic.nsc.ru/phocadownload/publications/2025/JCR_JournalImpactFactor_2026.pdf#page=222" TargetMode="External" /><ns0:Relationship Id="journalLink2415" Type="http://schemas.openxmlformats.org/officeDocument/2006/relationships/hyperlink" Target="https://huaxue.hebtu.edu.cn/a/2025/09/23/A5A5BBD96F6B4410B87B6D4C43BDFD63.html" TargetMode="External" /><ns0:Relationship Id="journalLink2416" Type="http://schemas.openxmlformats.org/officeDocument/2006/relationships/hyperlink" Target="https://academic.oup.com/database" TargetMode="External" /><ns0:Relationship Id="journalLink2417" Type="http://schemas.openxmlformats.org/officeDocument/2006/relationships/hyperlink" Target="https://openalex.org/S4210201630" TargetMode="External" /><ns0:Relationship Id="journalLink2418" Type="http://schemas.openxmlformats.org/officeDocument/2006/relationships/hyperlink" Target="https://www.niic.nsc.ru/phocadownload/publications/2025/JCR_JournalImpactFactor_2026.pdf#page=107" TargetMode="External" /><ns0:Relationship Id="journalLink2419" Type="http://schemas.openxmlformats.org/officeDocument/2006/relationships/hyperlink" Target="https://huaxue.hebtu.edu.cn/a/2025/09/23/A5A5BBD96F6B4410B87B6D4C43BDFD63.html" TargetMode="External" /><ns0:Relationship Id="journalLink2420" Type="http://schemas.openxmlformats.org/officeDocument/2006/relationships/hyperlink" Target="http://www.biomedcentral.com/bmcbioinformatics/" TargetMode="External" /><ns0:Relationship Id="journalLink2421" Type="http://schemas.openxmlformats.org/officeDocument/2006/relationships/hyperlink" Target="https://openalex.org/S19032547" TargetMode="External" /><ns0:Relationship Id="journalLink2422" Type="http://schemas.openxmlformats.org/officeDocument/2006/relationships/hyperlink" Target="https://www.niic.nsc.ru/phocadownload/publications/2025/JCR_JournalImpactFactor_2026.pdf#page=236" TargetMode="External" /><ns0:Relationship Id="journalLink2423" Type="http://schemas.openxmlformats.org/officeDocument/2006/relationships/hyperlink" Target="https://huaxue.hebtu.edu.cn/a/2025/09/23/A5A5BBD96F6B4410B87B6D4C43BDFD63.html" TargetMode="External" /><ns0:Relationship Id="journalLink2424" Type="http://schemas.openxmlformats.org/officeDocument/2006/relationships/hyperlink" Target="http://www.springerlink.com/content/0938-8990" TargetMode="External" /><ns0:Relationship Id="journalLink2425" Type="http://schemas.openxmlformats.org/officeDocument/2006/relationships/hyperlink" Target="https://openalex.org/S197264859" TargetMode="External" /><ns0:Relationship Id="journalLink2426" Type="http://schemas.openxmlformats.org/officeDocument/2006/relationships/hyperlink" Target="https://www.niic.nsc.ru/phocadownload/publications/2025/JCR_JournalImpactFactor_2026.pdf#page=237" TargetMode="External" /><ns0:Relationship Id="journalLink2427" Type="http://schemas.openxmlformats.org/officeDocument/2006/relationships/hyperlink" Target="https://huaxue.hebtu.edu.cn/a/2025/09/23/A5A5BBD96F6B4410B87B6D4C43BDFD63.html" TargetMode="External" /><ns0:Relationship Id="journalLink2428" Type="http://schemas.openxmlformats.org/officeDocument/2006/relationships/hyperlink" Target="http://www.liebertpub.com/DNA" TargetMode="External" /><ns0:Relationship Id="journalLink2429" Type="http://schemas.openxmlformats.org/officeDocument/2006/relationships/hyperlink" Target="https://openalex.org/S97146013" TargetMode="External" /><ns0:Relationship Id="journalLink2430" Type="http://schemas.openxmlformats.org/officeDocument/2006/relationships/hyperlink" Target="https://www.niic.nsc.ru/phocadownload/publications/2025/JCR_JournalImpactFactor_2026.pdf#page=181" TargetMode="External" /><ns0:Relationship Id="journalLink2431" Type="http://schemas.openxmlformats.org/officeDocument/2006/relationships/hyperlink" Target="https://huaxue.hebtu.edu.cn/a/2025/09/23/A5A5BBD96F6B4410B87B6D4C43BDFD63.html" TargetMode="External" /><ns0:Relationship Id="journalLink2432" Type="http://schemas.openxmlformats.org/officeDocument/2006/relationships/hyperlink" Target="https://academic.oup.com/bfg" TargetMode="External" /><ns0:Relationship Id="journalLink2433" Type="http://schemas.openxmlformats.org/officeDocument/2006/relationships/hyperlink" Target="https://openalex.org/S159707322" TargetMode="External" /><ns0:Relationship Id="journalLink2434" Type="http://schemas.openxmlformats.org/officeDocument/2006/relationships/hyperlink" Target="https://www.niic.nsc.ru/phocadownload/publications/2025/JCR_JournalImpactFactor_2026.pdf#page=330" TargetMode="External" /><ns0:Relationship Id="journalLink2435" Type="http://schemas.openxmlformats.org/officeDocument/2006/relationships/hyperlink" Target="https://huaxue.hebtu.edu.cn/a/2025/09/23/A5A5BBD96F6B4410B87B6D4C43BDFD63.html" TargetMode="External" /><ns0:Relationship Id="journalLink2436" Type="http://schemas.openxmlformats.org/officeDocument/2006/relationships/hyperlink" Target="https://www.springer.com/journal/10528" TargetMode="External" /><ns0:Relationship Id="journalLink2437" Type="http://schemas.openxmlformats.org/officeDocument/2006/relationships/hyperlink" Target="https://openalex.org/S8388595" TargetMode="External" /><ns0:Relationship Id="journalLink2438" Type="http://schemas.openxmlformats.org/officeDocument/2006/relationships/hyperlink" Target="https://www.niic.nsc.ru/phocadownload/publications/2025/JCR_JournalImpactFactor_2026.pdf#page=376" TargetMode="External" /><ns0:Relationship Id="journalLink2439" Type="http://schemas.openxmlformats.org/officeDocument/2006/relationships/hyperlink" Target="https://huaxue.hebtu.edu.cn/a/2025/09/23/A5A5BBD96F6B4410B87B6D4C43BDFD63.html" TargetMode="External" /><ns0:Relationship Id="journalLink2440" Type="http://schemas.openxmlformats.org/officeDocument/2006/relationships/hyperlink" Target="https://gigabytejournal.com/" TargetMode="External" /><ns0:Relationship Id="journalLink2441" Type="http://schemas.openxmlformats.org/officeDocument/2006/relationships/hyperlink" Target="https://openalex.org/S4210239740" TargetMode="External" /><ns0:Relationship Id="journalLink2442" Type="http://schemas.openxmlformats.org/officeDocument/2006/relationships/hyperlink" Target="https://www.niic.nsc.ru/phocadownload/publications/2025/JCR_JournalImpactFactor_2026.pdf#page=477" TargetMode="External" /><ns0:Relationship Id="journalLink2443" Type="http://schemas.openxmlformats.org/officeDocument/2006/relationships/hyperlink" Target="https://huaxue.hebtu.edu.cn/a/2025/09/23/A5A5BBD96F6B4410B87B6D4C43BDFD63.html" TargetMode="External" /><ns0:Relationship Id="journalLink2444" Type="http://schemas.openxmlformats.org/officeDocument/2006/relationships/hyperlink" Target="http://www.springer.com/life+sci/journal/12041?detailsPage=description" TargetMode="External" /><ns0:Relationship Id="journalLink2445" Type="http://schemas.openxmlformats.org/officeDocument/2006/relationships/hyperlink" Target="https://openalex.org/S115516119" TargetMode="External" /><ns0:Relationship Id="journalLink2446" Type="http://schemas.openxmlformats.org/officeDocument/2006/relationships/hyperlink" Target="https://www.niic.nsc.ru/phocadownload/publications/2025/JCR_JournalImpactFactor_2026.pdf#page=478" TargetMode="External" /><ns0:Relationship Id="journalLink2447" Type="http://schemas.openxmlformats.org/officeDocument/2006/relationships/hyperlink" Target="https://huaxue.hebtu.edu.cn/a/2025/09/23/A5A5BBD96F6B4410B87B6D4C43BDFD63.html" TargetMode="External" /><ns0:Relationship Id="journalLink2448" Type="http://schemas.openxmlformats.org/officeDocument/2006/relationships/hyperlink" Target="https://link.springer.com/journal/12686" TargetMode="External" /><ns0:Relationship Id="journalLink2449" Type="http://schemas.openxmlformats.org/officeDocument/2006/relationships/hyperlink" Target="https://openalex.org/S147353869" TargetMode="External" /><ns0:Relationship Id="journalLink2450" Type="http://schemas.openxmlformats.org/officeDocument/2006/relationships/hyperlink" Target="https://www.niic.nsc.ru/phocadownload/publications/2025/JCR_JournalImpactFactor_2026.pdf#page=1" TargetMode="External" /><ns0:Relationship Id="journalLink2451" Type="http://schemas.openxmlformats.org/officeDocument/2006/relationships/hyperlink" Target="https://huaxue.hebtu.edu.cn/a/2025/09/23/A5A5BBD96F6B4410B87B6D4C43BDFD63.html" TargetMode="External" /><ns0:Relationship Id="journalLink2452" Type="http://schemas.openxmlformats.org/officeDocument/2006/relationships/hyperlink" Target="https://www.nature.com/nrd/" TargetMode="External" /><ns0:Relationship Id="journalLink2453" Type="http://schemas.openxmlformats.org/officeDocument/2006/relationships/hyperlink" Target="https://openalex.org/S186543748" TargetMode="External" /><ns0:Relationship Id="journalLink2454" Type="http://schemas.openxmlformats.org/officeDocument/2006/relationships/hyperlink" Target="https://www.niic.nsc.ru/phocadownload/publications/2025/JCR_JournalImpactFactor_2026.pdf#page=1" TargetMode="External" /><ns0:Relationship Id="journalLink2455" Type="http://schemas.openxmlformats.org/officeDocument/2006/relationships/hyperlink" Target="https://huaxue.hebtu.edu.cn/a/2025/09/23/A5A5BBD96F6B4410B87B6D4C43BDFD63.html" TargetMode="External" /><ns0:Relationship Id="journalLink2456" Type="http://schemas.openxmlformats.org/officeDocument/2006/relationships/hyperlink" Target="https://www.nature.com/nrm/" TargetMode="External" /><ns0:Relationship Id="journalLink2457" Type="http://schemas.openxmlformats.org/officeDocument/2006/relationships/hyperlink" Target="https://openalex.org/S196724125" TargetMode="External" /><ns0:Relationship Id="journalLink2458" Type="http://schemas.openxmlformats.org/officeDocument/2006/relationships/hyperlink" Target="https://www.niic.nsc.ru/phocadownload/publications/2025/JCR_JournalImpactFactor_2026.pdf#page=1" TargetMode="External" /><ns0:Relationship Id="journalLink2459" Type="http://schemas.openxmlformats.org/officeDocument/2006/relationships/hyperlink" Target="https://huaxue.hebtu.edu.cn/a/2025/09/23/A5A5BBD96F6B4410B87B6D4C43BDFD63.html" TargetMode="External" /><ns0:Relationship Id="journalLink2460" Type="http://schemas.openxmlformats.org/officeDocument/2006/relationships/hyperlink" Target="http://www.nature.com/nrclinonc" TargetMode="External" /><ns0:Relationship Id="journalLink2461" Type="http://schemas.openxmlformats.org/officeDocument/2006/relationships/hyperlink" Target="https://openalex.org/S41981144" TargetMode="External" /><ns0:Relationship Id="journalLink2462" Type="http://schemas.openxmlformats.org/officeDocument/2006/relationships/hyperlink" Target="https://www.niic.nsc.ru/phocadownload/publications/2025/JCR_JournalImpactFactor_2026.pdf#page=1" TargetMode="External" /><ns0:Relationship Id="journalLink2463" Type="http://schemas.openxmlformats.org/officeDocument/2006/relationships/hyperlink" Target="https://huaxue.hebtu.edu.cn/a/2025/09/23/A5A5BBD96F6B4410B87B6D4C43BDFD63.html" TargetMode="External" /><ns0:Relationship Id="journalLink2464" Type="http://schemas.openxmlformats.org/officeDocument/2006/relationships/hyperlink" Target="http://www.nature.com/nrc/index.html" TargetMode="External" /><ns0:Relationship Id="journalLink2465" Type="http://schemas.openxmlformats.org/officeDocument/2006/relationships/hyperlink" Target="https://openalex.org/S160464432" TargetMode="External" /><ns0:Relationship Id="journalLink2466" Type="http://schemas.openxmlformats.org/officeDocument/2006/relationships/hyperlink" Target="https://www.niic.nsc.ru/phocadownload/publications/2025/JCR_JournalImpactFactor_2026.pdf#page=2" TargetMode="External" /><ns0:Relationship Id="journalLink2467" Type="http://schemas.openxmlformats.org/officeDocument/2006/relationships/hyperlink" Target="https://huaxue.hebtu.edu.cn/a/2025/09/23/A5A5BBD96F6B4410B87B6D4C43BDFD63.html" TargetMode="External" /><ns0:Relationship Id="journalLink2468" Type="http://schemas.openxmlformats.org/officeDocument/2006/relationships/hyperlink" Target="http://www.nature.com/nrmicro/index.html" TargetMode="External" /><ns0:Relationship Id="journalLink2469" Type="http://schemas.openxmlformats.org/officeDocument/2006/relationships/hyperlink" Target="https://openalex.org/S93373720" TargetMode="External" /><ns0:Relationship Id="journalLink2470" Type="http://schemas.openxmlformats.org/officeDocument/2006/relationships/hyperlink" Target="https://www.niic.nsc.ru/phocadownload/publications/2025/JCR_JournalImpactFactor_2026.pdf#page=1" TargetMode="External" /><ns0:Relationship Id="journalLink2471" Type="http://schemas.openxmlformats.org/officeDocument/2006/relationships/hyperlink" Target="https://huaxue.hebtu.edu.cn/a/2025/09/23/A5A5BBD96F6B4410B87B6D4C43BDFD63.html" TargetMode="External" /><ns0:Relationship Id="journalLink2472" Type="http://schemas.openxmlformats.org/officeDocument/2006/relationships/hyperlink" Target="https://www.nature.com/nrdp/" TargetMode="External" /><ns0:Relationship Id="journalLink2473" Type="http://schemas.openxmlformats.org/officeDocument/2006/relationships/hyperlink" Target="https://openalex.org/S4210201506" TargetMode="External" /><ns0:Relationship Id="journalLink2474" Type="http://schemas.openxmlformats.org/officeDocument/2006/relationships/hyperlink" Target="https://www.niic.nsc.ru/phocadownload/publications/2025/JCR_JournalImpactFactor_2026.pdf#page=1" TargetMode="External" /><ns0:Relationship Id="journalLink2475" Type="http://schemas.openxmlformats.org/officeDocument/2006/relationships/hyperlink" Target="https://huaxue.hebtu.edu.cn/a/2025/09/23/A5A5BBD96F6B4410B87B6D4C43BDFD63.html" TargetMode="External" /><ns0:Relationship Id="journalLink2476" Type="http://schemas.openxmlformats.org/officeDocument/2006/relationships/hyperlink" Target="http://www.nature.com/nrgastro/" TargetMode="External" /><ns0:Relationship Id="journalLink2477" Type="http://schemas.openxmlformats.org/officeDocument/2006/relationships/hyperlink" Target="https://openalex.org/S120397320" TargetMode="External" /><ns0:Relationship Id="journalLink2478" Type="http://schemas.openxmlformats.org/officeDocument/2006/relationships/hyperlink" Target="https://www.niic.nsc.ru/phocadownload/publications/2025/JCR_JournalImpactFactor_2026.pdf#page=1" TargetMode="External" /><ns0:Relationship Id="journalLink2479" Type="http://schemas.openxmlformats.org/officeDocument/2006/relationships/hyperlink" Target="https://huaxue.hebtu.edu.cn/a/2025/09/23/A5A5BBD96F6B4410B87B6D4C43BDFD63.html" TargetMode="External" /><ns0:Relationship Id="journalLink2480" Type="http://schemas.openxmlformats.org/officeDocument/2006/relationships/hyperlink" Target="http://www.nature.com/nm/index.html" TargetMode="External" /><ns0:Relationship Id="journalLink2481" Type="http://schemas.openxmlformats.org/officeDocument/2006/relationships/hyperlink" Target="https://openalex.org/S203256638" TargetMode="External" /><ns0:Relationship Id="journalLink2482" Type="http://schemas.openxmlformats.org/officeDocument/2006/relationships/hyperlink" Target="https://www.niic.nsc.ru/phocadownload/publications/2025/JCR_JournalImpactFactor_2026.pdf#page=1" TargetMode="External" /><ns0:Relationship Id="journalLink2483" Type="http://schemas.openxmlformats.org/officeDocument/2006/relationships/hyperlink" Target="https://huaxue.hebtu.edu.cn/a/2025/09/23/A5A5BBD96F6B4410B87B6D4C43BDFD63.html" TargetMode="External" /><ns0:Relationship Id="journalLink2484" Type="http://schemas.openxmlformats.org/officeDocument/2006/relationships/hyperlink" Target="https://www.sciencedirect.com/journal/cancer-cell" TargetMode="External" /><ns0:Relationship Id="journalLink2485" Type="http://schemas.openxmlformats.org/officeDocument/2006/relationships/hyperlink" Target="https://openalex.org/S25671836" TargetMode="External" /><ns0:Relationship Id="journalLink2486" Type="http://schemas.openxmlformats.org/officeDocument/2006/relationships/hyperlink" Target="https://www.niic.nsc.ru/phocadownload/publications/2025/JCR_JournalImpactFactor_2026.pdf#page=2" TargetMode="External" /><ns0:Relationship Id="journalLink2487" Type="http://schemas.openxmlformats.org/officeDocument/2006/relationships/hyperlink" Target="https://huaxue.hebtu.edu.cn/a/2025/09/23/A5A5BBD96F6B4410B87B6D4C43BDFD63.html" TargetMode="External" /><ns0:Relationship Id="journalLink2488" Type="http://schemas.openxmlformats.org/officeDocument/2006/relationships/hyperlink" Target="http://www.nature.com/nrcardio" TargetMode="External" /><ns0:Relationship Id="journalLink2489" Type="http://schemas.openxmlformats.org/officeDocument/2006/relationships/hyperlink" Target="https://openalex.org/S62674001" TargetMode="External" /><ns0:Relationship Id="journalLink2490" Type="http://schemas.openxmlformats.org/officeDocument/2006/relationships/hyperlink" Target="https://www.niic.nsc.ru/phocadownload/publications/2025/JCR_JournalImpactFactor_2026.pdf#page=2" TargetMode="External" /><ns0:Relationship Id="journalLink2491" Type="http://schemas.openxmlformats.org/officeDocument/2006/relationships/hyperlink" Target="https://huaxue.hebtu.edu.cn/a/2025/09/23/A5A5BBD96F6B4410B87B6D4C43BDFD63.html" TargetMode="External" /><ns0:Relationship Id="journalLink2492" Type="http://schemas.openxmlformats.org/officeDocument/2006/relationships/hyperlink" Target="http://www.nature.com/nrendo/" TargetMode="External" /><ns0:Relationship Id="journalLink2493" Type="http://schemas.openxmlformats.org/officeDocument/2006/relationships/hyperlink" Target="https://openalex.org/S116269268" TargetMode="External" /><ns0:Relationship Id="journalLink2494" Type="http://schemas.openxmlformats.org/officeDocument/2006/relationships/hyperlink" Target="https://www.niic.nsc.ru/phocadownload/publications/2025/JCR_JournalImpactFactor_2026.pdf#page=2" TargetMode="External" /><ns0:Relationship Id="journalLink2495" Type="http://schemas.openxmlformats.org/officeDocument/2006/relationships/hyperlink" Target="https://huaxue.hebtu.edu.cn/a/2025/09/23/A5A5BBD96F6B4410B87B6D4C43BDFD63.html" TargetMode="External" /><ns0:Relationship Id="journalLink2496" Type="http://schemas.openxmlformats.org/officeDocument/2006/relationships/hyperlink" Target="http://www.nature.com/nrneph" TargetMode="External" /><ns0:Relationship Id="journalLink2497" Type="http://schemas.openxmlformats.org/officeDocument/2006/relationships/hyperlink" Target="https://openalex.org/S18618073" TargetMode="External" /><ns0:Relationship Id="journalLink2498" Type="http://schemas.openxmlformats.org/officeDocument/2006/relationships/hyperlink" Target="https://www.niic.nsc.ru/phocadownload/publications/2025/JCR_JournalImpactFactor_2026.pdf#page=3" TargetMode="External" /><ns0:Relationship Id="journalLink2499" Type="http://schemas.openxmlformats.org/officeDocument/2006/relationships/hyperlink" Target="https://huaxue.hebtu.edu.cn/a/2025/09/23/A5A5BBD96F6B4410B87B6D4C43BDFD63.html" TargetMode="External" /><ns0:Relationship Id="journalLink2500" Type="http://schemas.openxmlformats.org/officeDocument/2006/relationships/hyperlink" Target="https://www.journals.elsevier.com/joule" TargetMode="External" /><ns0:Relationship Id="journalLink2501" Type="http://schemas.openxmlformats.org/officeDocument/2006/relationships/hyperlink" Target="https://openalex.org/S2898305631" TargetMode="External" /><ns0:Relationship Id="journalLink2502" Type="http://schemas.openxmlformats.org/officeDocument/2006/relationships/hyperlink" Target="https://www.niic.nsc.ru/phocadownload/publications/2025/JCR_JournalImpactFactor_2026.pdf#page=3" TargetMode="External" /><ns0:Relationship Id="journalLink2503" Type="http://schemas.openxmlformats.org/officeDocument/2006/relationships/hyperlink" Target="https://huaxue.hebtu.edu.cn/a/2025/09/23/A5A5BBD96F6B4410B87B6D4C43BDFD63.html" TargetMode="External" /><ns0:Relationship Id="journalLink2504" Type="http://schemas.openxmlformats.org/officeDocument/2006/relationships/hyperlink" Target="https://www.nature.com/nrrheum/" TargetMode="External" /><ns0:Relationship Id="journalLink2505" Type="http://schemas.openxmlformats.org/officeDocument/2006/relationships/hyperlink" Target="https://openalex.org/S78310130" TargetMode="External" /><ns0:Relationship Id="journalLink2506" Type="http://schemas.openxmlformats.org/officeDocument/2006/relationships/hyperlink" Target="https://www.niic.nsc.ru/phocadownload/publications/2025/JCR_JournalImpactFactor_2026.pdf#page=3" TargetMode="External" /><ns0:Relationship Id="journalLink2507" Type="http://schemas.openxmlformats.org/officeDocument/2006/relationships/hyperlink" Target="https://huaxue.hebtu.edu.cn/a/2025/09/23/A5A5BBD96F6B4410B87B6D4C43BDFD63.html" TargetMode="External" /><ns0:Relationship Id="journalLink2508" Type="http://schemas.openxmlformats.org/officeDocument/2006/relationships/hyperlink" Target="https://www.sciencedirect.com/journal/cell-metabolism" TargetMode="External" /><ns0:Relationship Id="journalLink2509" Type="http://schemas.openxmlformats.org/officeDocument/2006/relationships/hyperlink" Target="https://openalex.org/S177533077" TargetMode="External" /><ns0:Relationship Id="journalLink2510" Type="http://schemas.openxmlformats.org/officeDocument/2006/relationships/hyperlink" Target="https://www.niic.nsc.ru/phocadownload/publications/2025/JCR_JournalImpactFactor_2026.pdf#page=4" TargetMode="External" /><ns0:Relationship Id="journalLink2511" Type="http://schemas.openxmlformats.org/officeDocument/2006/relationships/hyperlink" Target="https://huaxue.hebtu.edu.cn/a/2025/09/23/A5A5BBD96F6B4410B87B6D4C43BDFD63.html" TargetMode="External" /><ns0:Relationship Id="journalLink2512" Type="http://schemas.openxmlformats.org/officeDocument/2006/relationships/hyperlink" Target="https://www.nature.com/natcancer/" TargetMode="External" /><ns0:Relationship Id="journalLink2513" Type="http://schemas.openxmlformats.org/officeDocument/2006/relationships/hyperlink" Target="https://openalex.org/S4210236562" TargetMode="External" /><ns0:Relationship Id="journalLink2514" Type="http://schemas.openxmlformats.org/officeDocument/2006/relationships/hyperlink" Target="https://www.niic.nsc.ru/phocadownload/publications/2025/JCR_JournalImpactFactor_2026.pdf#page=4" TargetMode="External" /><ns0:Relationship Id="journalLink2515" Type="http://schemas.openxmlformats.org/officeDocument/2006/relationships/hyperlink" Target="https://huaxue.hebtu.edu.cn/a/2025/09/23/A5A5BBD96F6B4410B87B6D4C43BDFD63.html" TargetMode="External" /><ns0:Relationship Id="journalLink2516" Type="http://schemas.openxmlformats.org/officeDocument/2006/relationships/hyperlink" Target="https://www.nature.com/ni/" TargetMode="External" /><ns0:Relationship Id="journalLink2517" Type="http://schemas.openxmlformats.org/officeDocument/2006/relationships/hyperlink" Target="https://openalex.org/S41063453" TargetMode="External" /><ns0:Relationship Id="journalLink2518" Type="http://schemas.openxmlformats.org/officeDocument/2006/relationships/hyperlink" Target="https://www.niic.nsc.ru/phocadownload/publications/2025/JCR_JournalImpactFactor_2026.pdf#page=4" TargetMode="External" /><ns0:Relationship Id="journalLink2519" Type="http://schemas.openxmlformats.org/officeDocument/2006/relationships/hyperlink" Target="https://huaxue.hebtu.edu.cn/a/2025/09/23/A5A5BBD96F6B4410B87B6D4C43BDFD63.html" TargetMode="External" /><ns0:Relationship Id="journalLink2520" Type="http://schemas.openxmlformats.org/officeDocument/2006/relationships/hyperlink" Target="http://robotics.sciencemag.org/" TargetMode="External" /><ns0:Relationship Id="journalLink2521" Type="http://schemas.openxmlformats.org/officeDocument/2006/relationships/hyperlink" Target="https://openalex.org/S4210213233" TargetMode="External" /><ns0:Relationship Id="journalLink2522" Type="http://schemas.openxmlformats.org/officeDocument/2006/relationships/hyperlink" Target="https://www.niic.nsc.ru/phocadownload/publications/2025/JCR_JournalImpactFactor_2026.pdf#page=4" TargetMode="External" /><ns0:Relationship Id="journalLink2523" Type="http://schemas.openxmlformats.org/officeDocument/2006/relationships/hyperlink" Target="https://huaxue.hebtu.edu.cn/a/2025/09/23/A5A5BBD96F6B4410B87B6D4C43BDFD63.html" TargetMode="External" /><ns0:Relationship Id="journalLink2524" Type="http://schemas.openxmlformats.org/officeDocument/2006/relationships/hyperlink" Target="http://www.nature.com/nrn/" TargetMode="External" /><ns0:Relationship Id="journalLink2525" Type="http://schemas.openxmlformats.org/officeDocument/2006/relationships/hyperlink" Target="https://openalex.org/S26843219" TargetMode="External" /><ns0:Relationship Id="journalLink2526" Type="http://schemas.openxmlformats.org/officeDocument/2006/relationships/hyperlink" Target="https://www.niic.nsc.ru/phocadownload/publications/2025/JCR_JournalImpactFactor_2026.pdf#page=3" TargetMode="External" /><ns0:Relationship Id="journalLink2527" Type="http://schemas.openxmlformats.org/officeDocument/2006/relationships/hyperlink" Target="https://huaxue.hebtu.edu.cn/a/2025/09/23/A5A5BBD96F6B4410B87B6D4C43BDFD63.html" TargetMode="External" /><ns0:Relationship Id="journalLink2528" Type="http://schemas.openxmlformats.org/officeDocument/2006/relationships/hyperlink" Target="https://www.sciencedirect.com/topics/immunology-and-microbiology/immunity" TargetMode="External" /><ns0:Relationship Id="journalLink2529" Type="http://schemas.openxmlformats.org/officeDocument/2006/relationships/hyperlink" Target="https://openalex.org/S199671312" TargetMode="External" /><ns0:Relationship Id="journalLink2530" Type="http://schemas.openxmlformats.org/officeDocument/2006/relationships/hyperlink" Target="https://www.niic.nsc.ru/phocadownload/publications/2025/JCR_JournalImpactFactor_2026.pdf#page=3" TargetMode="External" /><ns0:Relationship Id="journalLink2531" Type="http://schemas.openxmlformats.org/officeDocument/2006/relationships/hyperlink" Target="https://huaxue.hebtu.edu.cn/a/2025/09/23/A5A5BBD96F6B4410B87B6D4C43BDFD63.html" TargetMode="External" /><ns0:Relationship Id="journalLink2532" Type="http://schemas.openxmlformats.org/officeDocument/2006/relationships/hyperlink" Target="http://www.cell-research.com/" TargetMode="External" /><ns0:Relationship Id="journalLink2533" Type="http://schemas.openxmlformats.org/officeDocument/2006/relationships/hyperlink" Target="https://openalex.org/S128296271" TargetMode="External" /><ns0:Relationship Id="journalLink2534" Type="http://schemas.openxmlformats.org/officeDocument/2006/relationships/hyperlink" Target="https://www.niic.nsc.ru/phocadownload/publications/2025/JCR_JournalImpactFactor_2026.pdf#page=4" TargetMode="External" /><ns0:Relationship Id="journalLink2535" Type="http://schemas.openxmlformats.org/officeDocument/2006/relationships/hyperlink" Target="https://huaxue.hebtu.edu.cn/a/2025/09/23/A5A5BBD96F6B4410B87B6D4C43BDFD63.html" TargetMode="External" /><ns0:Relationship Id="journalLink2536" Type="http://schemas.openxmlformats.org/officeDocument/2006/relationships/hyperlink" Target="https://www.nature.com/natmetab/" TargetMode="External" /><ns0:Relationship Id="journalLink2537" Type="http://schemas.openxmlformats.org/officeDocument/2006/relationships/hyperlink" Target="https://openalex.org/S4210232714" TargetMode="External" /><ns0:Relationship Id="journalLink2538" Type="http://schemas.openxmlformats.org/officeDocument/2006/relationships/hyperlink" Target="https://www.niic.nsc.ru/phocadownload/publications/2025/JCR_JournalImpactFactor_2026.pdf#page=5" TargetMode="External" /><ns0:Relationship Id="journalLink2539" Type="http://schemas.openxmlformats.org/officeDocument/2006/relationships/hyperlink" Target="https://huaxue.hebtu.edu.cn/a/2025/09/23/A5A5BBD96F6B4410B87B6D4C43BDFD63.html" TargetMode="External" /><ns0:Relationship Id="journalLink2540" Type="http://schemas.openxmlformats.org/officeDocument/2006/relationships/hyperlink" Target="http://www.cell.com/cell-stem-cell/home" TargetMode="External" /><ns0:Relationship Id="journalLink2541" Type="http://schemas.openxmlformats.org/officeDocument/2006/relationships/hyperlink" Target="https://openalex.org/S128124174" TargetMode="External" /><ns0:Relationship Id="journalLink2542" Type="http://schemas.openxmlformats.org/officeDocument/2006/relationships/hyperlink" Target="https://www.niic.nsc.ru/phocadownload/publications/2025/JCR_JournalImpactFactor_2026.pdf#page=7" TargetMode="External" /><ns0:Relationship Id="journalLink2543" Type="http://schemas.openxmlformats.org/officeDocument/2006/relationships/hyperlink" Target="https://huaxue.hebtu.edu.cn/a/2025/09/23/A5A5BBD96F6B4410B87B6D4C43BDFD63.html" TargetMode="External" /><ns0:Relationship Id="journalLink2544" Type="http://schemas.openxmlformats.org/officeDocument/2006/relationships/hyperlink" Target="http://www.nature.com/neuro/" TargetMode="External" /><ns0:Relationship Id="journalLink2545" Type="http://schemas.openxmlformats.org/officeDocument/2006/relationships/hyperlink" Target="https://openalex.org/S2298632" TargetMode="External" /><ns0:Relationship Id="journalLink2546" Type="http://schemas.openxmlformats.org/officeDocument/2006/relationships/hyperlink" Target="https://www.niic.nsc.ru/phocadownload/publications/2025/JCR_JournalImpactFactor_2026.pdf#page=5" TargetMode="External" /><ns0:Relationship Id="journalLink2547" Type="http://schemas.openxmlformats.org/officeDocument/2006/relationships/hyperlink" Target="https://huaxue.hebtu.edu.cn/a/2025/09/23/A5A5BBD96F6B4410B87B6D4C43BDFD63.html" TargetMode="External" /><ns0:Relationship Id="journalLink2548" Type="http://schemas.openxmlformats.org/officeDocument/2006/relationships/hyperlink" Target="https://www.journals.elsevier.com/trends-in-pharmacological-sciences" TargetMode="External" /><ns0:Relationship Id="journalLink2549" Type="http://schemas.openxmlformats.org/officeDocument/2006/relationships/hyperlink" Target="https://openalex.org/S31167473" TargetMode="External" /><ns0:Relationship Id="journalLink2550" Type="http://schemas.openxmlformats.org/officeDocument/2006/relationships/hyperlink" Target="https://www.niic.nsc.ru/phocadownload/publications/2025/JCR_JournalImpactFactor_2026.pdf#page=7" TargetMode="External" /><ns0:Relationship Id="journalLink2551" Type="http://schemas.openxmlformats.org/officeDocument/2006/relationships/hyperlink" Target="https://huaxue.hebtu.edu.cn/a/2025/09/23/A5A5BBD96F6B4410B87B6D4C43BDFD63.html" TargetMode="External" /><ns0:Relationship Id="journalLink2552" Type="http://schemas.openxmlformats.org/officeDocument/2006/relationships/hyperlink" Target="https://www.sciencedirect.com/journal/chem" TargetMode="External" /><ns0:Relationship Id="journalLink2553" Type="http://schemas.openxmlformats.org/officeDocument/2006/relationships/hyperlink" Target="https://openalex.org/S2898106599" TargetMode="External" /><ns0:Relationship Id="journalLink2554" Type="http://schemas.openxmlformats.org/officeDocument/2006/relationships/hyperlink" Target="https://www.niic.nsc.ru/phocadownload/publications/2025/JCR_JournalImpactFactor_2026.pdf#page=5" TargetMode="External" /><ns0:Relationship Id="journalLink2555" Type="http://schemas.openxmlformats.org/officeDocument/2006/relationships/hyperlink" Target="https://huaxue.hebtu.edu.cn/a/2025/09/23/A5A5BBD96F6B4410B87B6D4C43BDFD63.html" TargetMode="External" /><ns0:Relationship Id="journalLink2556" Type="http://schemas.openxmlformats.org/officeDocument/2006/relationships/hyperlink" Target="http://www.nature.com/naturecellbiology" TargetMode="External" /><ns0:Relationship Id="journalLink2557" Type="http://schemas.openxmlformats.org/officeDocument/2006/relationships/hyperlink" Target="https://openalex.org/S151741590" TargetMode="External" /><ns0:Relationship Id="journalLink2558" Type="http://schemas.openxmlformats.org/officeDocument/2006/relationships/hyperlink" Target="https://www.niic.nsc.ru/phocadownload/publications/2025/JCR_JournalImpactFactor_2026.pdf#page=5" TargetMode="External" /><ns0:Relationship Id="journalLink2559" Type="http://schemas.openxmlformats.org/officeDocument/2006/relationships/hyperlink" Target="https://huaxue.hebtu.edu.cn/a/2025/09/23/A5A5BBD96F6B4410B87B6D4C43BDFD63.html" TargetMode="External" /><ns0:Relationship Id="journalLink2560" Type="http://schemas.openxmlformats.org/officeDocument/2006/relationships/hyperlink" Target="https://www.nature.com/nataging/" TargetMode="External" /><ns0:Relationship Id="journalLink2561" Type="http://schemas.openxmlformats.org/officeDocument/2006/relationships/hyperlink" Target="https://openalex.org/S4210214063" TargetMode="External" /><ns0:Relationship Id="journalLink2562" Type="http://schemas.openxmlformats.org/officeDocument/2006/relationships/hyperlink" Target="https://www.niic.nsc.ru/phocadownload/publications/2025/JCR_JournalImpactFactor_2026.pdf#page=5" TargetMode="External" /><ns0:Relationship Id="journalLink2563" Type="http://schemas.openxmlformats.org/officeDocument/2006/relationships/hyperlink" Target="https://huaxue.hebtu.edu.cn/a/2025/09/23/A5A5BBD96F6B4410B87B6D4C43BDFD63.html" TargetMode="External" /><ns0:Relationship Id="journalLink2564" Type="http://schemas.openxmlformats.org/officeDocument/2006/relationships/hyperlink" Target="https://www.sciencedirect.com/journal/cell-host-and-microbe" TargetMode="External" /><ns0:Relationship Id="journalLink2565" Type="http://schemas.openxmlformats.org/officeDocument/2006/relationships/hyperlink" Target="https://openalex.org/S207313999" TargetMode="External" /><ns0:Relationship Id="journalLink2566" Type="http://schemas.openxmlformats.org/officeDocument/2006/relationships/hyperlink" Target="https://www.niic.nsc.ru/phocadownload/publications/2025/JCR_JournalImpactFactor_2026.pdf#page=4" TargetMode="External" /><ns0:Relationship Id="journalLink2567" Type="http://schemas.openxmlformats.org/officeDocument/2006/relationships/hyperlink" Target="https://huaxue.hebtu.edu.cn/a/2025/09/23/A5A5BBD96F6B4410B87B6D4C43BDFD63.html" TargetMode="External" /><ns0:Relationship Id="journalLink2568" Type="http://schemas.openxmlformats.org/officeDocument/2006/relationships/hyperlink" Target="https://www.journals.elsevier.com/trends-in-cell-biology" TargetMode="External" /><ns0:Relationship Id="journalLink2569" Type="http://schemas.openxmlformats.org/officeDocument/2006/relationships/hyperlink" Target="https://openalex.org/S118628157" TargetMode="External" /><ns0:Relationship Id="journalLink2570" Type="http://schemas.openxmlformats.org/officeDocument/2006/relationships/hyperlink" Target="https://www.niic.nsc.ru/phocadownload/publications/2025/JCR_JournalImpactFactor_2026.pdf#page=10" TargetMode="External" /><ns0:Relationship Id="journalLink2571" Type="http://schemas.openxmlformats.org/officeDocument/2006/relationships/hyperlink" Target="https://huaxue.hebtu.edu.cn/a/2025/09/23/A5A5BBD96F6B4410B87B6D4C43BDFD63.html" TargetMode="External" /><ns0:Relationship Id="journalLink2572" Type="http://schemas.openxmlformats.org/officeDocument/2006/relationships/hyperlink" Target="https://www.cell.com/matter/home" TargetMode="External" /><ns0:Relationship Id="journalLink2573" Type="http://schemas.openxmlformats.org/officeDocument/2006/relationships/hyperlink" Target="https://openalex.org/S4210178557" TargetMode="External" /><ns0:Relationship Id="journalLink2574" Type="http://schemas.openxmlformats.org/officeDocument/2006/relationships/hyperlink" Target="https://www.niic.nsc.ru/phocadownload/publications/2025/JCR_JournalImpactFactor_2026.pdf#page=6" TargetMode="External" /><ns0:Relationship Id="journalLink2575" Type="http://schemas.openxmlformats.org/officeDocument/2006/relationships/hyperlink" Target="https://huaxue.hebtu.edu.cn/a/2025/09/23/A5A5BBD96F6B4410B87B6D4C43BDFD63.html" TargetMode="External" /><ns0:Relationship Id="journalLink2576" Type="http://schemas.openxmlformats.org/officeDocument/2006/relationships/hyperlink" Target="https://www.sciencedirect.com/journal/trends-in-cancer" TargetMode="External" /><ns0:Relationship Id="journalLink2577" Type="http://schemas.openxmlformats.org/officeDocument/2006/relationships/hyperlink" Target="https://openalex.org/S2765069123" TargetMode="External" /><ns0:Relationship Id="journalLink2578" Type="http://schemas.openxmlformats.org/officeDocument/2006/relationships/hyperlink" Target="https://www.niic.nsc.ru/phocadownload/publications/2025/JCR_JournalImpactFactor_2026.pdf#page=7" TargetMode="External" /><ns0:Relationship Id="journalLink2579" Type="http://schemas.openxmlformats.org/officeDocument/2006/relationships/hyperlink" Target="https://huaxue.hebtu.edu.cn/a/2025/09/23/A5A5BBD96F6B4410B87B6D4C43BDFD63.html" TargetMode="External" /><ns0:Relationship Id="journalLink2580" Type="http://schemas.openxmlformats.org/officeDocument/2006/relationships/hyperlink" Target="https://www.sciencedirect.com/journal/trends-in-cognitive-sciences" TargetMode="External" /><ns0:Relationship Id="journalLink2581" Type="http://schemas.openxmlformats.org/officeDocument/2006/relationships/hyperlink" Target="https://openalex.org/S192051125" TargetMode="External" /><ns0:Relationship Id="journalLink2582" Type="http://schemas.openxmlformats.org/officeDocument/2006/relationships/hyperlink" Target="https://www.niic.nsc.ru/phocadownload/publications/2025/JCR_JournalImpactFactor_2026.pdf#page=10" TargetMode="External" /><ns0:Relationship Id="journalLink2583" Type="http://schemas.openxmlformats.org/officeDocument/2006/relationships/hyperlink" Target="https://huaxue.hebtu.edu.cn/a/2025/09/23/A5A5BBD96F6B4410B87B6D4C43BDFD63.html" TargetMode="External" /><ns0:Relationship Id="journalLink2584" Type="http://schemas.openxmlformats.org/officeDocument/2006/relationships/hyperlink" Target="https://www.sciencedirect.com/journal/molecular-cell" TargetMode="External" /><ns0:Relationship Id="journalLink2585" Type="http://schemas.openxmlformats.org/officeDocument/2006/relationships/hyperlink" Target="https://openalex.org/S156208185" TargetMode="External" /><ns0:Relationship Id="journalLink2586" Type="http://schemas.openxmlformats.org/officeDocument/2006/relationships/hyperlink" Target="https://www.niic.nsc.ru/phocadownload/publications/2025/JCR_JournalImpactFactor_2026.pdf#page=10" TargetMode="External" /><ns0:Relationship Id="journalLink2587" Type="http://schemas.openxmlformats.org/officeDocument/2006/relationships/hyperlink" Target="https://huaxue.hebtu.edu.cn/a/2025/09/23/A5A5BBD96F6B4410B87B6D4C43BDFD63.html" TargetMode="External" /><ns0:Relationship Id="journalLink2588" Type="http://schemas.openxmlformats.org/officeDocument/2006/relationships/hyperlink" Target="http://immunology.sciencemag.org/" TargetMode="External" /><ns0:Relationship Id="journalLink2589" Type="http://schemas.openxmlformats.org/officeDocument/2006/relationships/hyperlink" Target="https://openalex.org/S2764653179" TargetMode="External" /><ns0:Relationship Id="journalLink2590" Type="http://schemas.openxmlformats.org/officeDocument/2006/relationships/hyperlink" Target="https://www.niic.nsc.ru/phocadownload/publications/2025/JCR_JournalImpactFactor_2026.pdf#page=9" TargetMode="External" /><ns0:Relationship Id="journalLink2591" Type="http://schemas.openxmlformats.org/officeDocument/2006/relationships/hyperlink" Target="https://huaxue.hebtu.edu.cn/a/2025/09/23/A5A5BBD96F6B4410B87B6D4C43BDFD63.html" TargetMode="External" /><ns0:Relationship Id="journalLink2592" Type="http://schemas.openxmlformats.org/officeDocument/2006/relationships/hyperlink" Target="https://www.nature.com/nathumbehav/" TargetMode="External" /><ns0:Relationship Id="journalLink2593" Type="http://schemas.openxmlformats.org/officeDocument/2006/relationships/hyperlink" Target="https://openalex.org/S2764866340" TargetMode="External" /><ns0:Relationship Id="journalLink2594" Type="http://schemas.openxmlformats.org/officeDocument/2006/relationships/hyperlink" Target="https://www.niic.nsc.ru/phocadownload/publications/2025/JCR_JournalImpactFactor_2026.pdf#page=13" TargetMode="External" /><ns0:Relationship Id="journalLink2595" Type="http://schemas.openxmlformats.org/officeDocument/2006/relationships/hyperlink" Target="https://huaxue.hebtu.edu.cn/a/2025/09/23/A5A5BBD96F6B4410B87B6D4C43BDFD63.html" TargetMode="External" /><ns0:Relationship Id="journalLink2596" Type="http://schemas.openxmlformats.org/officeDocument/2006/relationships/hyperlink" Target="https://www.nature.com/cdd/" TargetMode="External" /><ns0:Relationship Id="journalLink2597" Type="http://schemas.openxmlformats.org/officeDocument/2006/relationships/hyperlink" Target="https://openalex.org/S152938505" TargetMode="External" /><ns0:Relationship Id="journalLink2598" Type="http://schemas.openxmlformats.org/officeDocument/2006/relationships/hyperlink" Target="https://www.niic.nsc.ru/phocadownload/publications/2025/JCR_JournalImpactFactor_2026.pdf#page=9" TargetMode="External" /><ns0:Relationship Id="journalLink2599" Type="http://schemas.openxmlformats.org/officeDocument/2006/relationships/hyperlink" Target="https://huaxue.hebtu.edu.cn/a/2025/09/23/A5A5BBD96F6B4410B87B6D4C43BDFD63.html" TargetMode="External" /><ns0:Relationship Id="journalLink2600" Type="http://schemas.openxmlformats.org/officeDocument/2006/relationships/hyperlink" Target="https://www.sciencedirect.com/journal/neuron" TargetMode="External" /><ns0:Relationship Id="journalLink2601" Type="http://schemas.openxmlformats.org/officeDocument/2006/relationships/hyperlink" Target="https://openalex.org/S45757444" TargetMode="External" /><ns0:Relationship Id="journalLink2602" Type="http://schemas.openxmlformats.org/officeDocument/2006/relationships/hyperlink" Target="https://www.niic.nsc.ru/phocadownload/publications/2025/JCR_JournalImpactFactor_2026.pdf#page=10" TargetMode="External" /><ns0:Relationship Id="journalLink2603" Type="http://schemas.openxmlformats.org/officeDocument/2006/relationships/hyperlink" Target="https://huaxue.hebtu.edu.cn/a/2025/09/23/A5A5BBD96F6B4410B87B6D4C43BDFD63.html" TargetMode="External" /><ns0:Relationship Id="journalLink2604" Type="http://schemas.openxmlformats.org/officeDocument/2006/relationships/hyperlink" Target="https://www.journals.elsevier.com/trends-in-neurosciences" TargetMode="External" /><ns0:Relationship Id="journalLink2605" Type="http://schemas.openxmlformats.org/officeDocument/2006/relationships/hyperlink" Target="https://openalex.org/S114966740" TargetMode="External" /><ns0:Relationship Id="journalLink2606" Type="http://schemas.openxmlformats.org/officeDocument/2006/relationships/hyperlink" Target="https://www.niic.nsc.ru/phocadownload/publications/2025/JCR_JournalImpactFactor_2026.pdf#page=10" TargetMode="External" /><ns0:Relationship Id="journalLink2607" Type="http://schemas.openxmlformats.org/officeDocument/2006/relationships/hyperlink" Target="https://huaxue.hebtu.edu.cn/a/2025/09/23/A5A5BBD96F6B4410B87B6D4C43BDFD63.html" TargetMode="External" /><ns0:Relationship Id="journalLink2608" Type="http://schemas.openxmlformats.org/officeDocument/2006/relationships/hyperlink" Target="http://stm.sciencemag.org" TargetMode="External" /><ns0:Relationship Id="journalLink2609" Type="http://schemas.openxmlformats.org/officeDocument/2006/relationships/hyperlink" Target="https://openalex.org/S24207032" TargetMode="External" /><ns0:Relationship Id="journalLink2610" Type="http://schemas.openxmlformats.org/officeDocument/2006/relationships/hyperlink" Target="https://www.niic.nsc.ru/phocadownload/publications/2025/JCR_JournalImpactFactor_2026.pdf#page=13" TargetMode="External" /><ns0:Relationship Id="journalLink2611" Type="http://schemas.openxmlformats.org/officeDocument/2006/relationships/hyperlink" Target="https://huaxue.hebtu.edu.cn/a/2025/09/23/A5A5BBD96F6B4410B87B6D4C43BDFD63.html" TargetMode="External" /><ns0:Relationship Id="journalLink2612" Type="http://schemas.openxmlformats.org/officeDocument/2006/relationships/hyperlink" Target="http://www.nature.com/nrurol" TargetMode="External" /><ns0:Relationship Id="journalLink2613" Type="http://schemas.openxmlformats.org/officeDocument/2006/relationships/hyperlink" Target="https://openalex.org/S67216020" TargetMode="External" /><ns0:Relationship Id="journalLink2614" Type="http://schemas.openxmlformats.org/officeDocument/2006/relationships/hyperlink" Target="https://www.niic.nsc.ru/phocadownload/publications/2025/JCR_JournalImpactFactor_2026.pdf#page=8" TargetMode="External" /><ns0:Relationship Id="journalLink2615" Type="http://schemas.openxmlformats.org/officeDocument/2006/relationships/hyperlink" Target="https://huaxue.hebtu.edu.cn/a/2025/09/23/A5A5BBD96F6B4410B87B6D4C43BDFD63.html" TargetMode="External" /><ns0:Relationship Id="journalLink2616" Type="http://schemas.openxmlformats.org/officeDocument/2006/relationships/hyperlink" Target="http://www.landesbioscience.com/journals/autophagy/" TargetMode="External" /><ns0:Relationship Id="journalLink2617" Type="http://schemas.openxmlformats.org/officeDocument/2006/relationships/hyperlink" Target="https://openalex.org/S102544370" TargetMode="External" /><ns0:Relationship Id="journalLink2618" Type="http://schemas.openxmlformats.org/officeDocument/2006/relationships/hyperlink" Target="https://www.niic.nsc.ru/phocadownload/publications/2025/JCR_JournalImpactFactor_2026.pdf#page=8" TargetMode="External" /><ns0:Relationship Id="journalLink2619" Type="http://schemas.openxmlformats.org/officeDocument/2006/relationships/hyperlink" Target="https://huaxue.hebtu.edu.cn/a/2025/09/23/A5A5BBD96F6B4410B87B6D4C43BDFD63.html" TargetMode="External" /><ns0:Relationship Id="journalLink2620" Type="http://schemas.openxmlformats.org/officeDocument/2006/relationships/hyperlink" Target="https://www.journals.elsevier.com/trends-in-molecular-medicine" TargetMode="External" /><ns0:Relationship Id="journalLink2621" Type="http://schemas.openxmlformats.org/officeDocument/2006/relationships/hyperlink" Target="https://openalex.org/S64855341" TargetMode="External" /><ns0:Relationship Id="journalLink2622" Type="http://schemas.openxmlformats.org/officeDocument/2006/relationships/hyperlink" Target="https://www.niic.nsc.ru/phocadownload/publications/2025/JCR_JournalImpactFactor_2026.pdf#page=19" TargetMode="External" /><ns0:Relationship Id="journalLink2623" Type="http://schemas.openxmlformats.org/officeDocument/2006/relationships/hyperlink" Target="https://huaxue.hebtu.edu.cn/a/2025/09/23/A5A5BBD96F6B4410B87B6D4C43BDFD63.html" TargetMode="External" /><ns0:Relationship Id="journalLink2624" Type="http://schemas.openxmlformats.org/officeDocument/2006/relationships/hyperlink" Target="https://www.sciencedirect.com/journal/trends-in-chemistry" TargetMode="External" /><ns0:Relationship Id="journalLink2625" Type="http://schemas.openxmlformats.org/officeDocument/2006/relationships/hyperlink" Target="https://openalex.org/S4210210487" TargetMode="External" /><ns0:Relationship Id="journalLink2626" Type="http://schemas.openxmlformats.org/officeDocument/2006/relationships/hyperlink" Target="https://www.niic.nsc.ru/phocadownload/publications/2025/JCR_JournalImpactFactor_2026.pdf#page=8" TargetMode="External" /><ns0:Relationship Id="journalLink2627" Type="http://schemas.openxmlformats.org/officeDocument/2006/relationships/hyperlink" Target="https://huaxue.hebtu.edu.cn/a/2025/09/23/A5A5BBD96F6B4410B87B6D4C43BDFD63.html" TargetMode="External" /><ns0:Relationship Id="journalLink2628" Type="http://schemas.openxmlformats.org/officeDocument/2006/relationships/hyperlink" Target="https://www.springer.com/journal/13238" TargetMode="External" /><ns0:Relationship Id="journalLink2629" Type="http://schemas.openxmlformats.org/officeDocument/2006/relationships/hyperlink" Target="https://openalex.org/S126440360" TargetMode="External" /><ns0:Relationship Id="journalLink2630" Type="http://schemas.openxmlformats.org/officeDocument/2006/relationships/hyperlink" Target="https://www.niic.nsc.ru/phocadownload/publications/2025/JCR_JournalImpactFactor_2026.pdf#page=7" TargetMode="External" /><ns0:Relationship Id="journalLink2631" Type="http://schemas.openxmlformats.org/officeDocument/2006/relationships/hyperlink" Target="https://huaxue.hebtu.edu.cn/a/2025/09/23/A5A5BBD96F6B4410B87B6D4C43BDFD63.html" TargetMode="External" /><ns0:Relationship Id="journalLink2632" Type="http://schemas.openxmlformats.org/officeDocument/2006/relationships/hyperlink" Target="https://www.sciencedirect.com/journal/trends-in-endocrinology-and-metabolism" TargetMode="External" /><ns0:Relationship Id="journalLink2633" Type="http://schemas.openxmlformats.org/officeDocument/2006/relationships/hyperlink" Target="https://openalex.org/S93802863" TargetMode="External" /><ns0:Relationship Id="journalLink2634" Type="http://schemas.openxmlformats.org/officeDocument/2006/relationships/hyperlink" Target="https://www.niic.nsc.ru/phocadownload/publications/2025/JCR_JournalImpactFactor_2026.pdf#page=9" TargetMode="External" /><ns0:Relationship Id="journalLink2635" Type="http://schemas.openxmlformats.org/officeDocument/2006/relationships/hyperlink" Target="https://huaxue.hebtu.edu.cn/a/2025/09/23/A5A5BBD96F6B4410B87B6D4C43BDFD63.html" TargetMode="External" /><ns0:Relationship Id="journalLink2636" Type="http://schemas.openxmlformats.org/officeDocument/2006/relationships/hyperlink" Target="https://www.nature.com/celldisc/" TargetMode="External" /><ns0:Relationship Id="journalLink2637" Type="http://schemas.openxmlformats.org/officeDocument/2006/relationships/hyperlink" Target="https://openalex.org/S2764388416" TargetMode="External" /><ns0:Relationship Id="journalLink2638" Type="http://schemas.openxmlformats.org/officeDocument/2006/relationships/hyperlink" Target="https://www.niic.nsc.ru/phocadownload/publications/2025/JCR_JournalImpactFactor_2026.pdf#page=18" TargetMode="External" /><ns0:Relationship Id="journalLink2639" Type="http://schemas.openxmlformats.org/officeDocument/2006/relationships/hyperlink" Target="https://huaxue.hebtu.edu.cn/a/2025/09/23/A5A5BBD96F6B4410B87B6D4C43BDFD63.html" TargetMode="External" /><ns0:Relationship Id="journalLink2640" Type="http://schemas.openxmlformats.org/officeDocument/2006/relationships/hyperlink" Target="https://www.journals.elsevier.com/molecular-therapy" TargetMode="External" /><ns0:Relationship Id="journalLink2641" Type="http://schemas.openxmlformats.org/officeDocument/2006/relationships/hyperlink" Target="https://openalex.org/S51596929" TargetMode="External" /><ns0:Relationship Id="journalLink2642" Type="http://schemas.openxmlformats.org/officeDocument/2006/relationships/hyperlink" Target="https://www.niic.nsc.ru/phocadownload/publications/2025/JCR_JournalImpactFactor_2026.pdf#page=14" TargetMode="External" /><ns0:Relationship Id="journalLink2643" Type="http://schemas.openxmlformats.org/officeDocument/2006/relationships/hyperlink" Target="https://huaxue.hebtu.edu.cn/a/2025/09/23/A5A5BBD96F6B4410B87B6D4C43BDFD63.html" TargetMode="External" /><ns0:Relationship Id="journalLink2644" Type="http://schemas.openxmlformats.org/officeDocument/2006/relationships/hyperlink" Target="https://www.sciencedirect.com/journal/med/issues" TargetMode="External" /><ns0:Relationship Id="journalLink2645" Type="http://schemas.openxmlformats.org/officeDocument/2006/relationships/hyperlink" Target="https://openalex.org/S4210167770" TargetMode="External" /><ns0:Relationship Id="journalLink2646" Type="http://schemas.openxmlformats.org/officeDocument/2006/relationships/hyperlink" Target="https://www.niic.nsc.ru/phocadownload/publications/2025/JCR_JournalImpactFactor_2026.pdf#page=13" TargetMode="External" /><ns0:Relationship Id="journalLink2647" Type="http://schemas.openxmlformats.org/officeDocument/2006/relationships/hyperlink" Target="https://huaxue.hebtu.edu.cn/a/2025/09/23/A5A5BBD96F6B4410B87B6D4C43BDFD63.html" TargetMode="External" /><ns0:Relationship Id="journalLink2648" Type="http://schemas.openxmlformats.org/officeDocument/2006/relationships/hyperlink" Target="https://www.journals.elsevier.com/cell-reports-medicine" TargetMode="External" /><ns0:Relationship Id="journalLink2649" Type="http://schemas.openxmlformats.org/officeDocument/2006/relationships/hyperlink" Target="https://openalex.org/S4210207453" TargetMode="External" /><ns0:Relationship Id="journalLink2650" Type="http://schemas.openxmlformats.org/officeDocument/2006/relationships/hyperlink" Target="https://www.niic.nsc.ru/phocadownload/publications/2025/JCR_JournalImpactFactor_2026.pdf#page=23" TargetMode="External" /><ns0:Relationship Id="journalLink2651" Type="http://schemas.openxmlformats.org/officeDocument/2006/relationships/hyperlink" Target="https://huaxue.hebtu.edu.cn/a/2025/09/23/A5A5BBD96F6B4410B87B6D4C43BDFD63.html" TargetMode="External" /><ns0:Relationship Id="journalLink2652" Type="http://schemas.openxmlformats.org/officeDocument/2006/relationships/hyperlink" Target="https://www.nature.com/nsmb/" TargetMode="External" /><ns0:Relationship Id="journalLink2653" Type="http://schemas.openxmlformats.org/officeDocument/2006/relationships/hyperlink" Target="https://openalex.org/S139253143" TargetMode="External" /><ns0:Relationship Id="journalLink2654" Type="http://schemas.openxmlformats.org/officeDocument/2006/relationships/hyperlink" Target="https://www.niic.nsc.ru/phocadownload/publications/2025/JCR_JournalImpactFactor_2026.pdf#page=17" TargetMode="External" /><ns0:Relationship Id="journalLink2655" Type="http://schemas.openxmlformats.org/officeDocument/2006/relationships/hyperlink" Target="https://huaxue.hebtu.edu.cn/a/2025/09/23/A5A5BBD96F6B4410B87B6D4C43BDFD63.html" TargetMode="External" /><ns0:Relationship Id="journalLink2656" Type="http://schemas.openxmlformats.org/officeDocument/2006/relationships/hyperlink" Target="https://www.nature.com/cddis/" TargetMode="External" /><ns0:Relationship Id="journalLink2657" Type="http://schemas.openxmlformats.org/officeDocument/2006/relationships/hyperlink" Target="https://openalex.org/S185208586" TargetMode="External" /><ns0:Relationship Id="journalLink2658" Type="http://schemas.openxmlformats.org/officeDocument/2006/relationships/hyperlink" Target="https://www.niic.nsc.ru/phocadownload/publications/2025/JCR_JournalImpactFactor_2026.pdf#page=25" TargetMode="External" /><ns0:Relationship Id="journalLink2659" Type="http://schemas.openxmlformats.org/officeDocument/2006/relationships/hyperlink" Target="https://huaxue.hebtu.edu.cn/a/2025/09/23/A5A5BBD96F6B4410B87B6D4C43BDFD63.html" TargetMode="External" /><ns0:Relationship Id="journalLink2660" Type="http://schemas.openxmlformats.org/officeDocument/2006/relationships/hyperlink" Target="https://link.springer.com/journal/11427" TargetMode="External" /><ns0:Relationship Id="journalLink2661" Type="http://schemas.openxmlformats.org/officeDocument/2006/relationships/hyperlink" Target="https://openalex.org/S45795350" TargetMode="External" /><ns0:Relationship Id="journalLink2662" Type="http://schemas.openxmlformats.org/officeDocument/2006/relationships/hyperlink" Target="https://www.niic.nsc.ru/phocadownload/publications/2025/JCR_JournalImpactFactor_2026.pdf#page=27" TargetMode="External" /><ns0:Relationship Id="journalLink2663" Type="http://schemas.openxmlformats.org/officeDocument/2006/relationships/hyperlink" Target="https://huaxue.hebtu.edu.cn/a/2025/09/23/A5A5BBD96F6B4410B87B6D4C43BDFD63.html" TargetMode="External" /><ns0:Relationship Id="journalLink2664" Type="http://schemas.openxmlformats.org/officeDocument/2006/relationships/hyperlink" Target="https://www.journals.elsevier.com/developmental-cell" TargetMode="External" /><ns0:Relationship Id="journalLink2665" Type="http://schemas.openxmlformats.org/officeDocument/2006/relationships/hyperlink" Target="https://openalex.org/S83804233" TargetMode="External" /><ns0:Relationship Id="journalLink2666" Type="http://schemas.openxmlformats.org/officeDocument/2006/relationships/hyperlink" Target="https://www.niic.nsc.ru/phocadownload/publications/2025/JCR_JournalImpactFactor_2026.pdf#page=33" TargetMode="External" /><ns0:Relationship Id="journalLink2667" Type="http://schemas.openxmlformats.org/officeDocument/2006/relationships/hyperlink" Target="https://huaxue.hebtu.edu.cn/a/2025/09/23/A5A5BBD96F6B4410B87B6D4C43BDFD63.html" TargetMode="External" /><ns0:Relationship Id="journalLink2668" Type="http://schemas.openxmlformats.org/officeDocument/2006/relationships/hyperlink" Target="http://emboj.embopress.org/" TargetMode="External" /><ns0:Relationship Id="journalLink2669" Type="http://schemas.openxmlformats.org/officeDocument/2006/relationships/hyperlink" Target="https://openalex.org/S127916151" TargetMode="External" /><ns0:Relationship Id="journalLink2670" Type="http://schemas.openxmlformats.org/officeDocument/2006/relationships/hyperlink" Target="https://www.niic.nsc.ru/phocadownload/publications/2025/JCR_JournalImpactFactor_2026.pdf#page=37" TargetMode="External" /><ns0:Relationship Id="journalLink2671" Type="http://schemas.openxmlformats.org/officeDocument/2006/relationships/hyperlink" Target="https://huaxue.hebtu.edu.cn/a/2025/09/23/A5A5BBD96F6B4410B87B6D4C43BDFD63.html" TargetMode="External" /><ns0:Relationship Id="journalLink2672" Type="http://schemas.openxmlformats.org/officeDocument/2006/relationships/hyperlink" Target="https://www.embopress.org/journal/17574684" TargetMode="External" /><ns0:Relationship Id="journalLink2673" Type="http://schemas.openxmlformats.org/officeDocument/2006/relationships/hyperlink" Target="https://openalex.org/S163075119" TargetMode="External" /><ns0:Relationship Id="journalLink2674" Type="http://schemas.openxmlformats.org/officeDocument/2006/relationships/hyperlink" Target="https://www.niic.nsc.ru/phocadownload/publications/2025/JCR_JournalImpactFactor_2026.pdf#page=51" TargetMode="External" /><ns0:Relationship Id="journalLink2675" Type="http://schemas.openxmlformats.org/officeDocument/2006/relationships/hyperlink" Target="https://huaxue.hebtu.edu.cn/a/2025/09/23/A5A5BBD96F6B4410B87B6D4C43BDFD63.html" TargetMode="External" /><ns0:Relationship Id="journalLink2676" Type="http://schemas.openxmlformats.org/officeDocument/2006/relationships/hyperlink" Target="http://msb.embopress.org/" TargetMode="External" /><ns0:Relationship Id="journalLink2677" Type="http://schemas.openxmlformats.org/officeDocument/2006/relationships/hyperlink" Target="https://openalex.org/S200893805" TargetMode="External" /><ns0:Relationship Id="journalLink2678" Type="http://schemas.openxmlformats.org/officeDocument/2006/relationships/hyperlink" Target="https://www.niic.nsc.ru/phocadownload/publications/2025/JCR_JournalImpactFactor_2026.pdf#page=39" TargetMode="External" /><ns0:Relationship Id="journalLink2679" Type="http://schemas.openxmlformats.org/officeDocument/2006/relationships/hyperlink" Target="https://huaxue.hebtu.edu.cn/a/2025/09/23/A5A5BBD96F6B4410B87B6D4C43BDFD63.html" TargetMode="External" /><ns0:Relationship Id="journalLink2680" Type="http://schemas.openxmlformats.org/officeDocument/2006/relationships/hyperlink" Target="https://www.sciencedirect.com/journal/current-biology" TargetMode="External" /><ns0:Relationship Id="journalLink2681" Type="http://schemas.openxmlformats.org/officeDocument/2006/relationships/hyperlink" Target="https://openalex.org/S128425624" TargetMode="External" /><ns0:Relationship Id="journalLink2682" Type="http://schemas.openxmlformats.org/officeDocument/2006/relationships/hyperlink" Target="https://www.niic.nsc.ru/phocadownload/publications/2025/JCR_JournalImpactFactor_2026.pdf#page=28" TargetMode="External" /><ns0:Relationship Id="journalLink2683" Type="http://schemas.openxmlformats.org/officeDocument/2006/relationships/hyperlink" Target="https://huaxue.hebtu.edu.cn/a/2025/09/23/A5A5BBD96F6B4410B87B6D4C43BDFD63.html" TargetMode="External" /><ns0:Relationship Id="journalLink2684" Type="http://schemas.openxmlformats.org/officeDocument/2006/relationships/hyperlink" Target="https://www.cell.com/cell-chemical-biology/home" TargetMode="External" /><ns0:Relationship Id="journalLink2685" Type="http://schemas.openxmlformats.org/officeDocument/2006/relationships/hyperlink" Target="https://openalex.org/S4210231961" TargetMode="External" /><ns0:Relationship Id="journalLink2686" Type="http://schemas.openxmlformats.org/officeDocument/2006/relationships/hyperlink" Target="https://www.niic.nsc.ru/phocadownload/publications/2025/JCR_JournalImpactFactor_2026.pdf#page=39" TargetMode="External" /><ns0:Relationship Id="journalLink2687" Type="http://schemas.openxmlformats.org/officeDocument/2006/relationships/hyperlink" Target="https://huaxue.hebtu.edu.cn/a/2025/09/23/A5A5BBD96F6B4410B87B6D4C43BDFD63.html" TargetMode="External" /><ns0:Relationship Id="journalLink2688" Type="http://schemas.openxmlformats.org/officeDocument/2006/relationships/hyperlink" Target="https://www.sciencedirect.com/journal/cell-reports" TargetMode="External" /><ns0:Relationship Id="journalLink2689" Type="http://schemas.openxmlformats.org/officeDocument/2006/relationships/hyperlink" Target="https://openalex.org/S169236886" TargetMode="External" /><ns0:Relationship Id="journalLink2690" Type="http://schemas.openxmlformats.org/officeDocument/2006/relationships/hyperlink" Target="https://www.niic.nsc.ru/phocadownload/publications/2025/JCR_JournalImpactFactor_2026.pdf#page=47" TargetMode="External" /><ns0:Relationship Id="journalLink2691" Type="http://schemas.openxmlformats.org/officeDocument/2006/relationships/hyperlink" Target="https://huaxue.hebtu.edu.cn/a/2025/09/23/A5A5BBD96F6B4410B87B6D4C43BDFD63.html" TargetMode="External" /><ns0:Relationship Id="journalLink2692" Type="http://schemas.openxmlformats.org/officeDocument/2006/relationships/hyperlink" Target="http://stke.sciencemag.org/index.dtl" TargetMode="External" /><ns0:Relationship Id="journalLink2693" Type="http://schemas.openxmlformats.org/officeDocument/2006/relationships/hyperlink" Target="https://openalex.org/S155937366" TargetMode="External" /><ns0:Relationship Id="journalLink2694" Type="http://schemas.openxmlformats.org/officeDocument/2006/relationships/hyperlink" Target="https://www.niic.nsc.ru/phocadownload/publications/2025/JCR_JournalImpactFactor_2026.pdf#page=61" TargetMode="External" /><ns0:Relationship Id="journalLink2695" Type="http://schemas.openxmlformats.org/officeDocument/2006/relationships/hyperlink" Target="https://huaxue.hebtu.edu.cn/a/2025/09/23/A5A5BBD96F6B4410B87B6D4C43BDFD63.html" TargetMode="External" /><ns0:Relationship Id="journalLink2696" Type="http://schemas.openxmlformats.org/officeDocument/2006/relationships/hyperlink" Target="http://www.jcb.org/" TargetMode="External" /><ns0:Relationship Id="journalLink2697" Type="http://schemas.openxmlformats.org/officeDocument/2006/relationships/hyperlink" Target="https://openalex.org/S96410829" TargetMode="External" /><ns0:Relationship Id="journalLink2698" Type="http://schemas.openxmlformats.org/officeDocument/2006/relationships/hyperlink" Target="https://www.niic.nsc.ru/phocadownload/publications/2025/JCR_JournalImpactFactor_2026.pdf#page=62" TargetMode="External" /><ns0:Relationship Id="journalLink2699" Type="http://schemas.openxmlformats.org/officeDocument/2006/relationships/hyperlink" Target="https://huaxue.hebtu.edu.cn/a/2025/09/23/A5A5BBD96F6B4410B87B6D4C43BDFD63.html" TargetMode="External" /><ns0:Relationship Id="journalLink2700" Type="http://schemas.openxmlformats.org/officeDocument/2006/relationships/hyperlink" Target="http://embor.embopress.org/" TargetMode="External" /><ns0:Relationship Id="journalLink2701" Type="http://schemas.openxmlformats.org/officeDocument/2006/relationships/hyperlink" Target="https://openalex.org/S57252141" TargetMode="External" /><ns0:Relationship Id="journalLink2702" Type="http://schemas.openxmlformats.org/officeDocument/2006/relationships/hyperlink" Target="https://www.niic.nsc.ru/phocadownload/publications/2025/JCR_JournalImpactFactor_2026.pdf#page=65" TargetMode="External" /><ns0:Relationship Id="journalLink2703" Type="http://schemas.openxmlformats.org/officeDocument/2006/relationships/hyperlink" Target="https://huaxue.hebtu.edu.cn/a/2025/09/23/A5A5BBD96F6B4410B87B6D4C43BDFD63.html" TargetMode="External" /><ns0:Relationship Id="journalLink2704" Type="http://schemas.openxmlformats.org/officeDocument/2006/relationships/hyperlink" Target="https://www.nature.com/commsbio/" TargetMode="External" /><ns0:Relationship Id="journalLink2705" Type="http://schemas.openxmlformats.org/officeDocument/2006/relationships/hyperlink" Target="https://openalex.org/S4210225776" TargetMode="External" /><ns0:Relationship Id="journalLink2706" Type="http://schemas.openxmlformats.org/officeDocument/2006/relationships/hyperlink" Target="https://www.niic.nsc.ru/phocadownload/publications/2025/JCR_JournalImpactFactor_2026.pdf#page=71" TargetMode="External" /><ns0:Relationship Id="journalLink2707" Type="http://schemas.openxmlformats.org/officeDocument/2006/relationships/hyperlink" Target="https://huaxue.hebtu.edu.cn/a/2025/09/23/A5A5BBD96F6B4410B87B6D4C43BDFD63.html" TargetMode="External" /><ns0:Relationship Id="journalLink2708" Type="http://schemas.openxmlformats.org/officeDocument/2006/relationships/hyperlink" Target="https://www.journals.elsevier.com/stem-cell-reports" TargetMode="External" /><ns0:Relationship Id="journalLink2709" Type="http://schemas.openxmlformats.org/officeDocument/2006/relationships/hyperlink" Target="https://openalex.org/S2764425922" TargetMode="External" /><ns0:Relationship Id="journalLink2710" Type="http://schemas.openxmlformats.org/officeDocument/2006/relationships/hyperlink" Target="https://www.niic.nsc.ru/phocadownload/publications/2025/JCR_JournalImpactFactor_2026.pdf#page=69" TargetMode="External" /><ns0:Relationship Id="journalLink2711" Type="http://schemas.openxmlformats.org/officeDocument/2006/relationships/hyperlink" Target="https://huaxue.hebtu.edu.cn/a/2025/09/23/A5A5BBD96F6B4410B87B6D4C43BDFD63.html" TargetMode="External" /><ns0:Relationship Id="journalLink2712" Type="http://schemas.openxmlformats.org/officeDocument/2006/relationships/hyperlink" Target="http://www.zoores.ac.cn/EN/2095-8137/home.shtml" TargetMode="External" /><ns0:Relationship Id="journalLink2713" Type="http://schemas.openxmlformats.org/officeDocument/2006/relationships/hyperlink" Target="https://openalex.org/S118634233" TargetMode="External" /><ns0:Relationship Id="journalLink2714" Type="http://schemas.openxmlformats.org/officeDocument/2006/relationships/hyperlink" Target="https://www.niic.nsc.ru/phocadownload/publications/2025/JCR_JournalImpactFactor_2026.pdf#page=139" TargetMode="External" /><ns0:Relationship Id="journalLink2715" Type="http://schemas.openxmlformats.org/officeDocument/2006/relationships/hyperlink" Target="https://huaxue.hebtu.edu.cn/a/2025/09/23/A5A5BBD96F6B4410B87B6D4C43BDFD63.html" TargetMode="External" /><ns0:Relationship Id="journalLink2716" Type="http://schemas.openxmlformats.org/officeDocument/2006/relationships/hyperlink" Target="https://onlinelibrary.wiley.com/journal/17494877" TargetMode="External" /><ns0:Relationship Id="journalLink2717" Type="http://schemas.openxmlformats.org/officeDocument/2006/relationships/hyperlink" Target="https://openalex.org/S90680744" TargetMode="External" /><ns0:Relationship Id="journalLink2718" Type="http://schemas.openxmlformats.org/officeDocument/2006/relationships/hyperlink" Target="https://www.niic.nsc.ru/phocadownload/publications/2025/JCR_JournalImpactFactor_2026.pdf#page=14" TargetMode="External" /><ns0:Relationship Id="journalLink2719" Type="http://schemas.openxmlformats.org/officeDocument/2006/relationships/hyperlink" Target="https://huaxue.hebtu.edu.cn/a/2025/09/23/A5A5BBD96F6B4410B87B6D4C43BDFD63.html" TargetMode="External" /><ns0:Relationship Id="journalLink2720" Type="http://schemas.openxmlformats.org/officeDocument/2006/relationships/hyperlink" Target="https://www.journals.elsevier.com/trends-in-immunology" TargetMode="External" /><ns0:Relationship Id="journalLink2721" Type="http://schemas.openxmlformats.org/officeDocument/2006/relationships/hyperlink" Target="https://openalex.org/S84926904" TargetMode="External" /><ns0:Relationship Id="journalLink2722" Type="http://schemas.openxmlformats.org/officeDocument/2006/relationships/hyperlink" Target="https://www.niic.nsc.ru/phocadownload/publications/2025/JCR_JournalImpactFactor_2026.pdf#page=18" TargetMode="External" /><ns0:Relationship Id="journalLink2723" Type="http://schemas.openxmlformats.org/officeDocument/2006/relationships/hyperlink" Target="https://huaxue.hebtu.edu.cn/a/2025/09/23/A5A5BBD96F6B4410B87B6D4C43BDFD63.html" TargetMode="External" /><ns0:Relationship Id="journalLink2724" Type="http://schemas.openxmlformats.org/officeDocument/2006/relationships/hyperlink" Target="https://biosignaling.biomedcentral.com/" TargetMode="External" /><ns0:Relationship Id="journalLink2725" Type="http://schemas.openxmlformats.org/officeDocument/2006/relationships/hyperlink" Target="https://openalex.org/S138104925" TargetMode="External" /><ns0:Relationship Id="journalLink2726" Type="http://schemas.openxmlformats.org/officeDocument/2006/relationships/hyperlink" Target="https://www.niic.nsc.ru/phocadownload/publications/2025/JCR_JournalImpactFactor_2026.pdf#page=30" TargetMode="External" /><ns0:Relationship Id="journalLink2727" Type="http://schemas.openxmlformats.org/officeDocument/2006/relationships/hyperlink" Target="https://huaxue.hebtu.edu.cn/a/2025/09/23/A5A5BBD96F6B4410B87B6D4C43BDFD63.html" TargetMode="External" /><ns0:Relationship Id="journalLink2728" Type="http://schemas.openxmlformats.org/officeDocument/2006/relationships/hyperlink" Target="http://www.journals.elsevier.com/international-journal-of-biological-macromolecules/" TargetMode="External" /><ns0:Relationship Id="journalLink2729" Type="http://schemas.openxmlformats.org/officeDocument/2006/relationships/hyperlink" Target="https://openalex.org/S83853393" TargetMode="External" /><ns0:Relationship Id="journalLink2730" Type="http://schemas.openxmlformats.org/officeDocument/2006/relationships/hyperlink" Target="https://www.niic.nsc.ru/phocadownload/publications/2025/JCR_JournalImpactFactor_2026.pdf#page=49" TargetMode="External" /><ns0:Relationship Id="journalLink2731" Type="http://schemas.openxmlformats.org/officeDocument/2006/relationships/hyperlink" Target="https://huaxue.hebtu.edu.cn/a/2025/09/23/A5A5BBD96F6B4410B87B6D4C43BDFD63.html" TargetMode="External" /><ns0:Relationship Id="journalLink2732" Type="http://schemas.openxmlformats.org/officeDocument/2006/relationships/hyperlink" Target="https://www.journals.elsevier.com/filtration-industry-analyst" TargetMode="External" /><ns0:Relationship Id="journalLink2733" Type="http://schemas.openxmlformats.org/officeDocument/2006/relationships/hyperlink" Target="https://openalex.org/S4210216867" TargetMode="External" /><ns0:Relationship Id="journalLink2734" Type="http://schemas.openxmlformats.org/officeDocument/2006/relationships/hyperlink" Target="https://www.niic.nsc.ru/phocadownload/publications/2025/JCR_JournalImpactFactor_2026.pdf#page=44" TargetMode="External" /><ns0:Relationship Id="journalLink2735" Type="http://schemas.openxmlformats.org/officeDocument/2006/relationships/hyperlink" Target="https://huaxue.hebtu.edu.cn/a/2025/09/23/A5A5BBD96F6B4410B87B6D4C43BDFD63.html" TargetMode="External" /><ns0:Relationship Id="journalLink2736" Type="http://schemas.openxmlformats.org/officeDocument/2006/relationships/hyperlink" Target="https://www.nature.com/npjvaccines/" TargetMode="External" /><ns0:Relationship Id="journalLink2737" Type="http://schemas.openxmlformats.org/officeDocument/2006/relationships/hyperlink" Target="https://openalex.org/S4210235625" TargetMode="External" /><ns0:Relationship Id="journalLink2738" Type="http://schemas.openxmlformats.org/officeDocument/2006/relationships/hyperlink" Target="https://www.niic.nsc.ru/phocadownload/publications/2025/JCR_JournalImpactFactor_2026.pdf#page=42" TargetMode="External" /><ns0:Relationship Id="journalLink2739" Type="http://schemas.openxmlformats.org/officeDocument/2006/relationships/hyperlink" Target="https://huaxue.hebtu.edu.cn/a/2025/09/23/A5A5BBD96F6B4410B87B6D4C43BDFD63.html" TargetMode="External" /><ns0:Relationship Id="journalLink2740" Type="http://schemas.openxmlformats.org/officeDocument/2006/relationships/hyperlink" Target="https://www.nature.com/commsmed/" TargetMode="External" /><ns0:Relationship Id="journalLink2741" Type="http://schemas.openxmlformats.org/officeDocument/2006/relationships/hyperlink" Target="https://openalex.org/S4210167893" TargetMode="External" /><ns0:Relationship Id="journalLink2742" Type="http://schemas.openxmlformats.org/officeDocument/2006/relationships/hyperlink" Target="https://www.niic.nsc.ru/phocadownload/publications/2025/JCR_JournalImpactFactor_2026.pdf#page=54" TargetMode="External" /><ns0:Relationship Id="journalLink2743" Type="http://schemas.openxmlformats.org/officeDocument/2006/relationships/hyperlink" Target="https://huaxue.hebtu.edu.cn/a/2025/09/23/A5A5BBD96F6B4410B87B6D4C43BDFD63.html" TargetMode="External" /><ns0:Relationship Id="journalLink2744" Type="http://schemas.openxmlformats.org/officeDocument/2006/relationships/hyperlink" Target="http://www.springer.com/life+sciences/cell+biology/journal/18" TargetMode="External" /><ns0:Relationship Id="journalLink2745" Type="http://schemas.openxmlformats.org/officeDocument/2006/relationships/hyperlink" Target="https://openalex.org/S60362788" TargetMode="External" /><ns0:Relationship Id="journalLink2746" Type="http://schemas.openxmlformats.org/officeDocument/2006/relationships/hyperlink" Target="https://www.niic.nsc.ru/phocadownload/publications/2025/JCR_JournalImpactFactor_2026.pdf#page=14" TargetMode="External" /><ns0:Relationship Id="journalLink2747" Type="http://schemas.openxmlformats.org/officeDocument/2006/relationships/hyperlink" Target="https://huaxue.hebtu.edu.cn/a/2025/09/23/A5A5BBD96F6B4410B87B6D4C43BDFD63.html" TargetMode="External" /><ns0:Relationship Id="journalLink2748" Type="http://schemas.openxmlformats.org/officeDocument/2006/relationships/hyperlink" Target="https://www.nature.com/npjaging/" TargetMode="External" /><ns0:Relationship Id="journalLink2749" Type="http://schemas.openxmlformats.org/officeDocument/2006/relationships/hyperlink" Target="https://www.nature.com/npjaging/" TargetMode="External" /><ns0:Relationship Id="journalLink2750" Type="http://schemas.openxmlformats.org/officeDocument/2006/relationships/hyperlink" Target="https://www.niic.nsc.ru/phocadownload/publications/2025/JCR_JournalImpactFactor_2026.pdf#page=96" TargetMode="External" /><ns0:Relationship Id="journalLink2751" Type="http://schemas.openxmlformats.org/officeDocument/2006/relationships/hyperlink" Target="https://huaxue.hebtu.edu.cn/a/2025/09/23/A5A5BBD96F6B4410B87B6D4C43BDFD63.html" TargetMode="External" /><ns0:Relationship Id="journalLink2752" Type="http://schemas.openxmlformats.org/officeDocument/2006/relationships/hyperlink" Target="http://www.elsevier.com/locate/issn/0022-2836" TargetMode="External" /><ns0:Relationship Id="journalLink2753" Type="http://schemas.openxmlformats.org/officeDocument/2006/relationships/hyperlink" Target="https://openalex.org/S46058472" TargetMode="External" /><ns0:Relationship Id="journalLink2754" Type="http://schemas.openxmlformats.org/officeDocument/2006/relationships/hyperlink" Target="https://www.niic.nsc.ru/phocadownload/publications/2025/JCR_JournalImpactFactor_2026.pdf#page=172" TargetMode="External" /><ns0:Relationship Id="journalLink2755" Type="http://schemas.openxmlformats.org/officeDocument/2006/relationships/hyperlink" Target="https://huaxue.hebtu.edu.cn/a/2025/09/23/A5A5BBD96F6B4410B87B6D4C43BDFD63.html" TargetMode="External" /><ns0:Relationship Id="journalLink2756" Type="http://schemas.openxmlformats.org/officeDocument/2006/relationships/hyperlink" Target="http://onlinelibrary.wiley.com/journal/10.1111/(ISSN)1365-2907" TargetMode="External" /><ns0:Relationship Id="journalLink2757" Type="http://schemas.openxmlformats.org/officeDocument/2006/relationships/hyperlink" Target="https://openalex.org/S175935889" TargetMode="External" /><ns0:Relationship Id="journalLink2758" Type="http://schemas.openxmlformats.org/officeDocument/2006/relationships/hyperlink" Target="https://www.niic.nsc.ru/phocadownload/publications/2025/JCR_JournalImpactFactor_2026.pdf#page=99" TargetMode="External" /><ns0:Relationship Id="journalLink2759" Type="http://schemas.openxmlformats.org/officeDocument/2006/relationships/hyperlink" Target="https://huaxue.hebtu.edu.cn/a/2025/09/23/A5A5BBD96F6B4410B87B6D4C43BDFD63.html" TargetMode="External" /><ns0:Relationship Id="journalLink2760" Type="http://schemas.openxmlformats.org/officeDocument/2006/relationships/hyperlink" Target="https://www.sciencedirect.com/journal/structure" TargetMode="External" /><ns0:Relationship Id="journalLink2761" Type="http://schemas.openxmlformats.org/officeDocument/2006/relationships/hyperlink" Target="https://openalex.org/S7112016" TargetMode="External" /><ns0:Relationship Id="journalLink2762" Type="http://schemas.openxmlformats.org/officeDocument/2006/relationships/hyperlink" Target="https://www.niic.nsc.ru/phocadownload/publications/2025/JCR_JournalImpactFactor_2026.pdf#page=112" TargetMode="External" /><ns0:Relationship Id="journalLink2763" Type="http://schemas.openxmlformats.org/officeDocument/2006/relationships/hyperlink" Target="https://huaxue.hebtu.edu.cn/a/2025/09/23/A5A5BBD96F6B4410B87B6D4C43BDFD63.html" TargetMode="External" /><ns0:Relationship Id="journalLink2764" Type="http://schemas.openxmlformats.org/officeDocument/2006/relationships/hyperlink" Target="http://www.fasebj.org/" TargetMode="External" /><ns0:Relationship Id="journalLink2765" Type="http://schemas.openxmlformats.org/officeDocument/2006/relationships/hyperlink" Target="https://openalex.org/S25293849" TargetMode="External" /><ns0:Relationship Id="journalLink2766" Type="http://schemas.openxmlformats.org/officeDocument/2006/relationships/hyperlink" Target="https://www.niic.nsc.ru/phocadownload/publications/2025/JCR_JournalImpactFactor_2026.pdf#page=117" TargetMode="External" /><ns0:Relationship Id="journalLink2767" Type="http://schemas.openxmlformats.org/officeDocument/2006/relationships/hyperlink" Target="https://huaxue.hebtu.edu.cn/a/2025/09/23/A5A5BBD96F6B4410B87B6D4C43BDFD63.html" TargetMode="External" /><ns0:Relationship Id="journalLink2768" Type="http://schemas.openxmlformats.org/officeDocument/2006/relationships/hyperlink" Target="http://febs.onlinelibrary.wiley.com/hub/journal/10.1111/(ISSN)1742-4658/" TargetMode="External" /><ns0:Relationship Id="journalLink2769" Type="http://schemas.openxmlformats.org/officeDocument/2006/relationships/hyperlink" Target="https://openalex.org/S37672443" TargetMode="External" /><ns0:Relationship Id="journalLink2770" Type="http://schemas.openxmlformats.org/officeDocument/2006/relationships/hyperlink" Target="https://www.niic.nsc.ru/phocadownload/publications/2025/JCR_JournalImpactFactor_2026.pdf#page=121" TargetMode="External" /><ns0:Relationship Id="journalLink2771" Type="http://schemas.openxmlformats.org/officeDocument/2006/relationships/hyperlink" Target="https://huaxue.hebtu.edu.cn/a/2025/09/23/A5A5BBD96F6B4410B87B6D4C43BDFD63.html" TargetMode="External" /><ns0:Relationship Id="journalLink2772" Type="http://schemas.openxmlformats.org/officeDocument/2006/relationships/hyperlink" Target="https://www.sciencedirect.com/journal/journal-of-biological-chemistry" TargetMode="External" /><ns0:Relationship Id="journalLink2773" Type="http://schemas.openxmlformats.org/officeDocument/2006/relationships/hyperlink" Target="https://openalex.org/S140251998" TargetMode="External" /><ns0:Relationship Id="journalLink2774" Type="http://schemas.openxmlformats.org/officeDocument/2006/relationships/hyperlink" Target="https://www.niic.nsc.ru/phocadownload/publications/2025/JCR_JournalImpactFactor_2026.pdf#page=124" TargetMode="External" /><ns0:Relationship Id="journalLink2775" Type="http://schemas.openxmlformats.org/officeDocument/2006/relationships/hyperlink" Target="https://huaxue.hebtu.edu.cn/a/2025/09/23/A5A5BBD96F6B4410B87B6D4C43BDFD63.html" TargetMode="External" /><ns0:Relationship Id="journalLink2776" Type="http://schemas.openxmlformats.org/officeDocument/2006/relationships/hyperlink" Target="http://dev.biologists.org/" TargetMode="External" /><ns0:Relationship Id="journalLink2777" Type="http://schemas.openxmlformats.org/officeDocument/2006/relationships/hyperlink" Target="https://openalex.org/S86558740" TargetMode="External" /><ns0:Relationship Id="journalLink2778" Type="http://schemas.openxmlformats.org/officeDocument/2006/relationships/hyperlink" Target="https://www.niic.nsc.ru/phocadownload/publications/2025/JCR_JournalImpactFactor_2026.pdf#page=191" TargetMode="External" /><ns0:Relationship Id="journalLink2779" Type="http://schemas.openxmlformats.org/officeDocument/2006/relationships/hyperlink" Target="https://huaxue.hebtu.edu.cn/a/2025/09/23/A5A5BBD96F6B4410B87B6D4C43BDFD63.html" TargetMode="External" /><ns0:Relationship Id="journalLink2780" Type="http://schemas.openxmlformats.org/officeDocument/2006/relationships/hyperlink" Target="https://academic.oup.com/zoolinnean" TargetMode="External" /><ns0:Relationship Id="journalLink2781" Type="http://schemas.openxmlformats.org/officeDocument/2006/relationships/hyperlink" Target="https://openalex.org/S126748203" TargetMode="External" /><ns0:Relationship Id="journalLink2782" Type="http://schemas.openxmlformats.org/officeDocument/2006/relationships/hyperlink" Target="https://www.niic.nsc.ru/phocadownload/publications/2025/JCR_JournalImpactFactor_2026.pdf#page=198" TargetMode="External" /><ns0:Relationship Id="journalLink2783" Type="http://schemas.openxmlformats.org/officeDocument/2006/relationships/hyperlink" Target="https://huaxue.hebtu.edu.cn/a/2025/09/23/A5A5BBD96F6B4410B87B6D4C43BDFD63.html" TargetMode="External" /><ns0:Relationship Id="journalLink2784" Type="http://schemas.openxmlformats.org/officeDocument/2006/relationships/hyperlink" Target="http://www.molbiolcell.org/" TargetMode="External" /><ns0:Relationship Id="journalLink2785" Type="http://schemas.openxmlformats.org/officeDocument/2006/relationships/hyperlink" Target="https://openalex.org/S188085164" TargetMode="External" /><ns0:Relationship Id="journalLink2786" Type="http://schemas.openxmlformats.org/officeDocument/2006/relationships/hyperlink" Target="https://www.niic.nsc.ru/phocadownload/publications/2025/JCR_JournalImpactFactor_2026.pdf#page=192" TargetMode="External" /><ns0:Relationship Id="journalLink2787" Type="http://schemas.openxmlformats.org/officeDocument/2006/relationships/hyperlink" Target="https://huaxue.hebtu.edu.cn/a/2025/09/23/A5A5BBD96F6B4410B87B6D4C43BDFD63.html" TargetMode="External" /><ns0:Relationship Id="journalLink2788" Type="http://schemas.openxmlformats.org/officeDocument/2006/relationships/hyperlink" Target="http://jeb.biologists.org/" TargetMode="External" /><ns0:Relationship Id="journalLink2789" Type="http://schemas.openxmlformats.org/officeDocument/2006/relationships/hyperlink" Target="https://openalex.org/S20257348" TargetMode="External" /><ns0:Relationship Id="journalLink2790" Type="http://schemas.openxmlformats.org/officeDocument/2006/relationships/hyperlink" Target="https://www.niic.nsc.ru/phocadownload/publications/2025/JCR_JournalImpactFactor_2026.pdf#page=282" TargetMode="External" /><ns0:Relationship Id="journalLink2791" Type="http://schemas.openxmlformats.org/officeDocument/2006/relationships/hyperlink" Target="https://huaxue.hebtu.edu.cn/a/2025/09/23/A5A5BBD96F6B4410B87B6D4C43BDFD63.html" TargetMode="External" /><ns0:Relationship Id="journalLink2792" Type="http://schemas.openxmlformats.org/officeDocument/2006/relationships/hyperlink" Target="http://beheco.oxfordjournals.org/" TargetMode="External" /><ns0:Relationship Id="journalLink2793" Type="http://schemas.openxmlformats.org/officeDocument/2006/relationships/hyperlink" Target="https://openalex.org/S121360315" TargetMode="External" /><ns0:Relationship Id="journalLink2794" Type="http://schemas.openxmlformats.org/officeDocument/2006/relationships/hyperlink" Target="https://www.niic.nsc.ru/phocadownload/publications/2025/JCR_JournalImpactFactor_2026.pdf#page=266" TargetMode="External" /><ns0:Relationship Id="journalLink2795" Type="http://schemas.openxmlformats.org/officeDocument/2006/relationships/hyperlink" Target="https://huaxue.hebtu.edu.cn/a/2025/09/23/A5A5BBD96F6B4410B87B6D4C43BDFD63.html" TargetMode="External" /><ns0:Relationship Id="journalLink2796" Type="http://schemas.openxmlformats.org/officeDocument/2006/relationships/hyperlink" Target="http://www.elsevier.com/wps/find/journaldescription.cws_home/622782/description#description" TargetMode="External" /><ns0:Relationship Id="journalLink2797" Type="http://schemas.openxmlformats.org/officeDocument/2006/relationships/hyperlink" Target="https://openalex.org/S157690423" TargetMode="External" /><ns0:Relationship Id="journalLink2798" Type="http://schemas.openxmlformats.org/officeDocument/2006/relationships/hyperlink" Target="https://www.niic.nsc.ru/phocadownload/publications/2025/JCR_JournalImpactFactor_2026.pdf#page=307" TargetMode="External" /><ns0:Relationship Id="journalLink2799" Type="http://schemas.openxmlformats.org/officeDocument/2006/relationships/hyperlink" Target="https://huaxue.hebtu.edu.cn/a/2025/09/23/A5A5BBD96F6B4410B87B6D4C43BDFD63.html" TargetMode="External" /><ns0:Relationship Id="journalLink2800" Type="http://schemas.openxmlformats.org/officeDocument/2006/relationships/hyperlink" Target="https://onlinelibrary.wiley.com/journal/14636409" TargetMode="External" /><ns0:Relationship Id="journalLink2801" Type="http://schemas.openxmlformats.org/officeDocument/2006/relationships/hyperlink" Target="https://openalex.org/S4078192" TargetMode="External" /><ns0:Relationship Id="journalLink2802" Type="http://schemas.openxmlformats.org/officeDocument/2006/relationships/hyperlink" Target="https://www.niic.nsc.ru/phocadownload/publications/2025/JCR_JournalImpactFactor_2026.pdf#page=309" TargetMode="External" /><ns0:Relationship Id="journalLink2803" Type="http://schemas.openxmlformats.org/officeDocument/2006/relationships/hyperlink" Target="https://huaxue.hebtu.edu.cn/a/2025/09/23/A5A5BBD96F6B4410B87B6D4C43BDFD63.html" TargetMode="External" /><ns0:Relationship Id="journalLink2804" Type="http://schemas.openxmlformats.org/officeDocument/2006/relationships/hyperlink" Target="http://www.springer.com/life+sciences/behavioural/journal/265" TargetMode="External" /><ns0:Relationship Id="journalLink2805" Type="http://schemas.openxmlformats.org/officeDocument/2006/relationships/hyperlink" Target="https://openalex.org/S136529485" TargetMode="External" /><ns0:Relationship Id="journalLink2806" Type="http://schemas.openxmlformats.org/officeDocument/2006/relationships/hyperlink" Target="https://www.niic.nsc.ru/phocadownload/publications/2025/JCR_JournalImpactFactor_2026.pdf#page=71" TargetMode="External" /><ns0:Relationship Id="journalLink2807" Type="http://schemas.openxmlformats.org/officeDocument/2006/relationships/hyperlink" Target="https://huaxue.hebtu.edu.cn/a/2025/09/23/A5A5BBD96F6B4410B87B6D4C43BDFD63.html" TargetMode="External" /><ns0:Relationship Id="journalLink2808" Type="http://schemas.openxmlformats.org/officeDocument/2006/relationships/hyperlink" Target="http://www.mdpi.com/journal/ijms/" TargetMode="External" /><ns0:Relationship Id="journalLink2809" Type="http://schemas.openxmlformats.org/officeDocument/2006/relationships/hyperlink" Target="https://openalex.org/S10623703" TargetMode="External" /><ns0:Relationship Id="journalLink2810" Type="http://schemas.openxmlformats.org/officeDocument/2006/relationships/hyperlink" Target="https://www.niic.nsc.ru/phocadownload/publications/2025/JCR_JournalImpactFactor_2026.pdf#page=66" TargetMode="External" /><ns0:Relationship Id="journalLink2811" Type="http://schemas.openxmlformats.org/officeDocument/2006/relationships/hyperlink" Target="https://huaxue.hebtu.edu.cn/a/2025/09/23/A5A5BBD96F6B4410B87B6D4C43BDFD63.html" TargetMode="External" /><ns0:Relationship Id="journalLink2812" Type="http://schemas.openxmlformats.org/officeDocument/2006/relationships/hyperlink" Target="https://www.journals.elsevier.com/cell-reports-methods" TargetMode="External" /><ns0:Relationship Id="journalLink2813" Type="http://schemas.openxmlformats.org/officeDocument/2006/relationships/hyperlink" Target="https://openalex.org/S4210214705" TargetMode="External" /><ns0:Relationship Id="journalLink2814" Type="http://schemas.openxmlformats.org/officeDocument/2006/relationships/hyperlink" Target="https://www.niic.nsc.ru/phocadownload/publications/2025/JCR_JournalImpactFactor_2026.pdf#page=133" TargetMode="External" /><ns0:Relationship Id="journalLink2815" Type="http://schemas.openxmlformats.org/officeDocument/2006/relationships/hyperlink" Target="https://huaxue.hebtu.edu.cn/a/2025/09/23/A5A5BBD96F6B4410B87B6D4C43BDFD63.html" TargetMode="External" /><ns0:Relationship Id="journalLink2816" Type="http://schemas.openxmlformats.org/officeDocument/2006/relationships/hyperlink" Target="http://www.biochemj.org/" TargetMode="External" /><ns0:Relationship Id="journalLink2817" Type="http://schemas.openxmlformats.org/officeDocument/2006/relationships/hyperlink" Target="https://openalex.org/S44425019" TargetMode="External" /><ns0:Relationship Id="journalLink2818" Type="http://schemas.openxmlformats.org/officeDocument/2006/relationships/hyperlink" Target="https://www.niic.nsc.ru/phocadownload/publications/2025/JCR_JournalImpactFactor_2026.pdf#page=106" TargetMode="External" /><ns0:Relationship Id="journalLink2819" Type="http://schemas.openxmlformats.org/officeDocument/2006/relationships/hyperlink" Target="https://huaxue.hebtu.edu.cn/a/2025/09/23/A5A5BBD96F6B4410B87B6D4C43BDFD63.html" TargetMode="External" /><ns0:Relationship Id="journalLink2820" Type="http://schemas.openxmlformats.org/officeDocument/2006/relationships/hyperlink" Target="https://www.journals.elsevier.com/comparative-biochemistry-and-physiology-part-c-toxicology-and-pharmacology" TargetMode="External" /><ns0:Relationship Id="journalLink2821" Type="http://schemas.openxmlformats.org/officeDocument/2006/relationships/hyperlink" Target="https://openalex.org/S76695604" TargetMode="External" /><ns0:Relationship Id="journalLink2822" Type="http://schemas.openxmlformats.org/officeDocument/2006/relationships/hyperlink" Target="https://www.niic.nsc.ru/phocadownload/publications/2025/JCR_JournalImpactFactor_2026.pdf#page=113" TargetMode="External" /><ns0:Relationship Id="journalLink2823" Type="http://schemas.openxmlformats.org/officeDocument/2006/relationships/hyperlink" Target="https://huaxue.hebtu.edu.cn/a/2025/09/23/A5A5BBD96F6B4410B87B6D4C43BDFD63.html" TargetMode="External" /><ns0:Relationship Id="journalLink2824" Type="http://schemas.openxmlformats.org/officeDocument/2006/relationships/hyperlink" Target="https://www.journals.elsevier.com/biochimica-et-biophysica-acta-molecular-cell-research" TargetMode="External" /><ns0:Relationship Id="journalLink2825" Type="http://schemas.openxmlformats.org/officeDocument/2006/relationships/hyperlink" Target="https://openalex.org/S4210226410" TargetMode="External" /><ns0:Relationship Id="journalLink2826" Type="http://schemas.openxmlformats.org/officeDocument/2006/relationships/hyperlink" Target="https://www.niic.nsc.ru/phocadownload/publications/2025/JCR_JournalImpactFactor_2026.pdf#page=133" TargetMode="External" /><ns0:Relationship Id="journalLink2827" Type="http://schemas.openxmlformats.org/officeDocument/2006/relationships/hyperlink" Target="https://huaxue.hebtu.edu.cn/a/2025/09/23/A5A5BBD96F6B4410B87B6D4C43BDFD63.html" TargetMode="External" /><ns0:Relationship Id="journalLink2828" Type="http://schemas.openxmlformats.org/officeDocument/2006/relationships/hyperlink" Target="http://jcs.biologists.org/" TargetMode="External" /><ns0:Relationship Id="journalLink2829" Type="http://schemas.openxmlformats.org/officeDocument/2006/relationships/hyperlink" Target="https://openalex.org/S5677253" TargetMode="External" /><ns0:Relationship Id="journalLink2830" Type="http://schemas.openxmlformats.org/officeDocument/2006/relationships/hyperlink" Target="https://www.niic.nsc.ru/phocadownload/publications/2025/JCR_JournalImpactFactor_2026.pdf#page=141" TargetMode="External" /><ns0:Relationship Id="journalLink2831" Type="http://schemas.openxmlformats.org/officeDocument/2006/relationships/hyperlink" Target="https://huaxue.hebtu.edu.cn/a/2025/09/23/A5A5BBD96F6B4410B87B6D4C43BDFD63.html" TargetMode="External" /><ns0:Relationship Id="journalLink2832" Type="http://schemas.openxmlformats.org/officeDocument/2006/relationships/hyperlink" Target="https://www.sciencedirect.com/journal/biophysical-journal" TargetMode="External" /><ns0:Relationship Id="journalLink2833" Type="http://schemas.openxmlformats.org/officeDocument/2006/relationships/hyperlink" Target="https://openalex.org/S98085912" TargetMode="External" /><ns0:Relationship Id="journalLink2834" Type="http://schemas.openxmlformats.org/officeDocument/2006/relationships/hyperlink" Target="https://www.niic.nsc.ru/phocadownload/publications/2025/JCR_JournalImpactFactor_2026.pdf#page=155" TargetMode="External" /><ns0:Relationship Id="journalLink2835" Type="http://schemas.openxmlformats.org/officeDocument/2006/relationships/hyperlink" Target="https://huaxue.hebtu.edu.cn/a/2025/09/23/A5A5BBD96F6B4410B87B6D4C43BDFD63.html" TargetMode="External" /><ns0:Relationship Id="journalLink2836" Type="http://schemas.openxmlformats.org/officeDocument/2006/relationships/hyperlink" Target="http://www.elsevier.com/locate/yabbi" TargetMode="External" /><ns0:Relationship Id="journalLink2837" Type="http://schemas.openxmlformats.org/officeDocument/2006/relationships/hyperlink" Target="https://openalex.org/S153476765" TargetMode="External" /><ns0:Relationship Id="journalLink2838" Type="http://schemas.openxmlformats.org/officeDocument/2006/relationships/hyperlink" Target="https://www.niic.nsc.ru/phocadownload/publications/2025/JCR_JournalImpactFactor_2026.pdf#page=225" TargetMode="External" /><ns0:Relationship Id="journalLink2839" Type="http://schemas.openxmlformats.org/officeDocument/2006/relationships/hyperlink" Target="https://huaxue.hebtu.edu.cn/a/2025/09/23/A5A5BBD96F6B4410B87B6D4C43BDFD63.html" TargetMode="External" /><ns0:Relationship Id="journalLink2840" Type="http://schemas.openxmlformats.org/officeDocument/2006/relationships/hyperlink" Target="http://pubs.acs.org/journal/bichaw" TargetMode="External" /><ns0:Relationship Id="journalLink2841" Type="http://schemas.openxmlformats.org/officeDocument/2006/relationships/hyperlink" Target="https://openalex.org/S104038378" TargetMode="External" /><ns0:Relationship Id="journalLink2842" Type="http://schemas.openxmlformats.org/officeDocument/2006/relationships/hyperlink" Target="https://www.niic.nsc.ru/phocadownload/publications/2025/JCR_JournalImpactFactor_2026.pdf#page=185" TargetMode="External" /><ns0:Relationship Id="journalLink2843" Type="http://schemas.openxmlformats.org/officeDocument/2006/relationships/hyperlink" Target="https://huaxue.hebtu.edu.cn/a/2025/09/23/A5A5BBD96F6B4410B87B6D4C43BDFD63.html" TargetMode="External" /><ns0:Relationship Id="journalLink2844" Type="http://schemas.openxmlformats.org/officeDocument/2006/relationships/hyperlink" Target="http://www.life-science-alliance.org/" TargetMode="External" /><ns0:Relationship Id="journalLink2845" Type="http://schemas.openxmlformats.org/officeDocument/2006/relationships/hyperlink" Target="https://openalex.org/S4210202458" TargetMode="External" /><ns0:Relationship Id="journalLink2846" Type="http://schemas.openxmlformats.org/officeDocument/2006/relationships/hyperlink" Target="https://www.niic.nsc.ru/phocadownload/publications/2025/JCR_JournalImpactFactor_2026.pdf#page=204" TargetMode="External" /><ns0:Relationship Id="journalLink2847" Type="http://schemas.openxmlformats.org/officeDocument/2006/relationships/hyperlink" Target="https://huaxue.hebtu.edu.cn/a/2025/09/23/A5A5BBD96F6B4410B87B6D4C43BDFD63.html" TargetMode="External" /><ns0:Relationship Id="journalLink2848" Type="http://schemas.openxmlformats.org/officeDocument/2006/relationships/hyperlink" Target="https://www.journals.elsevier.com/biochimica-et-biophysica-acta-general-subjects" TargetMode="External" /><ns0:Relationship Id="journalLink2849" Type="http://schemas.openxmlformats.org/officeDocument/2006/relationships/hyperlink" Target="https://openalex.org/S4210238601" TargetMode="External" /><ns0:Relationship Id="journalLink2850" Type="http://schemas.openxmlformats.org/officeDocument/2006/relationships/hyperlink" Target="https://www.niic.nsc.ru/phocadownload/publications/2025/JCR_JournalImpactFactor_2026.pdf#page=274" TargetMode="External" /><ns0:Relationship Id="journalLink2851" Type="http://schemas.openxmlformats.org/officeDocument/2006/relationships/hyperlink" Target="https://huaxue.hebtu.edu.cn/a/2025/09/23/A5A5BBD96F6B4410B87B6D4C43BDFD63.html" TargetMode="External" /><ns0:Relationship Id="journalLink2852" Type="http://schemas.openxmlformats.org/officeDocument/2006/relationships/hyperlink" Target="https://www.journals.elsevier.com/biophysical-chemistry" TargetMode="External" /><ns0:Relationship Id="journalLink2853" Type="http://schemas.openxmlformats.org/officeDocument/2006/relationships/hyperlink" Target="https://openalex.org/S63395545" TargetMode="External" /><ns0:Relationship Id="journalLink2854" Type="http://schemas.openxmlformats.org/officeDocument/2006/relationships/hyperlink" Target="https://www.niic.nsc.ru/phocadownload/publications/2025/JCR_JournalImpactFactor_2026.pdf#page=255" TargetMode="External" /><ns0:Relationship Id="journalLink2855" Type="http://schemas.openxmlformats.org/officeDocument/2006/relationships/hyperlink" Target="https://huaxue.hebtu.edu.cn/a/2025/09/23/A5A5BBD96F6B4410B87B6D4C43BDFD63.html" TargetMode="External" /><ns0:Relationship Id="journalLink2856" Type="http://schemas.openxmlformats.org/officeDocument/2006/relationships/hyperlink" Target="https://www.journals.elsevier.com/comparative-biochemistry-and-physiology-part-a-molecular-and-integrative-physiology" TargetMode="External" /><ns0:Relationship Id="journalLink2857" Type="http://schemas.openxmlformats.org/officeDocument/2006/relationships/hyperlink" Target="https://openalex.org/S193677276" TargetMode="External" /><ns0:Relationship Id="journalLink2858" Type="http://schemas.openxmlformats.org/officeDocument/2006/relationships/hyperlink" Target="https://www.niic.nsc.ru/phocadownload/publications/2025/JCR_JournalImpactFactor_2026.pdf#page=295" TargetMode="External" /><ns0:Relationship Id="journalLink2859" Type="http://schemas.openxmlformats.org/officeDocument/2006/relationships/hyperlink" Target="https://huaxue.hebtu.edu.cn/a/2025/09/23/A5A5BBD96F6B4410B87B6D4C43BDFD63.html" TargetMode="External" /><ns0:Relationship Id="journalLink2860" Type="http://schemas.openxmlformats.org/officeDocument/2006/relationships/hyperlink" Target="http://www.elsevier.com/wps/find/journaldescription.cws_home/622816/description#description" TargetMode="External" /><ns0:Relationship Id="journalLink2861" Type="http://schemas.openxmlformats.org/officeDocument/2006/relationships/hyperlink" Target="https://openalex.org/S136634221" TargetMode="External" /><ns0:Relationship Id="journalLink2862" Type="http://schemas.openxmlformats.org/officeDocument/2006/relationships/hyperlink" Target="https://www.niic.nsc.ru/phocadownload/publications/2025/JCR_JournalImpactFactor_2026.pdf#page=209" TargetMode="External" /><ns0:Relationship Id="journalLink2863" Type="http://schemas.openxmlformats.org/officeDocument/2006/relationships/hyperlink" Target="https://huaxue.hebtu.edu.cn/a/2025/09/23/A5A5BBD96F6B4410B87B6D4C43BDFD63.html" TargetMode="External" /><ns0:Relationship Id="journalLink2864" Type="http://schemas.openxmlformats.org/officeDocument/2006/relationships/hyperlink" Target="https://link.springer.com/journal/40851" TargetMode="External" /><ns0:Relationship Id="journalLink2865" Type="http://schemas.openxmlformats.org/officeDocument/2006/relationships/hyperlink" Target="https://openalex.org/S4210227033" TargetMode="External" /><ns0:Relationship Id="journalLink2866" Type="http://schemas.openxmlformats.org/officeDocument/2006/relationships/hyperlink" Target="https://www.niic.nsc.ru/phocadownload/publications/2025/JCR_JournalImpactFactor_2026.pdf#page=399" TargetMode="External" /><ns0:Relationship Id="journalLink2867" Type="http://schemas.openxmlformats.org/officeDocument/2006/relationships/hyperlink" Target="https://huaxue.hebtu.edu.cn/a/2025/09/23/A5A5BBD96F6B4410B87B6D4C43BDFD63.html" TargetMode="External" /><ns0:Relationship Id="journalLink2868" Type="http://schemas.openxmlformats.org/officeDocument/2006/relationships/hyperlink" Target="http://www.journals.uchicago.edu/pbz" TargetMode="External" /><ns0:Relationship Id="journalLink2869" Type="http://schemas.openxmlformats.org/officeDocument/2006/relationships/hyperlink" Target="https://openalex.org/S127706618" TargetMode="External" /><ns0:Relationship Id="journalLink2870" Type="http://schemas.openxmlformats.org/officeDocument/2006/relationships/hyperlink" Target="https://www.niic.nsc.ru/phocadownload/publications/2025/JCR_JournalImpactFactor_2026.pdf#page=352" TargetMode="External" /><ns0:Relationship Id="journalLink2871" Type="http://schemas.openxmlformats.org/officeDocument/2006/relationships/hyperlink" Target="https://huaxue.hebtu.edu.cn/a/2025/09/23/A5A5BBD96F6B4410B87B6D4C43BDFD63.html" TargetMode="External" /><ns0:Relationship Id="journalLink2872" Type="http://schemas.openxmlformats.org/officeDocument/2006/relationships/hyperlink" Target="http://www.asmjournals.org/" TargetMode="External" /><ns0:Relationship Id="journalLink2873" Type="http://schemas.openxmlformats.org/officeDocument/2006/relationships/hyperlink" Target="https://openalex.org/S165569574" TargetMode="External" /><ns0:Relationship Id="journalLink2874" Type="http://schemas.openxmlformats.org/officeDocument/2006/relationships/hyperlink" Target="https://www.niic.nsc.ru/phocadownload/publications/2025/JCR_JournalImpactFactor_2026.pdf#page=306" TargetMode="External" /><ns0:Relationship Id="journalLink2875" Type="http://schemas.openxmlformats.org/officeDocument/2006/relationships/hyperlink" Target="https://huaxue.hebtu.edu.cn/a/2025/09/23/A5A5BBD96F6B4410B87B6D4C43BDFD63.html" TargetMode="External" /><ns0:Relationship Id="journalLink2876" Type="http://schemas.openxmlformats.org/officeDocument/2006/relationships/hyperlink" Target="http://www.blackwellpublishing.com/jzo" TargetMode="External" /><ns0:Relationship Id="journalLink2877" Type="http://schemas.openxmlformats.org/officeDocument/2006/relationships/hyperlink" Target="https://openalex.org/S44571845" TargetMode="External" /><ns0:Relationship Id="journalLink2878" Type="http://schemas.openxmlformats.org/officeDocument/2006/relationships/hyperlink" Target="https://www.niic.nsc.ru/phocadownload/publications/2025/JCR_JournalImpactFactor_2026.pdf#page=308" TargetMode="External" /><ns0:Relationship Id="journalLink2879" Type="http://schemas.openxmlformats.org/officeDocument/2006/relationships/hyperlink" Target="https://huaxue.hebtu.edu.cn/a/2025/09/23/A5A5BBD96F6B4410B87B6D4C43BDFD63.html" TargetMode="External" /><ns0:Relationship Id="journalLink2880" Type="http://schemas.openxmlformats.org/officeDocument/2006/relationships/hyperlink" Target="https://link.springer.com/journal/360" TargetMode="External" /><ns0:Relationship Id="journalLink2881" Type="http://schemas.openxmlformats.org/officeDocument/2006/relationships/hyperlink" Target="https://openalex.org/S190640482" TargetMode="External" /><ns0:Relationship Id="journalLink2882" Type="http://schemas.openxmlformats.org/officeDocument/2006/relationships/hyperlink" Target="https://www.niic.nsc.ru/phocadownload/publications/2025/JCR_JournalImpactFactor_2026.pdf#page=384" TargetMode="External" /><ns0:Relationship Id="journalLink2883" Type="http://schemas.openxmlformats.org/officeDocument/2006/relationships/hyperlink" Target="https://huaxue.hebtu.edu.cn/a/2025/09/23/A5A5BBD96F6B4410B87B6D4C43BDFD63.html" TargetMode="External" /><ns0:Relationship Id="journalLink2884" Type="http://schemas.openxmlformats.org/officeDocument/2006/relationships/hyperlink" Target="http://zookeys.pensoft.net/" TargetMode="External" /><ns0:Relationship Id="journalLink2885" Type="http://schemas.openxmlformats.org/officeDocument/2006/relationships/hyperlink" Target="https://openalex.org/S199213172" TargetMode="External" /><ns0:Relationship Id="journalLink2886" Type="http://schemas.openxmlformats.org/officeDocument/2006/relationships/hyperlink" Target="https://www.niic.nsc.ru/phocadownload/publications/2025/JCR_JournalImpactFactor_2026.pdf#page=190" TargetMode="External" /><ns0:Relationship Id="journalLink2887" Type="http://schemas.openxmlformats.org/officeDocument/2006/relationships/hyperlink" Target="https://huaxue.hebtu.edu.cn/a/2025/09/23/A5A5BBD96F6B4410B87B6D4C43BDFD63.html" TargetMode="External" /><ns0:Relationship Id="journalLink2888" Type="http://schemas.openxmlformats.org/officeDocument/2006/relationships/hyperlink" Target="http://onlinelibrary.wiley.com/journal/10.1002/(ISSN)1873-3468" TargetMode="External" /><ns0:Relationship Id="journalLink2889" Type="http://schemas.openxmlformats.org/officeDocument/2006/relationships/hyperlink" Target="https://openalex.org/S104830714" TargetMode="External" /><ns0:Relationship Id="journalLink2890" Type="http://schemas.openxmlformats.org/officeDocument/2006/relationships/hyperlink" Target="https://www.niic.nsc.ru/phocadownload/publications/2025/JCR_JournalImpactFactor_2026.pdf#page=247" TargetMode="External" /><ns0:Relationship Id="journalLink2891" Type="http://schemas.openxmlformats.org/officeDocument/2006/relationships/hyperlink" Target="https://huaxue.hebtu.edu.cn/a/2025/09/23/A5A5BBD96F6B4410B87B6D4C43BDFD63.html" TargetMode="External" /><ns0:Relationship Id="journalLink2892" Type="http://schemas.openxmlformats.org/officeDocument/2006/relationships/hyperlink" Target="http://www.elsevier.com/wps/find/journaldescription.cws_home/622790/description" TargetMode="External" /><ns0:Relationship Id="journalLink2893" Type="http://schemas.openxmlformats.org/officeDocument/2006/relationships/hyperlink" Target="https://openalex.org/S151589183" TargetMode="External" /><ns0:Relationship Id="journalLink2894" Type="http://schemas.openxmlformats.org/officeDocument/2006/relationships/hyperlink" Target="https://www.niic.nsc.ru/phocadownload/publications/2025/JCR_JournalImpactFactor_2026.pdf#page=243" TargetMode="External" /><ns0:Relationship Id="journalLink2895" Type="http://schemas.openxmlformats.org/officeDocument/2006/relationships/hyperlink" Target="https://huaxue.hebtu.edu.cn/a/2025/09/23/A5A5BBD96F6B4410B87B6D4C43BDFD63.html" TargetMode="External" /><ns0:Relationship Id="journalLink2896" Type="http://schemas.openxmlformats.org/officeDocument/2006/relationships/hyperlink" Target="http://www.journals.elsevier.com/comparative-biochemistry-and-physiology-part-b-biochemistry-and-molecular-biology/" TargetMode="External" /><ns0:Relationship Id="journalLink2897" Type="http://schemas.openxmlformats.org/officeDocument/2006/relationships/hyperlink" Target="https://openalex.org/S102889028" TargetMode="External" /><ns0:Relationship Id="journalLink2898" Type="http://schemas.openxmlformats.org/officeDocument/2006/relationships/hyperlink" Target="https://www.niic.nsc.ru/phocadownload/publications/2025/JCR_JournalImpactFactor_2026.pdf#page=386" TargetMode="External" /><ns0:Relationship Id="journalLink2899" Type="http://schemas.openxmlformats.org/officeDocument/2006/relationships/hyperlink" Target="https://huaxue.hebtu.edu.cn/a/2025/09/23/A5A5BBD96F6B4410B87B6D4C43BDFD63.html" TargetMode="External" /><ns0:Relationship Id="journalLink2900" Type="http://schemas.openxmlformats.org/officeDocument/2006/relationships/hyperlink" Target="http://onlinelibrary.wiley.com/journal/10.1002/(ISSN)1097-0177" TargetMode="External" /><ns0:Relationship Id="journalLink2901" Type="http://schemas.openxmlformats.org/officeDocument/2006/relationships/hyperlink" Target="https://openalex.org/S104993753" TargetMode="External" /><ns0:Relationship Id="journalLink2902" Type="http://schemas.openxmlformats.org/officeDocument/2006/relationships/hyperlink" Target="https://www.niic.nsc.ru/phocadownload/publications/2025/JCR_JournalImpactFactor_2026.pdf#page=421" TargetMode="External" /><ns0:Relationship Id="journalLink2903" Type="http://schemas.openxmlformats.org/officeDocument/2006/relationships/hyperlink" Target="https://huaxue.hebtu.edu.cn/a/2025/09/23/A5A5BBD96F6B4410B87B6D4C43BDFD63.html" TargetMode="External" /><ns0:Relationship Id="journalLink2904" Type="http://schemas.openxmlformats.org/officeDocument/2006/relationships/hyperlink" Target="https://onlinelibrary.wiley.com/journal/14390310" TargetMode="External" /><ns0:Relationship Id="journalLink2905" Type="http://schemas.openxmlformats.org/officeDocument/2006/relationships/hyperlink" Target="https://openalex.org/S147866836" TargetMode="External" /><ns0:Relationship Id="journalLink2906" Type="http://schemas.openxmlformats.org/officeDocument/2006/relationships/hyperlink" Target="https://www.niic.nsc.ru/phocadownload/publications/2025/JCR_JournalImpactFactor_2026.pdf#page=489" TargetMode="External" /><ns0:Relationship Id="journalLink2907" Type="http://schemas.openxmlformats.org/officeDocument/2006/relationships/hyperlink" Target="https://huaxue.hebtu.edu.cn/a/2025/09/23/A5A5BBD96F6B4410B87B6D4C43BDFD63.html" TargetMode="External" /><ns0:Relationship Id="journalLink2908" Type="http://schemas.openxmlformats.org/officeDocument/2006/relationships/hyperlink" Target="http://www.mapress.com/zootaxa/" TargetMode="External" /><ns0:Relationship Id="journalLink2909" Type="http://schemas.openxmlformats.org/officeDocument/2006/relationships/hyperlink" Target="https://openalex.org/S171471881" TargetMode="External" /><ns0:Relationship Id="journalLink2910" Type="http://schemas.openxmlformats.org/officeDocument/2006/relationships/hyperlink" Target="https://www.niic.nsc.ru/phocadownload/publications/2025/JCR_JournalImpactFactor_2026.pdf#page=26" TargetMode="External" /><ns0:Relationship Id="journalLink2911" Type="http://schemas.openxmlformats.org/officeDocument/2006/relationships/hyperlink" Target="https://www.nature.com/natmentalhealth/" TargetMode="External" /><ns0:Relationship Id="journalLink2912" Type="http://schemas.openxmlformats.org/officeDocument/2006/relationships/hyperlink" Target="https://www.nature.com/natmentalhealth/" TargetMode="External" /><ns0:Relationship Id="journalLink2913" Type="http://schemas.openxmlformats.org/officeDocument/2006/relationships/hyperlink" Target="https://www.niic.nsc.ru/phocadownload/publications/2025/JCR_JournalImpactFactor_2026.pdf#page=31" TargetMode="External" /><ns0:Relationship Id="journalLink2914" Type="http://schemas.openxmlformats.org/officeDocument/2006/relationships/hyperlink" Target="https://www.cell.com/device/home" TargetMode="External" /><ns0:Relationship Id="journalLink2915" Type="http://schemas.openxmlformats.org/officeDocument/2006/relationships/hyperlink" Target="https://www.cell.com/device/home" TargetMode="External" /><ns0:Relationship Id="journalLink2916" Type="http://schemas.openxmlformats.org/officeDocument/2006/relationships/hyperlink" Target="https://www.niic.nsc.ru/phocadownload/publications/2025/JCR_JournalImpactFactor_2026.pdf" TargetMode="External" /><ns0:Relationship Id="journalLink2917" Type="http://schemas.openxmlformats.org/officeDocument/2006/relationships/hyperlink" Target="https://www.cell.com/cell-biomaterials/home" TargetMode="External" /><ns0:Relationship Id="journalLink2918" Type="http://schemas.openxmlformats.org/officeDocument/2006/relationships/hyperlink" Target="https://www.cell.com/cell-biomaterials/home" TargetMode="External" /><ns0:Relationship Id="journalLink2919" Type="http://schemas.openxmlformats.org/officeDocument/2006/relationships/hyperlink" Target="https://www.niic.nsc.ru/phocadownload/publications/2025/JCR_JournalImpactFactor_2026.pdf" TargetMode="External" /><ns0:Relationship Id="journalLink2920" Type="http://schemas.openxmlformats.org/officeDocument/2006/relationships/hyperlink" Target="https://www.sciengine.com/NSO/home" TargetMode="External" /><ns0:Relationship Id="journalLink2921" Type="http://schemas.openxmlformats.org/officeDocument/2006/relationships/hyperlink" Target="https://www.sciengine.com/NSO/home" TargetMode="External" /><ns0:Relationship Id="journalLink2922" Type="http://schemas.openxmlformats.org/officeDocument/2006/relationships/hyperlink" Target="https://www.niic.nsc.ru/phocadownload/publications/2025/JCR_JournalImpactFactor_2026.pdf#page=5" TargetMode="External" /><ns0:Relationship Id="journalLink2923" Type="http://schemas.openxmlformats.org/officeDocument/2006/relationships/hyperlink" Target="https://huaxue.hebtu.edu.cn/a/2025/09/23/A5A5BBD96F6B4410B87B6D4C43BDFD63.html" TargetMode="External" /><ns0:Relationship Id="journalLink2924" Type="http://schemas.openxmlformats.org/officeDocument/2006/relationships/hyperlink" Target="https://www.nature.com/natfood/" TargetMode="External" /><ns0:Relationship Id="journalLink2925" Type="http://schemas.openxmlformats.org/officeDocument/2006/relationships/hyperlink" Target="https://openalex.org/S4210207988" TargetMode="External" /><ns0:Relationship Id="journalLink2926" Type="http://schemas.openxmlformats.org/officeDocument/2006/relationships/hyperlink" Target="https://www.niic.nsc.ru/phocadownload/publications/2025/JCR_JournalImpactFactor_2026.pdf#page=9" TargetMode="External" /><ns0:Relationship Id="journalLink2927" Type="http://schemas.openxmlformats.org/officeDocument/2006/relationships/hyperlink" Target="https://huaxue.hebtu.edu.cn/a/2025/09/23/A5A5BBD96F6B4410B87B6D4C43BDFD63.html" TargetMode="External" /><ns0:Relationship Id="journalLink2928" Type="http://schemas.openxmlformats.org/officeDocument/2006/relationships/hyperlink" Target="http://www.elsevier.com/locate/issn/09242244" TargetMode="External" /><ns0:Relationship Id="journalLink2929" Type="http://schemas.openxmlformats.org/officeDocument/2006/relationships/hyperlink" Target="https://openalex.org/S89023782" TargetMode="External" /><ns0:Relationship Id="journalLink2930" Type="http://schemas.openxmlformats.org/officeDocument/2006/relationships/hyperlink" Target="https://www.niic.nsc.ru/phocadownload/publications/2025/JCR_JournalImpactFactor_2026.pdf#page=11" TargetMode="External" /><ns0:Relationship Id="journalLink2931" Type="http://schemas.openxmlformats.org/officeDocument/2006/relationships/hyperlink" Target="https://huaxue.hebtu.edu.cn/a/2025/09/23/A5A5BBD96F6B4410B87B6D4C43BDFD63.html" TargetMode="External" /><ns0:Relationship Id="journalLink2932" Type="http://schemas.openxmlformats.org/officeDocument/2006/relationships/hyperlink" Target="http://www.wiley.com/bw/journal.asp?ref=1541-4337&amp;site=1" TargetMode="External" /><ns0:Relationship Id="journalLink2933" Type="http://schemas.openxmlformats.org/officeDocument/2006/relationships/hyperlink" Target="https://openalex.org/S336866" TargetMode="External" /><ns0:Relationship Id="journalLink2934" Type="http://schemas.openxmlformats.org/officeDocument/2006/relationships/hyperlink" Target="https://www.niic.nsc.ru/phocadownload/publications/2025/JCR_JournalImpactFactor_2026.pdf#page=11" TargetMode="External" /><ns0:Relationship Id="journalLink2935" Type="http://schemas.openxmlformats.org/officeDocument/2006/relationships/hyperlink" Target="https://huaxue.hebtu.edu.cn/a/2025/09/23/A5A5BBD96F6B4410B87B6D4C43BDFD63.html" TargetMode="External" /><ns0:Relationship Id="journalLink2936" Type="http://schemas.openxmlformats.org/officeDocument/2006/relationships/hyperlink" Target="http://www.annualreviews.org/journal/food" TargetMode="External" /><ns0:Relationship Id="journalLink2937" Type="http://schemas.openxmlformats.org/officeDocument/2006/relationships/hyperlink" Target="https://openalex.org/S4210185937" TargetMode="External" /><ns0:Relationship Id="journalLink2938" Type="http://schemas.openxmlformats.org/officeDocument/2006/relationships/hyperlink" Target="https://www.niic.nsc.ru/phocadownload/publications/2025/JCR_JournalImpactFactor_2026.pdf#page=13" TargetMode="External" /><ns0:Relationship Id="journalLink2939" Type="http://schemas.openxmlformats.org/officeDocument/2006/relationships/hyperlink" Target="https://huaxue.hebtu.edu.cn/a/2025/09/23/A5A5BBD96F6B4410B87B6D4C43BDFD63.html" TargetMode="External" /><ns0:Relationship Id="journalLink2940" Type="http://schemas.openxmlformats.org/officeDocument/2006/relationships/hyperlink" Target="https://www.journals.elsevier.com/food-hydrocolloids" TargetMode="External" /><ns0:Relationship Id="journalLink2941" Type="http://schemas.openxmlformats.org/officeDocument/2006/relationships/hyperlink" Target="https://openalex.org/S168584722" TargetMode="External" /><ns0:Relationship Id="journalLink2942" Type="http://schemas.openxmlformats.org/officeDocument/2006/relationships/hyperlink" Target="https://www.niic.nsc.ru/phocadownload/publications/2025/JCR_JournalImpactFactor_2026.pdf#page=20" TargetMode="External" /><ns0:Relationship Id="journalLink2943" Type="http://schemas.openxmlformats.org/officeDocument/2006/relationships/hyperlink" Target="https://huaxue.hebtu.edu.cn/a/2025/09/23/A5A5BBD96F6B4410B87B6D4C43BDFD63.html" TargetMode="External" /><ns0:Relationship Id="journalLink2944" Type="http://schemas.openxmlformats.org/officeDocument/2006/relationships/hyperlink" Target="https://www.journals.elsevier.com/food-packaging-and-shelf-life" TargetMode="External" /><ns0:Relationship Id="journalLink2945" Type="http://schemas.openxmlformats.org/officeDocument/2006/relationships/hyperlink" Target="https://openalex.org/S2764480744" TargetMode="External" /><ns0:Relationship Id="journalLink2946" Type="http://schemas.openxmlformats.org/officeDocument/2006/relationships/hyperlink" Target="https://www.niic.nsc.ru/phocadownload/publications/2025/JCR_JournalImpactFactor_2026.pdf#page=22" TargetMode="External" /><ns0:Relationship Id="journalLink2947" Type="http://schemas.openxmlformats.org/officeDocument/2006/relationships/hyperlink" Target="https://huaxue.hebtu.edu.cn/a/2025/09/23/A5A5BBD96F6B4410B87B6D4C43BDFD63.html" TargetMode="External" /><ns0:Relationship Id="journalLink2948" Type="http://schemas.openxmlformats.org/officeDocument/2006/relationships/hyperlink" Target="http://www.elsevier.com/wps/find/journaldescription.cws_home/405857/description#description" TargetMode="External" /><ns0:Relationship Id="journalLink2949" Type="http://schemas.openxmlformats.org/officeDocument/2006/relationships/hyperlink" Target="https://openalex.org/S98026630" TargetMode="External" /><ns0:Relationship Id="journalLink2950" Type="http://schemas.openxmlformats.org/officeDocument/2006/relationships/hyperlink" Target="https://www.niic.nsc.ru/phocadownload/publications/2025/JCR_JournalImpactFactor_2026.pdf#page=27" TargetMode="External" /><ns0:Relationship Id="journalLink2951" Type="http://schemas.openxmlformats.org/officeDocument/2006/relationships/hyperlink" Target="https://huaxue.hebtu.edu.cn/a/2025/09/23/A5A5BBD96F6B4410B87B6D4C43BDFD63.html" TargetMode="External" /><ns0:Relationship Id="journalLink2952" Type="http://schemas.openxmlformats.org/officeDocument/2006/relationships/hyperlink" Target="https://www.journals.elsevier.com/food-chemistry-x" TargetMode="External" /><ns0:Relationship Id="journalLink2953" Type="http://schemas.openxmlformats.org/officeDocument/2006/relationships/hyperlink" Target="https://openalex.org/S4210189394" TargetMode="External" /><ns0:Relationship Id="journalLink2954" Type="http://schemas.openxmlformats.org/officeDocument/2006/relationships/hyperlink" Target="https://www.niic.nsc.ru/phocadownload/publications/2025/JCR_JournalImpactFactor_2026.pdf#page=29" TargetMode="External" /><ns0:Relationship Id="journalLink2955" Type="http://schemas.openxmlformats.org/officeDocument/2006/relationships/hyperlink" Target="https://huaxue.hebtu.edu.cn/a/2025/09/23/A5A5BBD96F6B4410B87B6D4C43BDFD63.html" TargetMode="External" /><ns0:Relationship Id="journalLink2956" Type="http://schemas.openxmlformats.org/officeDocument/2006/relationships/hyperlink" Target="https://www.journals.elsevier.com/food-research-international" TargetMode="External" /><ns0:Relationship Id="journalLink2957" Type="http://schemas.openxmlformats.org/officeDocument/2006/relationships/hyperlink" Target="https://openalex.org/S38919146" TargetMode="External" /><ns0:Relationship Id="journalLink2958" Type="http://schemas.openxmlformats.org/officeDocument/2006/relationships/hyperlink" Target="https://www.niic.nsc.ru/phocadownload/publications/2025/JCR_JournalImpactFactor_2026.pdf#page=25" TargetMode="External" /><ns0:Relationship Id="journalLink2959" Type="http://schemas.openxmlformats.org/officeDocument/2006/relationships/hyperlink" Target="https://huaxue.hebtu.edu.cn/a/2025/09/23/A5A5BBD96F6B4410B87B6D4C43BDFD63.html" TargetMode="External" /><ns0:Relationship Id="journalLink2960" Type="http://schemas.openxmlformats.org/officeDocument/2006/relationships/hyperlink" Target="https://www.nature.com/npjscifood/" TargetMode="External" /><ns0:Relationship Id="journalLink2961" Type="http://schemas.openxmlformats.org/officeDocument/2006/relationships/hyperlink" Target="https://openalex.org/S4210241007" TargetMode="External" /><ns0:Relationship Id="journalLink2962" Type="http://schemas.openxmlformats.org/officeDocument/2006/relationships/hyperlink" Target="https://www.niic.nsc.ru/phocadownload/publications/2025/JCR_JournalImpactFactor_2026.pdf#page=43" TargetMode="External" /><ns0:Relationship Id="journalLink2963" Type="http://schemas.openxmlformats.org/officeDocument/2006/relationships/hyperlink" Target="https://huaxue.hebtu.edu.cn/a/2025/09/23/A5A5BBD96F6B4410B87B6D4C43BDFD63.html" TargetMode="External" /><ns0:Relationship Id="journalLink2964" Type="http://schemas.openxmlformats.org/officeDocument/2006/relationships/hyperlink" Target="https://www.sciencedirect.com/journal/food-science-and-human-wellness" TargetMode="External" /><ns0:Relationship Id="journalLink2965" Type="http://schemas.openxmlformats.org/officeDocument/2006/relationships/hyperlink" Target="https://openalex.org/S2764902628" TargetMode="External" /><ns0:Relationship Id="journalLink2966" Type="http://schemas.openxmlformats.org/officeDocument/2006/relationships/hyperlink" Target="https://www.niic.nsc.ru/phocadownload/publications/2025/JCR_JournalImpactFactor_2026.pdf#page=45" TargetMode="External" /><ns0:Relationship Id="journalLink2967" Type="http://schemas.openxmlformats.org/officeDocument/2006/relationships/hyperlink" Target="https://huaxue.hebtu.edu.cn/a/2025/09/23/A5A5BBD96F6B4410B87B6D4C43BDFD63.html" TargetMode="External" /><ns0:Relationship Id="journalLink2968" Type="http://schemas.openxmlformats.org/officeDocument/2006/relationships/hyperlink" Target="https://www.sciencedirect.com/journal/the-american-journal-of-clinical-nutrition" TargetMode="External" /><ns0:Relationship Id="journalLink2969" Type="http://schemas.openxmlformats.org/officeDocument/2006/relationships/hyperlink" Target="https://openalex.org/S71285955" TargetMode="External" /><ns0:Relationship Id="journalLink2970" Type="http://schemas.openxmlformats.org/officeDocument/2006/relationships/hyperlink" Target="https://www.niic.nsc.ru/phocadownload/publications/2025/JCR_JournalImpactFactor_2026.pdf#page=48" TargetMode="External" /><ns0:Relationship Id="journalLink2971" Type="http://schemas.openxmlformats.org/officeDocument/2006/relationships/hyperlink" Target="https://huaxue.hebtu.edu.cn/a/2025/09/23/A5A5BBD96F6B4410B87B6D4C43BDFD63.html" TargetMode="External" /><ns0:Relationship Id="journalLink2972" Type="http://schemas.openxmlformats.org/officeDocument/2006/relationships/hyperlink" Target="http://www.elsevier.com/wps/find/journaldescription.cws_home/620381/description#description" TargetMode="External" /><ns0:Relationship Id="journalLink2973" Type="http://schemas.openxmlformats.org/officeDocument/2006/relationships/hyperlink" Target="https://openalex.org/S130676932" TargetMode="External" /><ns0:Relationship Id="journalLink2974" Type="http://schemas.openxmlformats.org/officeDocument/2006/relationships/hyperlink" Target="https://www.niic.nsc.ru/phocadownload/publications/2025/JCR_JournalImpactFactor_2026.pdf#page=46" TargetMode="External" /><ns0:Relationship Id="journalLink2975" Type="http://schemas.openxmlformats.org/officeDocument/2006/relationships/hyperlink" Target="https://huaxue.hebtu.edu.cn/a/2025/09/23/A5A5BBD96F6B4410B87B6D4C43BDFD63.html" TargetMode="External" /><ns0:Relationship Id="journalLink2976" Type="http://schemas.openxmlformats.org/officeDocument/2006/relationships/hyperlink" Target="https://www.sciencedirect.com/journal/lwt" TargetMode="External" /><ns0:Relationship Id="journalLink2977" Type="http://schemas.openxmlformats.org/officeDocument/2006/relationships/hyperlink" Target="https://openalex.org/S26760650" TargetMode="External" /><ns0:Relationship Id="journalLink2978" Type="http://schemas.openxmlformats.org/officeDocument/2006/relationships/hyperlink" Target="https://www.niic.nsc.ru/phocadownload/publications/2025/JCR_JournalImpactFactor_2026.pdf#page=47" TargetMode="External" /><ns0:Relationship Id="journalLink2979" Type="http://schemas.openxmlformats.org/officeDocument/2006/relationships/hyperlink" Target="https://huaxue.hebtu.edu.cn/a/2025/09/23/A5A5BBD96F6B4410B87B6D4C43BDFD63.html" TargetMode="External" /><ns0:Relationship Id="journalLink2980" Type="http://schemas.openxmlformats.org/officeDocument/2006/relationships/hyperlink" Target="https://www.journals.elsevier.com/food-control" TargetMode="External" /><ns0:Relationship Id="journalLink2981" Type="http://schemas.openxmlformats.org/officeDocument/2006/relationships/hyperlink" Target="https://openalex.org/S119525064" TargetMode="External" /><ns0:Relationship Id="journalLink2982" Type="http://schemas.openxmlformats.org/officeDocument/2006/relationships/hyperlink" Target="https://www.niic.nsc.ru/phocadownload/publications/2025/JCR_JournalImpactFactor_2026.pdf#page=51" TargetMode="External" /><ns0:Relationship Id="journalLink2983" Type="http://schemas.openxmlformats.org/officeDocument/2006/relationships/hyperlink" Target="https://huaxue.hebtu.edu.cn/a/2025/09/23/A5A5BBD96F6B4410B87B6D4C43BDFD63.html" TargetMode="External" /><ns0:Relationship Id="journalLink2984" Type="http://schemas.openxmlformats.org/officeDocument/2006/relationships/hyperlink" Target="http://pubs.acs.org/journal/jafcau" TargetMode="External" /><ns0:Relationship Id="journalLink2985" Type="http://schemas.openxmlformats.org/officeDocument/2006/relationships/hyperlink" Target="https://openalex.org/S134644764" TargetMode="External" /><ns0:Relationship Id="journalLink2986" Type="http://schemas.openxmlformats.org/officeDocument/2006/relationships/hyperlink" Target="https://www.niic.nsc.ru/phocadownload/publications/2025/JCR_JournalImpactFactor_2026.pdf#page=68" TargetMode="External" /><ns0:Relationship Id="journalLink2987" Type="http://schemas.openxmlformats.org/officeDocument/2006/relationships/hyperlink" Target="https://huaxue.hebtu.edu.cn/a/2025/09/23/A5A5BBD96F6B4410B87B6D4C43BDFD63.html" TargetMode="External" /><ns0:Relationship Id="journalLink2988" Type="http://schemas.openxmlformats.org/officeDocument/2006/relationships/hyperlink" Target="https://www.journals.elsevier.com/international-journal-of-food-microbiology" TargetMode="External" /><ns0:Relationship Id="journalLink2989" Type="http://schemas.openxmlformats.org/officeDocument/2006/relationships/hyperlink" Target="https://openalex.org/S132626406" TargetMode="External" /><ns0:Relationship Id="journalLink2990" Type="http://schemas.openxmlformats.org/officeDocument/2006/relationships/hyperlink" Target="https://www.niic.nsc.ru/phocadownload/publications/2025/JCR_JournalImpactFactor_2026.pdf#page=64" TargetMode="External" /><ns0:Relationship Id="journalLink2991" Type="http://schemas.openxmlformats.org/officeDocument/2006/relationships/hyperlink" Target="https://huaxue.hebtu.edu.cn/a/2025/09/23/A5A5BBD96F6B4410B87B6D4C43BDFD63.html" TargetMode="External" /><ns0:Relationship Id="journalLink2992" Type="http://schemas.openxmlformats.org/officeDocument/2006/relationships/hyperlink" Target="http://www.elsevier.com/wps/find/journaldescription.cws_home/405859/description#description" TargetMode="External" /><ns0:Relationship Id="journalLink2993" Type="http://schemas.openxmlformats.org/officeDocument/2006/relationships/hyperlink" Target="https://openalex.org/S194662844" TargetMode="External" /><ns0:Relationship Id="journalLink2994" Type="http://schemas.openxmlformats.org/officeDocument/2006/relationships/hyperlink" Target="https://www.niic.nsc.ru/phocadownload/publications/2025/JCR_JournalImpactFactor_2026.pdf#page=75" TargetMode="External" /><ns0:Relationship Id="journalLink2995" Type="http://schemas.openxmlformats.org/officeDocument/2006/relationships/hyperlink" Target="https://huaxue.hebtu.edu.cn/a/2025/09/23/A5A5BBD96F6B4410B87B6D4C43BDFD63.html" TargetMode="External" /><ns0:Relationship Id="journalLink2996" Type="http://schemas.openxmlformats.org/officeDocument/2006/relationships/hyperlink" Target="https://www.journals.elsevier.com/food-microbiology" TargetMode="External" /><ns0:Relationship Id="journalLink2997" Type="http://schemas.openxmlformats.org/officeDocument/2006/relationships/hyperlink" Target="https://openalex.org/S50630504" TargetMode="External" /><ns0:Relationship Id="journalLink2998" Type="http://schemas.openxmlformats.org/officeDocument/2006/relationships/hyperlink" Target="https://www.niic.nsc.ru/phocadownload/publications/2025/JCR_JournalImpactFactor_2026.pdf#page=15" TargetMode="External" /><ns0:Relationship Id="journalLink2999" Type="http://schemas.openxmlformats.org/officeDocument/2006/relationships/hyperlink" Target="https://huaxue.hebtu.edu.cn/a/2025/09/23/A5A5BBD96F6B4410B87B6D4C43BDFD63.html" TargetMode="External" /><ns0:Relationship Id="journalLink3000" Type="http://schemas.openxmlformats.org/officeDocument/2006/relationships/hyperlink" Target="https://www.sciencedirect.com/journal/advances-in-nutrition" TargetMode="External" /><ns0:Relationship Id="journalLink3001" Type="http://schemas.openxmlformats.org/officeDocument/2006/relationships/hyperlink" Target="https://openalex.org/S2491932416" TargetMode="External" /><ns0:Relationship Id="journalLink3002" Type="http://schemas.openxmlformats.org/officeDocument/2006/relationships/hyperlink" Target="https://www.niic.nsc.ru/phocadownload/publications/2025/JCR_JournalImpactFactor_2026.pdf#page=21" TargetMode="External" /><ns0:Relationship Id="journalLink3003" Type="http://schemas.openxmlformats.org/officeDocument/2006/relationships/hyperlink" Target="https://huaxue.hebtu.edu.cn/a/2025/09/23/A5A5BBD96F6B4410B87B6D4C43BDFD63.html" TargetMode="External" /><ns0:Relationship Id="journalLink3004" Type="http://schemas.openxmlformats.org/officeDocument/2006/relationships/hyperlink" Target="http://www.tandfonline.com/toc/bfsn20/current#.UnwKBJSxO3N" TargetMode="External" /><ns0:Relationship Id="journalLink3005" Type="http://schemas.openxmlformats.org/officeDocument/2006/relationships/hyperlink" Target="https://openalex.org/S70620193" TargetMode="External" /><ns0:Relationship Id="journalLink3006" Type="http://schemas.openxmlformats.org/officeDocument/2006/relationships/hyperlink" Target="https://www.niic.nsc.ru/phocadownload/publications/2025/JCR_JournalImpactFactor_2026.pdf#page=59" TargetMode="External" /><ns0:Relationship Id="journalLink3007" Type="http://schemas.openxmlformats.org/officeDocument/2006/relationships/hyperlink" Target="https://huaxue.hebtu.edu.cn/a/2025/09/23/A5A5BBD96F6B4410B87B6D4C43BDFD63.html" TargetMode="External" /><ns0:Relationship Id="journalLink3008" Type="http://schemas.openxmlformats.org/officeDocument/2006/relationships/hyperlink" Target="https://www.journals.elsevier.com/food-bioscience" TargetMode="External" /><ns0:Relationship Id="journalLink3009" Type="http://schemas.openxmlformats.org/officeDocument/2006/relationships/hyperlink" Target="https://openalex.org/S2764726840" TargetMode="External" /><ns0:Relationship Id="journalLink3010" Type="http://schemas.openxmlformats.org/officeDocument/2006/relationships/hyperlink" Target="https://www.niic.nsc.ru/phocadownload/publications/2025/JCR_JournalImpactFactor_2026.pdf#page=71" TargetMode="External" /><ns0:Relationship Id="journalLink3011" Type="http://schemas.openxmlformats.org/officeDocument/2006/relationships/hyperlink" Target="https://huaxue.hebtu.edu.cn/a/2025/09/23/A5A5BBD96F6B4410B87B6D4C43BDFD63.html" TargetMode="External" /><ns0:Relationship Id="journalLink3012" Type="http://schemas.openxmlformats.org/officeDocument/2006/relationships/hyperlink" Target="http://www.springer.com/11947" TargetMode="External" /><ns0:Relationship Id="journalLink3013" Type="http://schemas.openxmlformats.org/officeDocument/2006/relationships/hyperlink" Target="https://openalex.org/S181365921" TargetMode="External" /><ns0:Relationship Id="journalLink3014" Type="http://schemas.openxmlformats.org/officeDocument/2006/relationships/hyperlink" Target="https://www.niic.nsc.ru/phocadownload/publications/2025/JCR_JournalImpactFactor_2026.pdf#page=66" TargetMode="External" /><ns0:Relationship Id="journalLink3015" Type="http://schemas.openxmlformats.org/officeDocument/2006/relationships/hyperlink" Target="https://huaxue.hebtu.edu.cn/a/2025/09/23/A5A5BBD96F6B4410B87B6D4C43BDFD63.html" TargetMode="External" /><ns0:Relationship Id="journalLink3016" Type="http://schemas.openxmlformats.org/officeDocument/2006/relationships/hyperlink" Target="https://www.journals.elsevier.com/journal-of-food-engineering" TargetMode="External" /><ns0:Relationship Id="journalLink3017" Type="http://schemas.openxmlformats.org/officeDocument/2006/relationships/hyperlink" Target="https://openalex.org/S137362610" TargetMode="External" /><ns0:Relationship Id="journalLink3018" Type="http://schemas.openxmlformats.org/officeDocument/2006/relationships/hyperlink" Target="https://www.niic.nsc.ru/phocadownload/publications/2025/JCR_JournalImpactFactor_2026.pdf#page=57" TargetMode="External" /><ns0:Relationship Id="journalLink3019" Type="http://schemas.openxmlformats.org/officeDocument/2006/relationships/hyperlink" Target="https://huaxue.hebtu.edu.cn/a/2025/09/23/A5A5BBD96F6B4410B87B6D4C43BDFD63.html" TargetMode="External" /><ns0:Relationship Id="journalLink3020" Type="http://schemas.openxmlformats.org/officeDocument/2006/relationships/hyperlink" Target="https://www.rsc.org/publishing/journals/food-and-function" TargetMode="External" /><ns0:Relationship Id="journalLink3021" Type="http://schemas.openxmlformats.org/officeDocument/2006/relationships/hyperlink" Target="https://www.rsc.org/publishing/journals/food-and-function" TargetMode="External" /><ns0:Relationship Id="journalLink3022" Type="http://schemas.openxmlformats.org/officeDocument/2006/relationships/hyperlink" Target="https://www.niic.nsc.ru/phocadownload/publications/2025/JCR_JournalImpactFactor_2026.pdf#page=62" TargetMode="External" /><ns0:Relationship Id="journalLink3023" Type="http://schemas.openxmlformats.org/officeDocument/2006/relationships/hyperlink" Target="https://huaxue.hebtu.edu.cn/a/2025/09/23/A5A5BBD96F6B4410B87B6D4C43BDFD63.html" TargetMode="External" /><ns0:Relationship Id="journalLink3024" Type="http://schemas.openxmlformats.org/officeDocument/2006/relationships/hyperlink" Target="http://www.mdpi.com/journal/foods" TargetMode="External" /><ns0:Relationship Id="journalLink3025" Type="http://schemas.openxmlformats.org/officeDocument/2006/relationships/hyperlink" Target="https://openalex.org/S2737939966" TargetMode="External" /><ns0:Relationship Id="journalLink3026" Type="http://schemas.openxmlformats.org/officeDocument/2006/relationships/hyperlink" Target="https://www.niic.nsc.ru/phocadownload/publications/2025/JCR_JournalImpactFactor_2026.pdf#page=66" TargetMode="External" /><ns0:Relationship Id="journalLink3027" Type="http://schemas.openxmlformats.org/officeDocument/2006/relationships/hyperlink" Target="https://huaxue.hebtu.edu.cn/a/2025/09/23/A5A5BBD96F6B4410B87B6D4C43BDFD63.html" TargetMode="External" /><ns0:Relationship Id="journalLink3028" Type="http://schemas.openxmlformats.org/officeDocument/2006/relationships/hyperlink" Target="http://www.mdpi.com/journal/nutrients/" TargetMode="External" /><ns0:Relationship Id="journalLink3029" Type="http://schemas.openxmlformats.org/officeDocument/2006/relationships/hyperlink" Target="https://openalex.org/S110785341" TargetMode="External" /><ns0:Relationship Id="journalLink3030" Type="http://schemas.openxmlformats.org/officeDocument/2006/relationships/hyperlink" Target="https://www.niic.nsc.ru/phocadownload/publications/2025/JCR_JournalImpactFactor_2026.pdf#page=58" TargetMode="External" /><ns0:Relationship Id="journalLink3031" Type="http://schemas.openxmlformats.org/officeDocument/2006/relationships/hyperlink" Target="https://huaxue.hebtu.edu.cn/a/2025/09/23/A5A5BBD96F6B4410B87B6D4C43BDFD63.html" TargetMode="External" /><ns0:Relationship Id="journalLink3032" Type="http://schemas.openxmlformats.org/officeDocument/2006/relationships/hyperlink" Target="http://nutritionreviews.oxfordjournals.org" TargetMode="External" /><ns0:Relationship Id="journalLink3033" Type="http://schemas.openxmlformats.org/officeDocument/2006/relationships/hyperlink" Target="https://openalex.org/S38078933" TargetMode="External" /><ns0:Relationship Id="journalLink3034" Type="http://schemas.openxmlformats.org/officeDocument/2006/relationships/hyperlink" Target="https://www.niic.nsc.ru/phocadownload/publications/2025/JCR_JournalImpactFactor_2026.pdf#page=78" TargetMode="External" /><ns0:Relationship Id="journalLink3035" Type="http://schemas.openxmlformats.org/officeDocument/2006/relationships/hyperlink" Target="https://huaxue.hebtu.edu.cn/a/2025/09/23/A5A5BBD96F6B4410B87B6D4C43BDFD63.html" TargetMode="External" /><ns0:Relationship Id="journalLink3036" Type="http://schemas.openxmlformats.org/officeDocument/2006/relationships/hyperlink" Target="http://www.journals.elsevier.com/journal-of-food-composition-and-analysis/" TargetMode="External" /><ns0:Relationship Id="journalLink3037" Type="http://schemas.openxmlformats.org/officeDocument/2006/relationships/hyperlink" Target="https://openalex.org/S25323420" TargetMode="External" /><ns0:Relationship Id="journalLink3038" Type="http://schemas.openxmlformats.org/officeDocument/2006/relationships/hyperlink" Target="https://www.niic.nsc.ru/phocadownload/publications/2025/JCR_JournalImpactFactor_2026.pdf#page=132" TargetMode="External" /><ns0:Relationship Id="journalLink3039" Type="http://schemas.openxmlformats.org/officeDocument/2006/relationships/hyperlink" Target="https://huaxue.hebtu.edu.cn/a/2025/09/23/A5A5BBD96F6B4410B87B6D4C43BDFD63.html" TargetMode="External" /><ns0:Relationship Id="journalLink3040" Type="http://schemas.openxmlformats.org/officeDocument/2006/relationships/hyperlink" Target="https://www.journals.elsevier.com/journal-of-functional-foods" TargetMode="External" /><ns0:Relationship Id="journalLink3041" Type="http://schemas.openxmlformats.org/officeDocument/2006/relationships/hyperlink" Target="https://openalex.org/S8548135" TargetMode="External" /><ns0:Relationship Id="journalLink3042" Type="http://schemas.openxmlformats.org/officeDocument/2006/relationships/hyperlink" Target="https://www.niic.nsc.ru/phocadownload/publications/2025/JCR_JournalImpactFactor_2026.pdf#page=87" TargetMode="External" /><ns0:Relationship Id="journalLink3043" Type="http://schemas.openxmlformats.org/officeDocument/2006/relationships/hyperlink" Target="https://huaxue.hebtu.edu.cn/a/2025/09/23/A5A5BBD96F6B4410B87B6D4C43BDFD63.html" TargetMode="External" /><ns0:Relationship Id="journalLink3044" Type="http://schemas.openxmlformats.org/officeDocument/2006/relationships/hyperlink" Target="https://onlinelibrary.wiley.com/journal/20487177" TargetMode="External" /><ns0:Relationship Id="journalLink3045" Type="http://schemas.openxmlformats.org/officeDocument/2006/relationships/hyperlink" Target="https://openalex.org/S2764587058" TargetMode="External" /><ns0:Relationship Id="journalLink3046" Type="http://schemas.openxmlformats.org/officeDocument/2006/relationships/hyperlink" Target="https://www.niic.nsc.ru/phocadownload/publications/2025/JCR_JournalImpactFactor_2026.pdf#page=189" TargetMode="External" /><ns0:Relationship Id="journalLink3047" Type="http://schemas.openxmlformats.org/officeDocument/2006/relationships/hyperlink" Target="https://huaxue.hebtu.edu.cn/a/2025/09/23/A5A5BBD96F6B4410B87B6D4C43BDFD63.html" TargetMode="External" /><ns0:Relationship Id="journalLink3048" Type="http://schemas.openxmlformats.org/officeDocument/2006/relationships/hyperlink" Target="https://www.journals.elsevier.com/international-dairy-journal" TargetMode="External" /><ns0:Relationship Id="journalLink3049" Type="http://schemas.openxmlformats.org/officeDocument/2006/relationships/hyperlink" Target="https://openalex.org/S184773532" TargetMode="External" /><ns0:Relationship Id="journalLink3050" Type="http://schemas.openxmlformats.org/officeDocument/2006/relationships/hyperlink" Target="https://www.niic.nsc.ru/phocadownload/publications/2025/JCR_JournalImpactFactor_2026.pdf#page=104" TargetMode="External" /><ns0:Relationship Id="journalLink3051" Type="http://schemas.openxmlformats.org/officeDocument/2006/relationships/hyperlink" Target="https://huaxue.hebtu.edu.cn/a/2025/09/23/A5A5BBD96F6B4410B87B6D4C43BDFD63.html" TargetMode="External" /><ns0:Relationship Id="journalLink3052" Type="http://schemas.openxmlformats.org/officeDocument/2006/relationships/hyperlink" Target="https://onlinelibrary.wiley.com/journal/16134133" TargetMode="External" /><ns0:Relationship Id="journalLink3053" Type="http://schemas.openxmlformats.org/officeDocument/2006/relationships/hyperlink" Target="https://openalex.org/S27638457" TargetMode="External" /><ns0:Relationship Id="journalLink3054" Type="http://schemas.openxmlformats.org/officeDocument/2006/relationships/hyperlink" Target="https://www.niic.nsc.ru/phocadownload/publications/2025/JCR_JournalImpactFactor_2026.pdf#page=126" TargetMode="External" /><ns0:Relationship Id="journalLink3055" Type="http://schemas.openxmlformats.org/officeDocument/2006/relationships/hyperlink" Target="https://huaxue.hebtu.edu.cn/a/2025/09/23/A5A5BBD96F6B4410B87B6D4C43BDFD63.html" TargetMode="External" /><ns0:Relationship Id="journalLink3056" Type="http://schemas.openxmlformats.org/officeDocument/2006/relationships/hyperlink" Target="http://www.mdpi.com/journal/toxins/" TargetMode="External" /><ns0:Relationship Id="journalLink3057" Type="http://schemas.openxmlformats.org/officeDocument/2006/relationships/hyperlink" Target="https://openalex.org/S128990672" TargetMode="External" /><ns0:Relationship Id="journalLink3058" Type="http://schemas.openxmlformats.org/officeDocument/2006/relationships/hyperlink" Target="https://www.niic.nsc.ru/phocadownload/publications/2025/JCR_JournalImpactFactor_2026.pdf#page=116" TargetMode="External" /><ns0:Relationship Id="journalLink3059" Type="http://schemas.openxmlformats.org/officeDocument/2006/relationships/hyperlink" Target="https://huaxue.hebtu.edu.cn/a/2025/09/23/A5A5BBD96F6B4410B87B6D4C43BDFD63.html" TargetMode="External" /><ns0:Relationship Id="journalLink3060" Type="http://schemas.openxmlformats.org/officeDocument/2006/relationships/hyperlink" Target="https://www.sciencedirect.com/journal/the-journal-of-nutrition" TargetMode="External" /><ns0:Relationship Id="journalLink3061" Type="http://schemas.openxmlformats.org/officeDocument/2006/relationships/hyperlink" Target="https://openalex.org/S88153332" TargetMode="External" /><ns0:Relationship Id="journalLink3062" Type="http://schemas.openxmlformats.org/officeDocument/2006/relationships/hyperlink" Target="https://www.niic.nsc.ru/phocadownload/publications/2025/JCR_JournalImpactFactor_2026.pdf#page=122" TargetMode="External" /><ns0:Relationship Id="journalLink3063" Type="http://schemas.openxmlformats.org/officeDocument/2006/relationships/hyperlink" Target="https://huaxue.hebtu.edu.cn/a/2025/09/23/A5A5BBD96F6B4410B87B6D4C43BDFD63.html" TargetMode="External" /><ns0:Relationship Id="journalLink3064" Type="http://schemas.openxmlformats.org/officeDocument/2006/relationships/hyperlink" Target="http://www.wiley.com/bw/journal.asp?ref=0022-1147" TargetMode="External" /><ns0:Relationship Id="journalLink3065" Type="http://schemas.openxmlformats.org/officeDocument/2006/relationships/hyperlink" Target="https://openalex.org/S23579880" TargetMode="External" /><ns0:Relationship Id="journalLink3066" Type="http://schemas.openxmlformats.org/officeDocument/2006/relationships/hyperlink" Target="https://www.niic.nsc.ru/phocadownload/publications/2025/JCR_JournalImpactFactor_2026.pdf#page=117" TargetMode="External" /><ns0:Relationship Id="journalLink3067" Type="http://schemas.openxmlformats.org/officeDocument/2006/relationships/hyperlink" Target="https://huaxue.hebtu.edu.cn/a/2025/09/23/A5A5BBD96F6B4410B87B6D4C43BDFD63.html" TargetMode="External" /><ns0:Relationship Id="journalLink3068" Type="http://schemas.openxmlformats.org/officeDocument/2006/relationships/hyperlink" Target="https://link.springer.com/journal/217" TargetMode="External" /><ns0:Relationship Id="journalLink3069" Type="http://schemas.openxmlformats.org/officeDocument/2006/relationships/hyperlink" Target="https://openalex.org/S169454776" TargetMode="External" /><ns0:Relationship Id="journalLink3070" Type="http://schemas.openxmlformats.org/officeDocument/2006/relationships/hyperlink" Target="https://www.niic.nsc.ru/phocadownload/publications/2025/JCR_JournalImpactFactor_2026.pdf#page=188" TargetMode="External" /><ns0:Relationship Id="journalLink3071" Type="http://schemas.openxmlformats.org/officeDocument/2006/relationships/hyperlink" Target="https://huaxue.hebtu.edu.cn/a/2025/09/23/A5A5BBD96F6B4410B87B6D4C43BDFD63.html" TargetMode="External" /><ns0:Relationship Id="journalLink3072" Type="http://schemas.openxmlformats.org/officeDocument/2006/relationships/hyperlink" Target="http://journals.cambridge.org/action/displayJournal?jid=BJN" TargetMode="External" /><ns0:Relationship Id="journalLink3073" Type="http://schemas.openxmlformats.org/officeDocument/2006/relationships/hyperlink" Target="https://openalex.org/S4218381" TargetMode="External" /><ns0:Relationship Id="journalLink3074" Type="http://schemas.openxmlformats.org/officeDocument/2006/relationships/hyperlink" Target="https://www.niic.nsc.ru/phocadownload/publications/2025/JCR_JournalImpactFactor_2026.pdf#page=197" TargetMode="External" /><ns0:Relationship Id="journalLink3075" Type="http://schemas.openxmlformats.org/officeDocument/2006/relationships/hyperlink" Target="https://huaxue.hebtu.edu.cn/a/2025/09/23/A5A5BBD96F6B4410B87B6D4C43BDFD63.html" TargetMode="External" /><ns0:Relationship Id="journalLink3076" Type="http://schemas.openxmlformats.org/officeDocument/2006/relationships/hyperlink" Target="https://www.springer.com/journal/12161" TargetMode="External" /><ns0:Relationship Id="journalLink3077" Type="http://schemas.openxmlformats.org/officeDocument/2006/relationships/hyperlink" Target="https://openalex.org/S190445914" TargetMode="External" /><ns0:Relationship Id="journalLink3078" Type="http://schemas.openxmlformats.org/officeDocument/2006/relationships/hyperlink" Target="https://www.niic.nsc.ru/phocadownload/publications/2025/JCR_JournalImpactFactor_2026.pdf#page=228" TargetMode="External" /><ns0:Relationship Id="journalLink3079" Type="http://schemas.openxmlformats.org/officeDocument/2006/relationships/hyperlink" Target="https://huaxue.hebtu.edu.cn/a/2025/09/23/A5A5BBD96F6B4410B87B6D4C43BDFD63.html" TargetMode="External" /><ns0:Relationship Id="journalLink3080" Type="http://schemas.openxmlformats.org/officeDocument/2006/relationships/hyperlink" Target="https://onlinelibrary.wiley.com/journal/14710307" TargetMode="External" /><ns0:Relationship Id="journalLink3081" Type="http://schemas.openxmlformats.org/officeDocument/2006/relationships/hyperlink" Target="https://openalex.org/S143529392" TargetMode="External" /><ns0:Relationship Id="journalLink3082" Type="http://schemas.openxmlformats.org/officeDocument/2006/relationships/hyperlink" Target="https://www.niic.nsc.ru/phocadownload/publications/2025/JCR_JournalImpactFactor_2026.pdf#page=143" TargetMode="External" /><ns0:Relationship Id="journalLink3083" Type="http://schemas.openxmlformats.org/officeDocument/2006/relationships/hyperlink" Target="https://huaxue.hebtu.edu.cn/a/2025/09/23/A5A5BBD96F6B4410B87B6D4C43BDFD63.html" TargetMode="External" /><ns0:Relationship Id="journalLink3084" Type="http://schemas.openxmlformats.org/officeDocument/2006/relationships/hyperlink" Target="https://www.sciencedirect.com/journal/journal-of-food-protection" TargetMode="External" /><ns0:Relationship Id="journalLink3085" Type="http://schemas.openxmlformats.org/officeDocument/2006/relationships/hyperlink" Target="https://openalex.org/S66401815" TargetMode="External" /><ns0:Relationship Id="journalLink3086" Type="http://schemas.openxmlformats.org/officeDocument/2006/relationships/hyperlink" Target="https://www.niic.nsc.ru/phocadownload/publications/2025/JCR_JournalImpactFactor_2026.pdf#page=248" TargetMode="External" /><ns0:Relationship Id="journalLink3087" Type="http://schemas.openxmlformats.org/officeDocument/2006/relationships/hyperlink" Target="https://huaxue.hebtu.edu.cn/a/2025/09/23/A5A5BBD96F6B4410B87B6D4C43BDFD63.html" TargetMode="External" /><ns0:Relationship Id="journalLink3088" Type="http://schemas.openxmlformats.org/officeDocument/2006/relationships/hyperlink" Target="https://www.tandfonline.com/toc/tfac20/current" TargetMode="External" /><ns0:Relationship Id="journalLink3089" Type="http://schemas.openxmlformats.org/officeDocument/2006/relationships/hyperlink" Target="https://openalex.org/S4210190642" TargetMode="External" /><ns0:Relationship Id="journalLink3090" Type="http://schemas.openxmlformats.org/officeDocument/2006/relationships/hyperlink" Target="https://www.niic.nsc.ru/phocadownload/publications/2025/JCR_JournalImpactFactor_2026.pdf#page=178" TargetMode="External" /><ns0:Relationship Id="journalLink3091" Type="http://schemas.openxmlformats.org/officeDocument/2006/relationships/hyperlink" Target="https://huaxue.hebtu.edu.cn/a/2025/09/23/A5A5BBD96F6B4410B87B6D4C43BDFD63.html" TargetMode="External" /><ns0:Relationship Id="journalLink3092" Type="http://schemas.openxmlformats.org/officeDocument/2006/relationships/hyperlink" Target="https://www.journals.elsevier.com/food-and-chemical-toxicology" TargetMode="External" /><ns0:Relationship Id="journalLink3093" Type="http://schemas.openxmlformats.org/officeDocument/2006/relationships/hyperlink" Target="https://openalex.org/S84231135" TargetMode="External" /><ns0:Relationship Id="journalLink3094" Type="http://schemas.openxmlformats.org/officeDocument/2006/relationships/hyperlink" Target="https://www.niic.nsc.ru/phocadownload/publications/2025/JCR_JournalImpactFactor_2026.pdf#page=173" TargetMode="External" /><ns0:Relationship Id="journalLink3095" Type="http://schemas.openxmlformats.org/officeDocument/2006/relationships/hyperlink" Target="https://huaxue.hebtu.edu.cn/a/2025/09/23/A5A5BBD96F6B4410B87B6D4C43BDFD63.html" TargetMode="External" /><ns0:Relationship Id="journalLink3096" Type="http://schemas.openxmlformats.org/officeDocument/2006/relationships/hyperlink" Target="https://onlinelibrary.wiley.com/journal/13652621" TargetMode="External" /><ns0:Relationship Id="journalLink3097" Type="http://schemas.openxmlformats.org/officeDocument/2006/relationships/hyperlink" Target="https://openalex.org/S106548112" TargetMode="External" /><ns0:Relationship Id="journalLink3098" Type="http://schemas.openxmlformats.org/officeDocument/2006/relationships/hyperlink" Target="https://www.niic.nsc.ru/phocadownload/publications/2025/JCR_JournalImpactFactor_2026.pdf#page=154" TargetMode="External" /><ns0:Relationship Id="journalLink3099" Type="http://schemas.openxmlformats.org/officeDocument/2006/relationships/hyperlink" Target="https://huaxue.hebtu.edu.cn/a/2025/09/23/A5A5BBD96F6B4410B87B6D4C43BDFD63.html" TargetMode="External" /><ns0:Relationship Id="journalLink3100" Type="http://schemas.openxmlformats.org/officeDocument/2006/relationships/hyperlink" Target="https://link.springer.com/journal/12550" TargetMode="External" /><ns0:Relationship Id="journalLink3101" Type="http://schemas.openxmlformats.org/officeDocument/2006/relationships/hyperlink" Target="https://openalex.org/S81373472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2.xml" Id="R803449f352394273" /><ns0:Relationship Id="journalLink1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2" Type="http://schemas.openxmlformats.org/officeDocument/2006/relationships/hyperlink" Target="https://www.sciengine.com/SSV/home" TargetMode="External" /><ns0:Relationship Id="journalLink3" Type="http://schemas.openxmlformats.org/officeDocument/2006/relationships/hyperlink" Target="https://www.sciengine.com/SSV/home" TargetMode="External" /><ns0:Relationship Id="journalLink4" Type="http://schemas.openxmlformats.org/officeDocument/2006/relationships/hyperlink" Target="https://journal-platform-1305836431.cos.ap-beijing.myqcloud.com//zhongnan/article_attachment/2026/0403/72JaqPON-xwAffdKnkDhh.pdf#page=32" TargetMode="External" /><ns0:Relationship Id="journalLink5" Type="http://schemas.openxmlformats.org/officeDocument/2006/relationships/hyperlink" Target="https://www.sciengine.com/CSB/home" TargetMode="External" /><ns0:Relationship Id="journalLink6" Type="http://schemas.openxmlformats.org/officeDocument/2006/relationships/hyperlink" Target="https://www.sciengine.com/CSB/home" TargetMode="External" /><ns0:Relationship Id="journalLink7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8" Type="http://schemas.openxmlformats.org/officeDocument/2006/relationships/hyperlink" Target="https://cjb.ijournals.cn/cjbcn/home" TargetMode="External" /><ns0:Relationship Id="journalLink9" Type="http://schemas.openxmlformats.org/officeDocument/2006/relationships/hyperlink" Target="https://cjb.ijournals.cn/cjbcn/home" TargetMode="External" /><ns0:Relationship Id="journalLink10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11" Type="http://schemas.openxmlformats.org/officeDocument/2006/relationships/hyperlink" Target="https://biotech.aiijournal.com/CN/1002-5464/home.shtml" TargetMode="External" /><ns0:Relationship Id="journalLink12" Type="http://schemas.openxmlformats.org/officeDocument/2006/relationships/hyperlink" Target="https://biotech.aiijournal.com/CN/1002-5464/home.shtml" TargetMode="External" /><ns0:Relationship Id="journalLink13" Type="http://schemas.openxmlformats.org/officeDocument/2006/relationships/hyperlink" Target="https://journal-platform-1305836431.cos.ap-beijing.myqcloud.com//zhongnan/article_attachment/2026/0403/72JaqPON-xwAffdKnkDhh.pdf#page=57" TargetMode="External" /><ns0:Relationship Id="journalLink14" Type="http://schemas.openxmlformats.org/officeDocument/2006/relationships/hyperlink" Target="https://swjs.cbpt.cnki.net/" TargetMode="External" /><ns0:Relationship Id="journalLink15" Type="http://schemas.openxmlformats.org/officeDocument/2006/relationships/hyperlink" Target="https://swjs.cbpt.cnki.net/" TargetMode="External" /><ns0:Relationship Id="journalLink16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17" Type="http://schemas.openxmlformats.org/officeDocument/2006/relationships/hyperlink" Target="http://www.swjsjz.cn/" TargetMode="External" /><ns0:Relationship Id="journalLink18" Type="http://schemas.openxmlformats.org/officeDocument/2006/relationships/hyperlink" Target="http://www.swjsjz.cn/" TargetMode="External" /><ns0:Relationship Id="journalLink19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20" Type="http://schemas.openxmlformats.org/officeDocument/2006/relationships/hyperlink" Target="http://www.swxzz.com/CN/1673-6141/home.shtml" TargetMode="External" /><ns0:Relationship Id="journalLink21" Type="http://schemas.openxmlformats.org/officeDocument/2006/relationships/hyperlink" Target="http://www.swxzz.com/CN/1673-6141/home.shtml" TargetMode="External" /><ns0:Relationship Id="journalLink22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23" Type="http://schemas.openxmlformats.org/officeDocument/2006/relationships/hyperlink" Target="https://lifescience.sinh.ac.cn/" TargetMode="External" /><ns0:Relationship Id="journalLink24" Type="http://schemas.openxmlformats.org/officeDocument/2006/relationships/hyperlink" Target="https://lifescience.sinh.ac.cn/" TargetMode="External" /><ns0:Relationship Id="journalLink25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26" Type="http://schemas.openxmlformats.org/officeDocument/2006/relationships/hyperlink" Target="https://smkx.hunnu.edu.cn/CN/home" TargetMode="External" /><ns0:Relationship Id="journalLink27" Type="http://schemas.openxmlformats.org/officeDocument/2006/relationships/hyperlink" Target="https://smkx.hunnu.edu.cn/CN/home" TargetMode="External" /><ns0:Relationship Id="journalLink28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29" Type="http://schemas.openxmlformats.org/officeDocument/2006/relationships/hyperlink" Target="https://www.chinagene.cn/CN/0253-9772/home.shtml" TargetMode="External" /><ns0:Relationship Id="journalLink30" Type="http://schemas.openxmlformats.org/officeDocument/2006/relationships/hyperlink" Target="https://www.chinagene.cn/CN/0253-9772/home.shtml" TargetMode="External" /><ns0:Relationship Id="journalLink31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32" Type="http://schemas.openxmlformats.org/officeDocument/2006/relationships/hyperlink" Target="https://cjournal.hep.com.cn/1674-568X/CN/home" TargetMode="External" /><ns0:Relationship Id="journalLink33" Type="http://schemas.openxmlformats.org/officeDocument/2006/relationships/hyperlink" Target="https://cjournal.hep.com.cn/1674-568X/CN/home" TargetMode="External" /><ns0:Relationship Id="journalLink34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35" Type="http://schemas.openxmlformats.org/officeDocument/2006/relationships/hyperlink" Target="http://cjbmb.bjmu.edu.cn/CN/current" TargetMode="External" /><ns0:Relationship Id="journalLink36" Type="http://schemas.openxmlformats.org/officeDocument/2006/relationships/hyperlink" Target="http://cjbmb.bjmu.edu.cn/CN/current" TargetMode="External" /><ns0:Relationship Id="journalLink37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38" Type="http://schemas.openxmlformats.org/officeDocument/2006/relationships/hyperlink" Target="https://www.pibb.ac.cn/" TargetMode="External" /><ns0:Relationship Id="journalLink39" Type="http://schemas.openxmlformats.org/officeDocument/2006/relationships/hyperlink" Target="https://www.pibb.ac.cn/" TargetMode="External" /><ns0:Relationship Id="journalLink40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41" Type="http://schemas.openxmlformats.org/officeDocument/2006/relationships/hyperlink" Target="https://www.cjcb.org/portal/dzyk.jsp" TargetMode="External" /><ns0:Relationship Id="journalLink42" Type="http://schemas.openxmlformats.org/officeDocument/2006/relationships/hyperlink" Target="https://www.cjcb.org/portal/dzyk.jsp" TargetMode="External" /><ns0:Relationship Id="journalLink43" Type="http://schemas.openxmlformats.org/officeDocument/2006/relationships/hyperlink" Target="https://journal-platform-1305836431.cos.ap-beijing.myqcloud.com//zhongnan/article_attachment/2026/0403/72JaqPON-xwAffdKnkDhh.pdf#page=71" TargetMode="External" /><ns0:Relationship Id="journalLink44" Type="http://schemas.openxmlformats.org/officeDocument/2006/relationships/hyperlink" Target="https://xbfm.cbpt.cnki.net/portal" TargetMode="External" /><ns0:Relationship Id="journalLink45" Type="http://schemas.openxmlformats.org/officeDocument/2006/relationships/hyperlink" Target="https://xbfm.cbpt.cnki.net/portal" TargetMode="External" /><ns0:Relationship Id="journalLink46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47" Type="http://schemas.openxmlformats.org/officeDocument/2006/relationships/hyperlink" Target="https://www.synbioj.com/zh/home/" TargetMode="External" /><ns0:Relationship Id="journalLink48" Type="http://schemas.openxmlformats.org/officeDocument/2006/relationships/hyperlink" Target="https://www.synbioj.com/zh/home/" TargetMode="External" /><ns0:Relationship Id="journalLink49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50" Type="http://schemas.openxmlformats.org/officeDocument/2006/relationships/hyperlink" Target="https://actamicro.ijournals.cn/actamicrocn/home" TargetMode="External" /><ns0:Relationship Id="journalLink51" Type="http://schemas.openxmlformats.org/officeDocument/2006/relationships/hyperlink" Target="https://actamicro.ijournals.cn/actamicrocn/home" TargetMode="External" /><ns0:Relationship Id="journalLink52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53" Type="http://schemas.openxmlformats.org/officeDocument/2006/relationships/hyperlink" Target="https://wswxtb.ijournals.cn/wswxtbcn/home" TargetMode="External" /><ns0:Relationship Id="journalLink54" Type="http://schemas.openxmlformats.org/officeDocument/2006/relationships/hyperlink" Target="https://wswxtb.ijournals.cn/wswxtbcn/home" TargetMode="External" /><ns0:Relationship Id="journalLink55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56" Type="http://schemas.openxmlformats.org/officeDocument/2006/relationships/hyperlink" Target="http://wswx.cnjournals.com/ch/index.aspx" TargetMode="External" /><ns0:Relationship Id="journalLink57" Type="http://schemas.openxmlformats.org/officeDocument/2006/relationships/hyperlink" Target="http://wswx.cnjournals.com/ch/index.aspx" TargetMode="External" /><ns0:Relationship Id="journalLink58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59" Type="http://schemas.openxmlformats.org/officeDocument/2006/relationships/hyperlink" Target="http://journals.im.ac.cn/jwxtcn/ch/index.aspx" TargetMode="External" /><ns0:Relationship Id="journalLink60" Type="http://schemas.openxmlformats.org/officeDocument/2006/relationships/hyperlink" Target="http://journals.im.ac.cn/jwxtcn/ch/index.aspx" TargetMode="External" /><ns0:Relationship Id="journalLink61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62" Type="http://schemas.openxmlformats.org/officeDocument/2006/relationships/hyperlink" Target="http://journals.caass.org.cn/jwyj/CN/home" TargetMode="External" /><ns0:Relationship Id="journalLink63" Type="http://schemas.openxmlformats.org/officeDocument/2006/relationships/hyperlink" Target="http://journals.caass.org.cn/jwyj/CN/home" TargetMode="External" /><ns0:Relationship Id="journalLink64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65" Type="http://schemas.openxmlformats.org/officeDocument/2006/relationships/hyperlink" Target="https://www.biodiversity-science.net/" TargetMode="External" /><ns0:Relationship Id="journalLink66" Type="http://schemas.openxmlformats.org/officeDocument/2006/relationships/hyperlink" Target="https://www.biodiversity-science.net/" TargetMode="External" /><ns0:Relationship Id="journalLink67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68" Type="http://schemas.openxmlformats.org/officeDocument/2006/relationships/hyperlink" Target="https://www.chinbullbotany.com/" TargetMode="External" /><ns0:Relationship Id="journalLink69" Type="http://schemas.openxmlformats.org/officeDocument/2006/relationships/hyperlink" Target="https://www.chinbullbotany.com/" TargetMode="External" /><ns0:Relationship Id="journalLink70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71" Type="http://schemas.openxmlformats.org/officeDocument/2006/relationships/hyperlink" Target="https://www.plant-ecology.com/" TargetMode="External" /><ns0:Relationship Id="journalLink72" Type="http://schemas.openxmlformats.org/officeDocument/2006/relationships/hyperlink" Target="https://www.plant-ecology.com/" TargetMode="External" /><ns0:Relationship Id="journalLink73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74" Type="http://schemas.openxmlformats.org/officeDocument/2006/relationships/hyperlink" Target="https://www.sciengine.com/PPJ/home" TargetMode="External" /><ns0:Relationship Id="journalLink75" Type="http://schemas.openxmlformats.org/officeDocument/2006/relationships/hyperlink" Target="https://www.sciengine.com/PPJ/home" TargetMode="External" /><ns0:Relationship Id="journalLink76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77" Type="http://schemas.openxmlformats.org/officeDocument/2006/relationships/hyperlink" Target="https://plantscience.cn/index.htm" TargetMode="External" /><ns0:Relationship Id="journalLink78" Type="http://schemas.openxmlformats.org/officeDocument/2006/relationships/hyperlink" Target="https://plantscience.cn/index.htm" TargetMode="External" /><ns0:Relationship Id="journalLink79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80" Type="http://schemas.openxmlformats.org/officeDocument/2006/relationships/hyperlink" Target="http://xbzwxb.alljournal.net/xbzwxb/home" TargetMode="External" /><ns0:Relationship Id="journalLink81" Type="http://schemas.openxmlformats.org/officeDocument/2006/relationships/hyperlink" Target="http://xbzwxb.alljournal.net/xbzwxb/home" TargetMode="External" /><ns0:Relationship Id="journalLink82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83" Type="http://schemas.openxmlformats.org/officeDocument/2006/relationships/hyperlink" Target="https://www.integrativebiology.ac.cn/jotasb/CN/home" TargetMode="External" /><ns0:Relationship Id="journalLink84" Type="http://schemas.openxmlformats.org/officeDocument/2006/relationships/hyperlink" Target="https://www.integrativebiology.ac.cn/jotasb/CN/home" TargetMode="External" /><ns0:Relationship Id="journalLink85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86" Type="http://schemas.openxmlformats.org/officeDocument/2006/relationships/hyperlink" Target="https://gxzw.ijournals.cn/gxzw/ch/index.aspx" TargetMode="External" /><ns0:Relationship Id="journalLink87" Type="http://schemas.openxmlformats.org/officeDocument/2006/relationships/hyperlink" Target="https://gxzw.ijournals.cn/gxzw/ch/index.aspx" TargetMode="External" /><ns0:Relationship Id="journalLink88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89" Type="http://schemas.openxmlformats.org/officeDocument/2006/relationships/hyperlink" Target="https://bbr.nefu.edu.cn/" TargetMode="External" /><ns0:Relationship Id="journalLink90" Type="http://schemas.openxmlformats.org/officeDocument/2006/relationships/hyperlink" Target="https://bbr.nefu.edu.cn/" TargetMode="External" /><ns0:Relationship Id="journalLink91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92" Type="http://schemas.openxmlformats.org/officeDocument/2006/relationships/hyperlink" Target="https://zwzy.jib.ac.cn/" TargetMode="External" /><ns0:Relationship Id="journalLink93" Type="http://schemas.openxmlformats.org/officeDocument/2006/relationships/hyperlink" Target="https://zwzy.jib.ac.cn/" TargetMode="External" /><ns0:Relationship Id="journalLink94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95" Type="http://schemas.openxmlformats.org/officeDocument/2006/relationships/hyperlink" Target="https://www.integrativebiology.ac.cn/yyyhjswxb/CN/current" TargetMode="External" /><ns0:Relationship Id="journalLink96" Type="http://schemas.openxmlformats.org/officeDocument/2006/relationships/hyperlink" Target="https://www.integrativebiology.ac.cn/yyyhjswxb/CN/current" TargetMode="External" /><ns0:Relationship Id="journalLink97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98" Type="http://schemas.openxmlformats.org/officeDocument/2006/relationships/hyperlink" Target="http://dwxzz.ioz.ac.cn/dwxb/home" TargetMode="External" /><ns0:Relationship Id="journalLink99" Type="http://schemas.openxmlformats.org/officeDocument/2006/relationships/hyperlink" Target="http://dwxzz.ioz.ac.cn/dwxb/home" TargetMode="External" /><ns0:Relationship Id="journalLink100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101" Type="http://schemas.openxmlformats.org/officeDocument/2006/relationships/hyperlink" Target="https://www.mammal.cn/CN/1000-1050/home.shtml" TargetMode="External" /><ns0:Relationship Id="journalLink102" Type="http://schemas.openxmlformats.org/officeDocument/2006/relationships/hyperlink" Target="https://www.mammal.cn/CN/1000-1050/home.shtml" TargetMode="External" /><ns0:Relationship Id="journalLink103" Type="http://schemas.openxmlformats.org/officeDocument/2006/relationships/hyperlink" Target="https://journal-platform-1305836431.cos.ap-beijing.myqcloud.com//zhongnan/article_attachment/2026/0403/72JaqPON-xwAffdKnkDhh.pdf#page=56" TargetMode="External" /><ns0:Relationship Id="journalLink104" Type="http://schemas.openxmlformats.org/officeDocument/2006/relationships/hyperlink" Target="https://jourtrics.hep.com.cn/journal?journalId=1019598576195285312&amp;basicId=1" TargetMode="External" /><ns0:Relationship Id="journalLink105" Type="http://schemas.openxmlformats.org/officeDocument/2006/relationships/hyperlink" Target="https://jourtrics.hep.com.cn/journal?journalId=1019598576195285312&amp;basicId=1" TargetMode="External" /><ns0:Relationship Id="journalLink106" Type="http://schemas.openxmlformats.org/officeDocument/2006/relationships/hyperlink" Target="https://journal-platform-1305836431.cos.ap-beijing.myqcloud.com//zhongnan/article_attachment/2026/0403/72JaqPON-xwAffdKnkDhh.pdf#page=92" TargetMode="External" /><ns0:Relationship Id="journalLink107" Type="http://schemas.openxmlformats.org/officeDocument/2006/relationships/hyperlink" Target="https://www.chinaagrisci.com/CN/0578-1752/home.shtml" TargetMode="External" /><ns0:Relationship Id="journalLink108" Type="http://schemas.openxmlformats.org/officeDocument/2006/relationships/hyperlink" Target="https://www.chinaagrisci.com/CN/0578-1752/home.shtml" TargetMode="External" /><ns0:Relationship Id="journalLink109" Type="http://schemas.openxmlformats.org/officeDocument/2006/relationships/hyperlink" Target="https://journal-platform-1305836431.cos.ap-beijing.myqcloud.com//zhongnan/article_attachment/2026/0403/72JaqPON-xwAffdKnkDhh.pdf#page=92" TargetMode="External" /><ns0:Relationship Id="journalLink110" Type="http://schemas.openxmlformats.org/officeDocument/2006/relationships/hyperlink" Target="https://www.casb.org.cn/" TargetMode="External" /><ns0:Relationship Id="journalLink111" Type="http://schemas.openxmlformats.org/officeDocument/2006/relationships/hyperlink" Target="https://www.casb.org.cn/" TargetMode="External" /><ns0:Relationship Id="journalLink112" Type="http://schemas.openxmlformats.org/officeDocument/2006/relationships/hyperlink" Target="https://journal-platform-1305836431.cos.ap-beijing.myqcloud.com//zhongnan/article_attachment/2026/0403/72JaqPON-xwAffdKnkDhh.pdf#page=92" TargetMode="External" /><ns0:Relationship Id="journalLink113" Type="http://schemas.openxmlformats.org/officeDocument/2006/relationships/hyperlink" Target="https://nyxdhyj.isa.ac.cn/" TargetMode="External" /><ns0:Relationship Id="journalLink114" Type="http://schemas.openxmlformats.org/officeDocument/2006/relationships/hyperlink" Target="https://nyxdhyj.isa.ac.cn/" TargetMode="External" /><ns0:Relationship Id="journalLink115" Type="http://schemas.openxmlformats.org/officeDocument/2006/relationships/hyperlink" Target="https://journal-platform-1305836431.cos.ap-beijing.myqcloud.com//zhongnan/article_attachment/2026/0403/72JaqPON-xwAffdKnkDhh.pdf#page=92" TargetMode="External" /><ns0:Relationship Id="journalLink116" Type="http://schemas.openxmlformats.org/officeDocument/2006/relationships/hyperlink" Target="https://cjournal.hep.com.cn/1007-4333/CN/home" TargetMode="External" /><ns0:Relationship Id="journalLink117" Type="http://schemas.openxmlformats.org/officeDocument/2006/relationships/hyperlink" Target="https://cjournal.hep.com.cn/1007-4333/CN/home" TargetMode="External" /><ns0:Relationship Id="journalLink118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19" Type="http://schemas.openxmlformats.org/officeDocument/2006/relationships/hyperlink" Target="https://nauxb.njau.edu.cn/" TargetMode="External" /><ns0:Relationship Id="journalLink120" Type="http://schemas.openxmlformats.org/officeDocument/2006/relationships/hyperlink" Target="https://nauxb.njau.edu.cn/" TargetMode="External" /><ns0:Relationship Id="journalLink121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22" Type="http://schemas.openxmlformats.org/officeDocument/2006/relationships/hyperlink" Target="https://cjournal.hep.com.cn/1000-2421/CN/home" TargetMode="External" /><ns0:Relationship Id="journalLink123" Type="http://schemas.openxmlformats.org/officeDocument/2006/relationships/hyperlink" Target="https://cjournal.hep.com.cn/1000-2421/CN/home" TargetMode="External" /><ns0:Relationship Id="journalLink124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25" Type="http://schemas.openxmlformats.org/officeDocument/2006/relationships/hyperlink" Target="https://journal.scau.edu.cn/" TargetMode="External" /><ns0:Relationship Id="journalLink126" Type="http://schemas.openxmlformats.org/officeDocument/2006/relationships/hyperlink" Target="https://journal.scau.edu.cn/" TargetMode="External" /><ns0:Relationship Id="journalLink127" Type="http://schemas.openxmlformats.org/officeDocument/2006/relationships/hyperlink" Target="https://journal-platform-1305836431.cos.ap-beijing.myqcloud.com//zhongnan/article_attachment/2026/0403/72JaqPON-xwAffdKnkDhh.pdf#page=92" TargetMode="External" /><ns0:Relationship Id="journalLink128" Type="http://schemas.openxmlformats.org/officeDocument/2006/relationships/hyperlink" Target="https://cjournal.hep.com.cn/1671-9387/CN/home" TargetMode="External" /><ns0:Relationship Id="journalLink129" Type="http://schemas.openxmlformats.org/officeDocument/2006/relationships/hyperlink" Target="https://cjournal.hep.com.cn/1671-9387/CN/home" TargetMode="External" /><ns0:Relationship Id="journalLink130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31" Type="http://schemas.openxmlformats.org/officeDocument/2006/relationships/hyperlink" Target="https://www.dbdn.cbpt.cnki.net/WKD/WebPublication/index.aspx" TargetMode="External" /><ns0:Relationship Id="journalLink132" Type="http://schemas.openxmlformats.org/officeDocument/2006/relationships/hyperlink" Target="https://www.dbdn.cbpt.cnki.net/WKD/WebPublication/index.aspx" TargetMode="External" /><ns0:Relationship Id="journalLink133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34" Type="http://schemas.openxmlformats.org/officeDocument/2006/relationships/hyperlink" Target="https://syny.cbpt.cnki.net/portal" TargetMode="External" /><ns0:Relationship Id="journalLink135" Type="http://schemas.openxmlformats.org/officeDocument/2006/relationships/hyperlink" Target="https://syny.cbpt.cnki.net/portal" TargetMode="External" /><ns0:Relationship Id="journalLink136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37" Type="http://schemas.openxmlformats.org/officeDocument/2006/relationships/hyperlink" Target="https://nnxb.cbpt.cnki.net/portal" TargetMode="External" /><ns0:Relationship Id="journalLink138" Type="http://schemas.openxmlformats.org/officeDocument/2006/relationships/hyperlink" Target="https://nnxb.cbpt.cnki.net/portal" TargetMode="External" /><ns0:Relationship Id="journalLink139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40" Type="http://schemas.openxmlformats.org/officeDocument/2006/relationships/hyperlink" Target="https://xb.hunau.edu.cn/hnndzr/ch/index.aspx" TargetMode="External" /><ns0:Relationship Id="journalLink141" Type="http://schemas.openxmlformats.org/officeDocument/2006/relationships/hyperlink" Target="https://xb.hunau.edu.cn/hnndzr/ch/index.aspx" TargetMode="External" /><ns0:Relationship Id="journalLink142" Type="http://schemas.openxmlformats.org/officeDocument/2006/relationships/hyperlink" Target="https://journal-platform-1305836431.cos.ap-beijing.myqcloud.com//zhongnan/article_attachment/2026/0403/72JaqPON-xwAffdKnkDhh.pdf#page=94" TargetMode="External" /><ns0:Relationship Id="journalLink143" Type="http://schemas.openxmlformats.org/officeDocument/2006/relationships/hyperlink" Target="https://cjournal.hep.com.cn/1000-2324/CN/home" TargetMode="External" /><ns0:Relationship Id="journalLink144" Type="http://schemas.openxmlformats.org/officeDocument/2006/relationships/hyperlink" Target="https://cjournal.hep.com.cn/1000-2324/CN/home" TargetMode="External" /><ns0:Relationship Id="journalLink145" Type="http://schemas.openxmlformats.org/officeDocument/2006/relationships/hyperlink" Target="https://journal-platform-1305836431.cos.ap-beijing.myqcloud.com//zhongnan/article_attachment/2026/0403/72JaqPON-xwAffdKnkDhh.pdf#page=94" TargetMode="External" /><ns0:Relationship Id="journalLink146" Type="http://schemas.openxmlformats.org/officeDocument/2006/relationships/hyperlink" Target="https://hauxb.hebau.edu.cn/CN/home" TargetMode="External" /><ns0:Relationship Id="journalLink147" Type="http://schemas.openxmlformats.org/officeDocument/2006/relationships/hyperlink" Target="https://hauxb.hebau.edu.cn/CN/home" TargetMode="External" /><ns0:Relationship Id="journalLink148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49" Type="http://schemas.openxmlformats.org/officeDocument/2006/relationships/hyperlink" Target="http://journals.caass.org.cn/jlau/CN/home" TargetMode="External" /><ns0:Relationship Id="journalLink150" Type="http://schemas.openxmlformats.org/officeDocument/2006/relationships/hyperlink" Target="http://journals.caass.org.cn/jlau/CN/home" TargetMode="External" /><ns0:Relationship Id="journalLink151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52" Type="http://schemas.openxmlformats.org/officeDocument/2006/relationships/hyperlink" Target="https://xuebao.jxau.edu.cn/xbgk/jxnydxxb.htm" TargetMode="External" /><ns0:Relationship Id="journalLink153" Type="http://schemas.openxmlformats.org/officeDocument/2006/relationships/hyperlink" Target="https://xuebao.jxau.edu.cn/xbgk/jxnydxxb.htm" TargetMode="External" /><ns0:Relationship Id="journalLink154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55" Type="http://schemas.openxmlformats.org/officeDocument/2006/relationships/hyperlink" Target="https://ahnydxxb.ahau.edu.cn/ch/index.aspx" TargetMode="External" /><ns0:Relationship Id="journalLink156" Type="http://schemas.openxmlformats.org/officeDocument/2006/relationships/hyperlink" Target="https://ahnydxxb.ahau.edu.cn/ch/index.aspx" TargetMode="External" /><ns0:Relationship Id="journalLink157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58" Type="http://schemas.openxmlformats.org/officeDocument/2006/relationships/hyperlink" Target="http://www.zjnyxb.cn/CN/1004-1524/home.shtml" TargetMode="External" /><ns0:Relationship Id="journalLink159" Type="http://schemas.openxmlformats.org/officeDocument/2006/relationships/hyperlink" Target="http://www.zjnyxb.cn/CN/1004-1524/home.shtml" TargetMode="External" /><ns0:Relationship Id="journalLink160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61" Type="http://schemas.openxmlformats.org/officeDocument/2006/relationships/hyperlink" Target="https://jourtrics.hep.com.cn/journal?journalId=1019598576186896497&amp;basicId=1" TargetMode="External" /><ns0:Relationship Id="journalLink162" Type="http://schemas.openxmlformats.org/officeDocument/2006/relationships/hyperlink" Target="https://jourtrics.hep.com.cn/journal?journalId=1019598576186896497&amp;basicId=1" TargetMode="External" /><ns0:Relationship Id="journalLink163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64" Type="http://schemas.openxmlformats.org/officeDocument/2006/relationships/hyperlink" Target="http://xnnyxb.paperonce.org/" TargetMode="External" /><ns0:Relationship Id="journalLink165" Type="http://schemas.openxmlformats.org/officeDocument/2006/relationships/hyperlink" Target="http://xnnyxb.paperonce.org/" TargetMode="External" /><ns0:Relationship Id="journalLink166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67" Type="http://schemas.openxmlformats.org/officeDocument/2006/relationships/hyperlink" Target="http://www.hbnxb.net/CN/1000-7091/home.shtml" TargetMode="External" /><ns0:Relationship Id="journalLink168" Type="http://schemas.openxmlformats.org/officeDocument/2006/relationships/hyperlink" Target="http://www.hbnxb.net/CN/1000-7091/home.shtml" TargetMode="External" /><ns0:Relationship Id="journalLink169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70" Type="http://schemas.openxmlformats.org/officeDocument/2006/relationships/hyperlink" Target="http://jsnyxb.jaas.ac.cn/Default.aspx" TargetMode="External" /><ns0:Relationship Id="journalLink171" Type="http://schemas.openxmlformats.org/officeDocument/2006/relationships/hyperlink" Target="http://jsnyxb.jaas.ac.cn/Default.aspx" TargetMode="External" /><ns0:Relationship Id="journalLink172" Type="http://schemas.openxmlformats.org/officeDocument/2006/relationships/hyperlink" Target="https://journal-platform-1305836431.cos.ap-beijing.myqcloud.com//zhongnan/article_attachment/2026/0403/72JaqPON-xwAffdKnkDhh.pdf#page=92" TargetMode="External" /><ns0:Relationship Id="journalLink173" Type="http://schemas.openxmlformats.org/officeDocument/2006/relationships/hyperlink" Target="http://www.jsnykx.cn/" TargetMode="External" /><ns0:Relationship Id="journalLink174" Type="http://schemas.openxmlformats.org/officeDocument/2006/relationships/hyperlink" Target="http://www.jsnykx.cn/" TargetMode="External" /><ns0:Relationship Id="journalLink175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76" Type="http://schemas.openxmlformats.org/officeDocument/2006/relationships/hyperlink" Target="https://www.fjnyxb.cn/" TargetMode="External" /><ns0:Relationship Id="journalLink177" Type="http://schemas.openxmlformats.org/officeDocument/2006/relationships/hyperlink" Target="https://www.fjnyxb.cn/" TargetMode="External" /><ns0:Relationship Id="journalLink178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79" Type="http://schemas.openxmlformats.org/officeDocument/2006/relationships/hyperlink" Target="https://www.hnnykx.org.cn/CN/1004-3268/home.shtml" TargetMode="External" /><ns0:Relationship Id="journalLink180" Type="http://schemas.openxmlformats.org/officeDocument/2006/relationships/hyperlink" Target="https://www.hnnykx.org.cn/CN/1004-3268/home.shtml" TargetMode="External" /><ns0:Relationship Id="journalLink181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82" Type="http://schemas.openxmlformats.org/officeDocument/2006/relationships/hyperlink" Target="https://agri.cbpt.cnki.net/portal" TargetMode="External" /><ns0:Relationship Id="journalLink183" Type="http://schemas.openxmlformats.org/officeDocument/2006/relationships/hyperlink" Target="https://agri.cbpt.cnki.net/portal" TargetMode="External" /><ns0:Relationship Id="journalLink184" Type="http://schemas.openxmlformats.org/officeDocument/2006/relationships/hyperlink" Target="https://journal-platform-1305836431.cos.ap-beijing.myqcloud.com//zhongnan/article_attachment/2026/0403/72JaqPON-xwAffdKnkDhh.pdf#page=94" TargetMode="External" /><ns0:Relationship Id="journalLink185" Type="http://schemas.openxmlformats.org/officeDocument/2006/relationships/hyperlink" Target="https://hnnk.chinajournal.net.cn/WKD/WebPublication/index.aspx?mid=hnnk" TargetMode="External" /><ns0:Relationship Id="journalLink186" Type="http://schemas.openxmlformats.org/officeDocument/2006/relationships/hyperlink" Target="https://hnnk.chinajournal.net.cn/WKD/WebPublication/index.aspx?mid=hnnk" TargetMode="External" /><ns0:Relationship Id="journalLink187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88" Type="http://schemas.openxmlformats.org/officeDocument/2006/relationships/hyperlink" Target="http://www.hbnykx.cn/CN/0439-8114/home.shtml" TargetMode="External" /><ns0:Relationship Id="journalLink189" Type="http://schemas.openxmlformats.org/officeDocument/2006/relationships/hyperlink" Target="http://www.hbnykx.cn/CN/0439-8114/home.shtml" TargetMode="External" /><ns0:Relationship Id="journalLink190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91" Type="http://schemas.openxmlformats.org/officeDocument/2006/relationships/hyperlink" Target="https://gdnykx.gdaas.cn/" TargetMode="External" /><ns0:Relationship Id="journalLink192" Type="http://schemas.openxmlformats.org/officeDocument/2006/relationships/hyperlink" Target="https://gdnykx.gdaas.cn/" TargetMode="External" /><ns0:Relationship Id="journalLink193" Type="http://schemas.openxmlformats.org/officeDocument/2006/relationships/hyperlink" Target="https://journal-platform-1305836431.cos.ap-beijing.myqcloud.com//zhongnan/article_attachment/2026/0403/72JaqPON-xwAffdKnkDhh.pdf#page=94" TargetMode="External" /><ns0:Relationship Id="journalLink194" Type="http://schemas.openxmlformats.org/officeDocument/2006/relationships/hyperlink" Target="https://ahny.cbpt.cnki.net/portal" TargetMode="External" /><ns0:Relationship Id="journalLink195" Type="http://schemas.openxmlformats.org/officeDocument/2006/relationships/hyperlink" Target="https://ahny.cbpt.cnki.net/portal" TargetMode="External" /><ns0:Relationship Id="journalLink196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197" Type="http://schemas.openxmlformats.org/officeDocument/2006/relationships/hyperlink" Target="http://xjnykx.com/index.htm" TargetMode="External" /><ns0:Relationship Id="journalLink198" Type="http://schemas.openxmlformats.org/officeDocument/2006/relationships/hyperlink" Target="http://xjnykx.com/index.htm" TargetMode="External" /><ns0:Relationship Id="journalLink199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200" Type="http://schemas.openxmlformats.org/officeDocument/2006/relationships/hyperlink" Target="https://xb.ynau.edu.cn/jwk_zk/" TargetMode="External" /><ns0:Relationship Id="journalLink201" Type="http://schemas.openxmlformats.org/officeDocument/2006/relationships/hyperlink" Target="https://xb.ynau.edu.cn/jwk_zk/" TargetMode="External" /><ns0:Relationship Id="journalLink202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03" Type="http://schemas.openxmlformats.org/officeDocument/2006/relationships/hyperlink" Target="https://zwxb.chinacrops.org/CN/0496-3490/home.shtml" TargetMode="External" /><ns0:Relationship Id="journalLink204" Type="http://schemas.openxmlformats.org/officeDocument/2006/relationships/hyperlink" Target="https://zwxb.chinacrops.org/CN/0496-3490/home.shtml" TargetMode="External" /><ns0:Relationship Id="journalLink205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06" Type="http://schemas.openxmlformats.org/officeDocument/2006/relationships/hyperlink" Target="http://www.ricesci.cn/CN/1001-7216/home.shtml" TargetMode="External" /><ns0:Relationship Id="journalLink207" Type="http://schemas.openxmlformats.org/officeDocument/2006/relationships/hyperlink" Target="http://www.ricesci.cn/CN/1001-7216/home.shtml" TargetMode="External" /><ns0:Relationship Id="journalLink208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09" Type="http://schemas.openxmlformats.org/officeDocument/2006/relationships/hyperlink" Target="http://zwzz.chinacrops.org/CN/1001-7283/home.shtml" TargetMode="External" /><ns0:Relationship Id="journalLink210" Type="http://schemas.openxmlformats.org/officeDocument/2006/relationships/hyperlink" Target="http://zwzz.chinacrops.org/CN/1001-7283/home.shtml" TargetMode="External" /><ns0:Relationship Id="journalLink211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12" Type="http://schemas.openxmlformats.org/officeDocument/2006/relationships/hyperlink" Target="https://cjournal.hep.com.cn/1009-1041/CN/home" TargetMode="External" /><ns0:Relationship Id="journalLink213" Type="http://schemas.openxmlformats.org/officeDocument/2006/relationships/hyperlink" Target="https://cjournal.hep.com.cn/1009-1041/CN/home" TargetMode="External" /><ns0:Relationship Id="journalLink214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15" Type="http://schemas.openxmlformats.org/officeDocument/2006/relationships/hyperlink" Target="http://ymkx.ijournals.cn/jms/home" TargetMode="External" /><ns0:Relationship Id="journalLink216" Type="http://schemas.openxmlformats.org/officeDocument/2006/relationships/hyperlink" Target="http://ymkx.ijournals.cn/jms/home" TargetMode="External" /><ns0:Relationship Id="journalLink217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18" Type="http://schemas.openxmlformats.org/officeDocument/2006/relationships/hyperlink" Target="http://ddkx.paperonce.org/" TargetMode="External" /><ns0:Relationship Id="journalLink219" Type="http://schemas.openxmlformats.org/officeDocument/2006/relationships/hyperlink" Target="http://ddkx.paperonce.org/" TargetMode="External" /><ns0:Relationship Id="journalLink220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21" Type="http://schemas.openxmlformats.org/officeDocument/2006/relationships/hyperlink" Target="http://www.jouroilcrops.cn/CN/1007-9084/home.shtml" TargetMode="External" /><ns0:Relationship Id="journalLink222" Type="http://schemas.openxmlformats.org/officeDocument/2006/relationships/hyperlink" Target="http://www.jouroilcrops.cn/CN/1007-9084/home.shtml" TargetMode="External" /><ns0:Relationship Id="journalLink223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224" Type="http://schemas.openxmlformats.org/officeDocument/2006/relationships/hyperlink" Target="https://journal.cricaas.com.cn/Jweb_mhxb/CN/1002-7807/home.shtml" TargetMode="External" /><ns0:Relationship Id="journalLink225" Type="http://schemas.openxmlformats.org/officeDocument/2006/relationships/hyperlink" Target="https://journal.cricaas.com.cn/Jweb_mhxb/CN/1002-7807/home.shtml" TargetMode="External" /><ns0:Relationship Id="journalLink226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227" Type="http://schemas.openxmlformats.org/officeDocument/2006/relationships/hyperlink" Target="https://journal.cricaas.com.cn/zgmh/CN/1000-632X/home.shtml" TargetMode="External" /><ns0:Relationship Id="journalLink228" Type="http://schemas.openxmlformats.org/officeDocument/2006/relationships/hyperlink" Target="https://journal.cricaas.com.cn/zgmh/CN/1000-632X/home.shtml" TargetMode="External" /><ns0:Relationship Id="journalLink229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230" Type="http://schemas.openxmlformats.org/officeDocument/2006/relationships/hyperlink" Target="https://zgti.cbpt.cnki.net/WKD/WebPublication/index.aspx?mid=zgti" TargetMode="External" /><ns0:Relationship Id="journalLink231" Type="http://schemas.openxmlformats.org/officeDocument/2006/relationships/hyperlink" Target="https://zgti.cbpt.cnki.net/WKD/WebPublication/index.aspx?mid=zgti" TargetMode="External" /><ns0:Relationship Id="journalLink232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33" Type="http://schemas.openxmlformats.org/officeDocument/2006/relationships/hyperlink" Target="http://www.zgyckx.com.cn/" TargetMode="External" /><ns0:Relationship Id="journalLink234" Type="http://schemas.openxmlformats.org/officeDocument/2006/relationships/hyperlink" Target="http://www.zgyckx.com.cn/" TargetMode="External" /><ns0:Relationship Id="journalLink235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36" Type="http://schemas.openxmlformats.org/officeDocument/2006/relationships/hyperlink" Target="https://zgyb.cbpt.cnki.net/portal/journal/portal/client/index" TargetMode="External" /><ns0:Relationship Id="journalLink237" Type="http://schemas.openxmlformats.org/officeDocument/2006/relationships/hyperlink" Target="https://zgyb.cbpt.cnki.net/portal/journal/portal/client/index" TargetMode="External" /><ns0:Relationship Id="journalLink238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39" Type="http://schemas.openxmlformats.org/officeDocument/2006/relationships/hyperlink" Target="http://journals.caass.org.cn/zwyczyxb/CN/home" TargetMode="External" /><ns0:Relationship Id="journalLink240" Type="http://schemas.openxmlformats.org/officeDocument/2006/relationships/hyperlink" Target="http://journals.caass.org.cn/zwyczyxb/CN/home" TargetMode="External" /><ns0:Relationship Id="journalLink241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242" Type="http://schemas.openxmlformats.org/officeDocument/2006/relationships/hyperlink" Target="https://molplantbreed.org/" TargetMode="External" /><ns0:Relationship Id="journalLink243" Type="http://schemas.openxmlformats.org/officeDocument/2006/relationships/hyperlink" Target="https://molplantbreed.org/" TargetMode="External" /><ns0:Relationship Id="journalLink244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45" Type="http://schemas.openxmlformats.org/officeDocument/2006/relationships/hyperlink" Target="http://zhzi.chinajournal.net.cn/" TargetMode="External" /><ns0:Relationship Id="journalLink246" Type="http://schemas.openxmlformats.org/officeDocument/2006/relationships/hyperlink" Target="http://zhzi.chinajournal.net.cn/" TargetMode="External" /><ns0:Relationship Id="journalLink247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248" Type="http://schemas.openxmlformats.org/officeDocument/2006/relationships/hyperlink" Target="https://www.hnxb.org.cn/CN/home" TargetMode="External" /><ns0:Relationship Id="journalLink249" Type="http://schemas.openxmlformats.org/officeDocument/2006/relationships/hyperlink" Target="https://www.hnxb.org.cn/CN/home" TargetMode="External" /><ns0:Relationship Id="journalLink250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251" Type="http://schemas.openxmlformats.org/officeDocument/2006/relationships/hyperlink" Target="https://zjsd.cbpt.cnki.net/portal" TargetMode="External" /><ns0:Relationship Id="journalLink252" Type="http://schemas.openxmlformats.org/officeDocument/2006/relationships/hyperlink" Target="https://zjsd.cbpt.cnki.net/portal" TargetMode="External" /><ns0:Relationship Id="journalLink253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254" Type="http://schemas.openxmlformats.org/officeDocument/2006/relationships/hyperlink" Target="http://www.zgdm.net/" TargetMode="External" /><ns0:Relationship Id="journalLink255" Type="http://schemas.openxmlformats.org/officeDocument/2006/relationships/hyperlink" Target="http://www.zgdm.net/" TargetMode="External" /><ns0:Relationship Id="journalLink256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257" Type="http://schemas.openxmlformats.org/officeDocument/2006/relationships/hyperlink" Target="https://pean.cbpt.cnki.net/portal" TargetMode="External" /><ns0:Relationship Id="journalLink258" Type="http://schemas.openxmlformats.org/officeDocument/2006/relationships/hyperlink" Target="https://pean.cbpt.cnki.net/portal" TargetMode="External" /><ns0:Relationship Id="journalLink259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260" Type="http://schemas.openxmlformats.org/officeDocument/2006/relationships/hyperlink" Target="https://dmkx.cbpt.cnki.net/portal" TargetMode="External" /><ns0:Relationship Id="journalLink261" Type="http://schemas.openxmlformats.org/officeDocument/2006/relationships/hyperlink" Target="https://dmkx.cbpt.cnki.net/portal" TargetMode="External" /><ns0:Relationship Id="journalLink262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263" Type="http://schemas.openxmlformats.org/officeDocument/2006/relationships/hyperlink" Target="https://www.mlsz.cbpt.cnki.net/WKA2/WebPublication/index.aspx?mid=mlsz" TargetMode="External" /><ns0:Relationship Id="journalLink264" Type="http://schemas.openxmlformats.org/officeDocument/2006/relationships/hyperlink" Target="https://www.mlsz.cbpt.cnki.net/WKA2/WebPublication/index.aspx?mid=mlsz" TargetMode="External" /><ns0:Relationship Id="journalLink265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266" Type="http://schemas.openxmlformats.org/officeDocument/2006/relationships/hyperlink" Target="https://www.ecoagri.ac.cn/" TargetMode="External" /><ns0:Relationship Id="journalLink267" Type="http://schemas.openxmlformats.org/officeDocument/2006/relationships/hyperlink" Target="https://www.ecoagri.ac.cn/" TargetMode="External" /><ns0:Relationship Id="journalLink268" Type="http://schemas.openxmlformats.org/officeDocument/2006/relationships/hyperlink" Target="https://journal-platform-1305836431.cos.ap-beijing.myqcloud.com//zhongnan/article_attachment/2026/0403/72JaqPON-xwAffdKnkDhh.pdf#page=92" TargetMode="External" /><ns0:Relationship Id="journalLink269" Type="http://schemas.openxmlformats.org/officeDocument/2006/relationships/hyperlink" Target="https://cjournal.hep.com.cn/1000-7601/CN/home" TargetMode="External" /><ns0:Relationship Id="journalLink270" Type="http://schemas.openxmlformats.org/officeDocument/2006/relationships/hyperlink" Target="https://cjournal.hep.com.cn/1000-7601/CN/home" TargetMode="External" /><ns0:Relationship Id="journalLink271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272" Type="http://schemas.openxmlformats.org/officeDocument/2006/relationships/hyperlink" Target="https://www.rdzwxb.com/CN/1000-2561/home.shtml" TargetMode="External" /><ns0:Relationship Id="journalLink273" Type="http://schemas.openxmlformats.org/officeDocument/2006/relationships/hyperlink" Target="https://www.rdzwxb.com/CN/1000-2561/home.shtml" TargetMode="External" /><ns0:Relationship Id="journalLink274" Type="http://schemas.openxmlformats.org/officeDocument/2006/relationships/hyperlink" Target="https://journal-platform-1305836431.cos.ap-beijing.myqcloud.com//zhongnan/article_attachment/2026/0403/72JaqPON-xwAffdKnkDhh.pdf#page=94" TargetMode="External" /><ns0:Relationship Id="journalLink275" Type="http://schemas.openxmlformats.org/officeDocument/2006/relationships/hyperlink" Target="https://rdnk.chinajournal.net.cn/WKD2/WebPublication/index.aspx?mid=rdnk" TargetMode="External" /><ns0:Relationship Id="journalLink276" Type="http://schemas.openxmlformats.org/officeDocument/2006/relationships/hyperlink" Target="https://rdnk.chinajournal.net.cn/WKD2/WebPublication/index.aspx?mid=rdnk" TargetMode="External" /><ns0:Relationship Id="journalLink277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278" Type="http://schemas.openxmlformats.org/officeDocument/2006/relationships/hyperlink" Target="https://zgnyqx.ieda.org.cn/" TargetMode="External" /><ns0:Relationship Id="journalLink279" Type="http://schemas.openxmlformats.org/officeDocument/2006/relationships/hyperlink" Target="https://zgnyqx.ieda.org.cn/" TargetMode="External" /><ns0:Relationship Id="journalLink280" Type="http://schemas.openxmlformats.org/officeDocument/2006/relationships/hyperlink" Target="https://journal-platform-1305836431.cos.ap-beijing.myqcloud.com//zhongnan/article_attachment/2026/0403/72JaqPON-xwAffdKnkDhh.pdf#page=48" TargetMode="External" /><ns0:Relationship Id="journalLink281" Type="http://schemas.openxmlformats.org/officeDocument/2006/relationships/hyperlink" Target="https://qxxb.cmsjournal.net/cn/" TargetMode="External" /><ns0:Relationship Id="journalLink282" Type="http://schemas.openxmlformats.org/officeDocument/2006/relationships/hyperlink" Target="https://qxxb.cmsjournal.net/cn/" TargetMode="External" /><ns0:Relationship Id="journalLink283" Type="http://schemas.openxmlformats.org/officeDocument/2006/relationships/hyperlink" Target="https://journal-platform-1305836431.cos.ap-beijing.myqcloud.com//zhongnan/article_attachment/2026/0403/72JaqPON-xwAffdKnkDhh.pdf#page=95" TargetMode="External" /><ns0:Relationship Id="journalLink284" Type="http://schemas.openxmlformats.org/officeDocument/2006/relationships/hyperlink" Target="http://agbigdata.aiijournal.com/CN/2096-6369/home.shtml" TargetMode="External" /><ns0:Relationship Id="journalLink285" Type="http://schemas.openxmlformats.org/officeDocument/2006/relationships/hyperlink" Target="http://agbigdata.aiijournal.com/CN/2096-6369/home.shtml" TargetMode="External" /><ns0:Relationship Id="journalLink286" Type="http://schemas.openxmlformats.org/officeDocument/2006/relationships/hyperlink" Target="https://journal-platform-1305836431.cos.ap-beijing.myqcloud.com//zhongnan/article_attachment/2026/0403/72JaqPON-xwAffdKnkDhh.pdf#page=93" TargetMode="External" /><ns0:Relationship Id="journalLink287" Type="http://schemas.openxmlformats.org/officeDocument/2006/relationships/hyperlink" Target="https://www.smartag.net.cn/CN/2096-8094/home.shtml" TargetMode="External" /><ns0:Relationship Id="journalLink288" Type="http://schemas.openxmlformats.org/officeDocument/2006/relationships/hyperlink" Target="https://www.smartag.net.cn/CN/2096-8094/home.shtml" TargetMode="External" /><ns0:Relationship Id="journalLink289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290" Type="http://schemas.openxmlformats.org/officeDocument/2006/relationships/hyperlink" Target="https://www.ahs.ac.cn/CN/0513-353X/home.shtml" TargetMode="External" /><ns0:Relationship Id="journalLink291" Type="http://schemas.openxmlformats.org/officeDocument/2006/relationships/hyperlink" Target="https://www.ahs.ac.cn/CN/0513-353X/home.shtml" TargetMode="External" /><ns0:Relationship Id="journalLink292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293" Type="http://schemas.openxmlformats.org/officeDocument/2006/relationships/hyperlink" Target="http://fruitsci.zzgss.cn/index.html" TargetMode="External" /><ns0:Relationship Id="journalLink294" Type="http://schemas.openxmlformats.org/officeDocument/2006/relationships/hyperlink" Target="http://fruitsci.zzgss.cn/index.html" TargetMode="External" /><ns0:Relationship Id="journalLink295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296" Type="http://schemas.openxmlformats.org/officeDocument/2006/relationships/hyperlink" Target="https://zggs.cbpt.cnki.net/WKC/WebPublication/index.aspx?mid=ghzh" TargetMode="External" /><ns0:Relationship Id="journalLink297" Type="http://schemas.openxmlformats.org/officeDocument/2006/relationships/hyperlink" Target="https://zggs.cbpt.cnki.net/WKC/WebPublication/index.aspx?mid=ghzh" TargetMode="External" /><ns0:Relationship Id="journalLink298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299" Type="http://schemas.openxmlformats.org/officeDocument/2006/relationships/hyperlink" Target="https://www.cnveg.org/CN/home" TargetMode="External" /><ns0:Relationship Id="journalLink300" Type="http://schemas.openxmlformats.org/officeDocument/2006/relationships/hyperlink" Target="https://www.cnveg.org/CN/home" TargetMode="External" /><ns0:Relationship Id="journalLink301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02" Type="http://schemas.openxmlformats.org/officeDocument/2006/relationships/hyperlink" Target="http://bfyy.paperonce.org/" TargetMode="External" /><ns0:Relationship Id="journalLink303" Type="http://schemas.openxmlformats.org/officeDocument/2006/relationships/hyperlink" Target="http://bfyy.paperonce.org/" TargetMode="External" /><ns0:Relationship Id="journalLink304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05" Type="http://schemas.openxmlformats.org/officeDocument/2006/relationships/hyperlink" Target="https://www.guxi.chinajournal.net.cn/WKD/WebPublication/index.aspx?mid=guxi" TargetMode="External" /><ns0:Relationship Id="journalLink306" Type="http://schemas.openxmlformats.org/officeDocument/2006/relationships/hyperlink" Target="https://www.guxi.chinajournal.net.cn/WKD/WebPublication/index.aspx?mid=guxi" TargetMode="External" /><ns0:Relationship Id="journalLink307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08" Type="http://schemas.openxmlformats.org/officeDocument/2006/relationships/hyperlink" Target="https://cjournal.hep.com.cn/1673-2871/CN/home" TargetMode="External" /><ns0:Relationship Id="journalLink309" Type="http://schemas.openxmlformats.org/officeDocument/2006/relationships/hyperlink" Target="https://cjournal.hep.com.cn/1673-2871/CN/home" TargetMode="External" /><ns0:Relationship Id="journalLink310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11" Type="http://schemas.openxmlformats.org/officeDocument/2006/relationships/hyperlink" Target="https://tsg.swu.edu.cn/zgnfgs/ch/index.aspx" TargetMode="External" /><ns0:Relationship Id="journalLink312" Type="http://schemas.openxmlformats.org/officeDocument/2006/relationships/hyperlink" Target="https://tsg.swu.edu.cn/zgnfgs/ch/index.aspx" TargetMode="External" /><ns0:Relationship Id="journalLink313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314" Type="http://schemas.openxmlformats.org/officeDocument/2006/relationships/hyperlink" Target="https://www.tea-science.com/CN/1000-369X/home.shtml" TargetMode="External" /><ns0:Relationship Id="journalLink315" Type="http://schemas.openxmlformats.org/officeDocument/2006/relationships/hyperlink" Target="https://www.tea-science.com/CN/1000-369X/home.shtml" TargetMode="External" /><ns0:Relationship Id="journalLink316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317" Type="http://schemas.openxmlformats.org/officeDocument/2006/relationships/hyperlink" Target="https://cytx.cbpt.cnki.net/portal/journal/portal/client/index" TargetMode="External" /><ns0:Relationship Id="journalLink318" Type="http://schemas.openxmlformats.org/officeDocument/2006/relationships/hyperlink" Target="https://cytx.cbpt.cnki.net/portal/journal/portal/client/index" TargetMode="External" /><ns0:Relationship Id="journalLink319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20" Type="http://schemas.openxmlformats.org/officeDocument/2006/relationships/hyperlink" Target="https://jjlyj.csuft.edu.cn/" TargetMode="External" /><ns0:Relationship Id="journalLink321" Type="http://schemas.openxmlformats.org/officeDocument/2006/relationships/hyperlink" Target="https://jjlyj.csuft.edu.cn/" TargetMode="External" /><ns0:Relationship Id="journalLink322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23" Type="http://schemas.openxmlformats.org/officeDocument/2006/relationships/hyperlink" Target="https://www.syjxb.com/CN/home" TargetMode="External" /><ns0:Relationship Id="journalLink324" Type="http://schemas.openxmlformats.org/officeDocument/2006/relationships/hyperlink" Target="https://www.syjxb.com/CN/home" TargetMode="External" /><ns0:Relationship Id="journalLink325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26" Type="http://schemas.openxmlformats.org/officeDocument/2006/relationships/hyperlink" Target="https://www.shiyongjun.sh.cn/CN/home" TargetMode="External" /><ns0:Relationship Id="journalLink327" Type="http://schemas.openxmlformats.org/officeDocument/2006/relationships/hyperlink" Target="https://www.shiyongjun.sh.cn/CN/home" TargetMode="External" /><ns0:Relationship Id="journalLink328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29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30" Type="http://schemas.openxmlformats.org/officeDocument/2006/relationships/hyperlink" Target="https://ptzp.chinajournal.net.cn/WKE/WebPublication/index.aspx" TargetMode="External" /><ns0:Relationship Id="journalLink331" Type="http://schemas.openxmlformats.org/officeDocument/2006/relationships/hyperlink" Target="https://ptzp.chinajournal.net.cn/WKE/WebPublication/index.aspx" TargetMode="External" /><ns0:Relationship Id="journalLink332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33" Type="http://schemas.openxmlformats.org/officeDocument/2006/relationships/hyperlink" Target="https://cjournal.hep.com.cn/0577-7518/CN/home" TargetMode="External" /><ns0:Relationship Id="journalLink334" Type="http://schemas.openxmlformats.org/officeDocument/2006/relationships/hyperlink" Target="https://cjournal.hep.com.cn/0577-7518/CN/home" TargetMode="External" /><ns0:Relationship Id="journalLink335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36" Type="http://schemas.openxmlformats.org/officeDocument/2006/relationships/hyperlink" Target="http://zwblxb.magtech.com.cn/CN/home" TargetMode="External" /><ns0:Relationship Id="journalLink337" Type="http://schemas.openxmlformats.org/officeDocument/2006/relationships/hyperlink" Target="http://zwblxb.magtech.com.cn/CN/home" TargetMode="External" /><ns0:Relationship Id="journalLink338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39" Type="http://schemas.openxmlformats.org/officeDocument/2006/relationships/hyperlink" Target="http://www.plantprotection.ac.cn/ch/index.aspx" TargetMode="External" /><ns0:Relationship Id="journalLink340" Type="http://schemas.openxmlformats.org/officeDocument/2006/relationships/hyperlink" Target="http://www.plantprotection.ac.cn/ch/index.aspx" TargetMode="External" /><ns0:Relationship Id="journalLink341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42" Type="http://schemas.openxmlformats.org/officeDocument/2006/relationships/hyperlink" Target="http://www.nyxxb.cn/" TargetMode="External" /><ns0:Relationship Id="journalLink343" Type="http://schemas.openxmlformats.org/officeDocument/2006/relationships/hyperlink" Target="http://www.nyxxb.cn/" TargetMode="External" /><ns0:Relationship Id="journalLink344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45" Type="http://schemas.openxmlformats.org/officeDocument/2006/relationships/hyperlink" Target="http://nyzz.cbpt.cnki.net/" TargetMode="External" /><ns0:Relationship Id="journalLink346" Type="http://schemas.openxmlformats.org/officeDocument/2006/relationships/hyperlink" Target="http://nyzz.cbpt.cnki.net/" TargetMode="External" /><ns0:Relationship Id="journalLink347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348" Type="http://schemas.openxmlformats.org/officeDocument/2006/relationships/hyperlink" Target="https://www.insect.org.cn/CN/0454-6296/home.shtml" TargetMode="External" /><ns0:Relationship Id="journalLink349" Type="http://schemas.openxmlformats.org/officeDocument/2006/relationships/hyperlink" Target="https://www.insect.org.cn/CN/0454-6296/home.shtml" TargetMode="External" /><ns0:Relationship Id="journalLink350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351" Type="http://schemas.openxmlformats.org/officeDocument/2006/relationships/hyperlink" Target="http://www.ent-bull.com.cn/" TargetMode="External" /><ns0:Relationship Id="journalLink352" Type="http://schemas.openxmlformats.org/officeDocument/2006/relationships/hyperlink" Target="http://www.ent-bull.com.cn/" TargetMode="External" /><ns0:Relationship Id="journalLink353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354" Type="http://schemas.openxmlformats.org/officeDocument/2006/relationships/hyperlink" Target="http://hjkcxb.alljournals.net/ch/first_menu.aspx?parent_id=20120809164412001" TargetMode="External" /><ns0:Relationship Id="journalLink355" Type="http://schemas.openxmlformats.org/officeDocument/2006/relationships/hyperlink" Target="http://hjkcxb.alljournals.net/ch/first_menu.aspx?parent_id=20120809164412001" TargetMode="External" /><ns0:Relationship Id="journalLink356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57" Type="http://schemas.openxmlformats.org/officeDocument/2006/relationships/hyperlink" Target="https://www.zgswfz.com.cn/CN/2095-039X/home.shtml" TargetMode="External" /><ns0:Relationship Id="journalLink358" Type="http://schemas.openxmlformats.org/officeDocument/2006/relationships/hyperlink" Target="https://www.zgswfz.com.cn/CN/2095-039X/home.shtml" TargetMode="External" /><ns0:Relationship Id="journalLink359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60" Type="http://schemas.openxmlformats.org/officeDocument/2006/relationships/hyperlink" Target="https://natesc.agri.cn/ztzl/PlantProtect" TargetMode="External" /><ns0:Relationship Id="journalLink361" Type="http://schemas.openxmlformats.org/officeDocument/2006/relationships/hyperlink" Target="https://natesc.agri.cn/ztzl/PlantProtect" TargetMode="External" /><ns0:Relationship Id="journalLink362" Type="http://schemas.openxmlformats.org/officeDocument/2006/relationships/hyperlink" Target="https://journal-platform-1305836431.cos.ap-beijing.myqcloud.com//zhongnan/article_attachment/2026/0403/72JaqPON-xwAffdKnkDhh.pdf#page=101" TargetMode="External" /><ns0:Relationship Id="journalLink363" Type="http://schemas.openxmlformats.org/officeDocument/2006/relationships/hyperlink" Target="https://zgslbc.bdpc.org.cn/" TargetMode="External" /><ns0:Relationship Id="journalLink364" Type="http://schemas.openxmlformats.org/officeDocument/2006/relationships/hyperlink" Target="https://zgslbc.bdpc.org.cn/" TargetMode="External" /><ns0:Relationship Id="journalLink365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66" Type="http://schemas.openxmlformats.org/officeDocument/2006/relationships/hyperlink" Target="https://journals.caf.ac.cn/lykxyj/" TargetMode="External" /><ns0:Relationship Id="journalLink367" Type="http://schemas.openxmlformats.org/officeDocument/2006/relationships/hyperlink" Target="https://journals.caf.ac.cn/lykxyj/" TargetMode="External" /><ns0:Relationship Id="journalLink368" Type="http://schemas.openxmlformats.org/officeDocument/2006/relationships/hyperlink" Target="https://journal-platform-1305836431.cos.ap-beijing.myqcloud.com//zhongnan/article_attachment/2026/0403/72JaqPON-xwAffdKnkDhh.pdf#page=99" TargetMode="External" /><ns0:Relationship Id="journalLink369" Type="http://schemas.openxmlformats.org/officeDocument/2006/relationships/hyperlink" Target="https://nykxyglqk.icama.cn/emagazine/home/homePage.do" TargetMode="External" /><ns0:Relationship Id="journalLink370" Type="http://schemas.openxmlformats.org/officeDocument/2006/relationships/hyperlink" Target="https://nykxyglqk.icama.cn/emagazine/home/homePage.do" TargetMode="External" /><ns0:Relationship Id="journalLink371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72" Type="http://schemas.openxmlformats.org/officeDocument/2006/relationships/hyperlink" Target="https://www.linyekexue.net/CN/1001-7488/home.shtml" TargetMode="External" /><ns0:Relationship Id="journalLink373" Type="http://schemas.openxmlformats.org/officeDocument/2006/relationships/hyperlink" Target="https://www.linyekexue.net/CN/1001-7488/home.shtml" TargetMode="External" /><ns0:Relationship Id="journalLink374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75" Type="http://schemas.openxmlformats.org/officeDocument/2006/relationships/hyperlink" Target="https://j.bjfu.edu.cn/" TargetMode="External" /><ns0:Relationship Id="journalLink376" Type="http://schemas.openxmlformats.org/officeDocument/2006/relationships/hyperlink" Target="https://j.bjfu.edu.cn/" TargetMode="External" /><ns0:Relationship Id="journalLink377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78" Type="http://schemas.openxmlformats.org/officeDocument/2006/relationships/hyperlink" Target="http://nldxb.njfu.edu.cn/CN/1000-2006/home.shtml" TargetMode="External" /><ns0:Relationship Id="journalLink379" Type="http://schemas.openxmlformats.org/officeDocument/2006/relationships/hyperlink" Target="http://nldxb.njfu.edu.cn/CN/1000-2006/home.shtml" TargetMode="External" /><ns0:Relationship Id="journalLink380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81" Type="http://schemas.openxmlformats.org/officeDocument/2006/relationships/hyperlink" Target="http://dlxb.nefu.edu.cn/" TargetMode="External" /><ns0:Relationship Id="journalLink382" Type="http://schemas.openxmlformats.org/officeDocument/2006/relationships/hyperlink" Target="http://dlxb.nefu.edu.cn/" TargetMode="External" /><ns0:Relationship Id="journalLink383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84" Type="http://schemas.openxmlformats.org/officeDocument/2006/relationships/hyperlink" Target="https://zkxb.csuft.edu.cn/" TargetMode="External" /><ns0:Relationship Id="journalLink385" Type="http://schemas.openxmlformats.org/officeDocument/2006/relationships/hyperlink" Target="https://zkxb.csuft.edu.cn/" TargetMode="External" /><ns0:Relationship Id="journalLink386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87" Type="http://schemas.openxmlformats.org/officeDocument/2006/relationships/hyperlink" Target="https://zlxb.zafu.edu.cn/" TargetMode="External" /><ns0:Relationship Id="journalLink388" Type="http://schemas.openxmlformats.org/officeDocument/2006/relationships/hyperlink" Target="https://zlxb.zafu.edu.cn/" TargetMode="External" /><ns0:Relationship Id="journalLink389" Type="http://schemas.openxmlformats.org/officeDocument/2006/relationships/hyperlink" Target="https://journal-platform-1305836431.cos.ap-beijing.myqcloud.com//zhongnan/article_attachment/2026/0403/72JaqPON-xwAffdKnkDhh.pdf#page=101" TargetMode="External" /><ns0:Relationship Id="journalLink390" Type="http://schemas.openxmlformats.org/officeDocument/2006/relationships/hyperlink" Target="http://xnldxb.swfu.edu.cn/" TargetMode="External" /><ns0:Relationship Id="journalLink391" Type="http://schemas.openxmlformats.org/officeDocument/2006/relationships/hyperlink" Target="http://xnldxb.swfu.edu.cn/" TargetMode="External" /><ns0:Relationship Id="journalLink392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393" Type="http://schemas.openxmlformats.org/officeDocument/2006/relationships/hyperlink" Target="https://journals.caf.ac.cn/sjlyyj" TargetMode="External" /><ns0:Relationship Id="journalLink394" Type="http://schemas.openxmlformats.org/officeDocument/2006/relationships/hyperlink" Target="https://journals.caf.ac.cn/sjlyyj" TargetMode="External" /><ns0:Relationship Id="journalLink395" Type="http://schemas.openxmlformats.org/officeDocument/2006/relationships/hyperlink" Target="https://journal-platform-1305836431.cos.ap-beijing.myqcloud.com//zhongnan/article_attachment/2026/0403/72JaqPON-xwAffdKnkDhh.pdf#page=101" TargetMode="External" /><ns0:Relationship Id="journalLink396" Type="http://schemas.openxmlformats.org/officeDocument/2006/relationships/hyperlink" Target="http://lygcxb.njfu.edu.cn/" TargetMode="External" /><ns0:Relationship Id="journalLink397" Type="http://schemas.openxmlformats.org/officeDocument/2006/relationships/hyperlink" Target="http://lygcxb.njfu.edu.cn/" TargetMode="External" /><ns0:Relationship Id="journalLink398" Type="http://schemas.openxmlformats.org/officeDocument/2006/relationships/hyperlink" Target="https://journal-platform-1305836431.cos.ap-beijing.myqcloud.com//zhongnan/article_attachment/2026/0403/72JaqPON-xwAffdKnkDhh.pdf#page=150" TargetMode="External" /><ns0:Relationship Id="journalLink399" Type="http://schemas.openxmlformats.org/officeDocument/2006/relationships/hyperlink" Target="https://lcgy.cbpt.cnki.net/portal/journal/portal/client/index" TargetMode="External" /><ns0:Relationship Id="journalLink400" Type="http://schemas.openxmlformats.org/officeDocument/2006/relationships/hyperlink" Target="https://lcgy.cbpt.cnki.net/portal/journal/portal/client/index" TargetMode="External" /><ns0:Relationship Id="journalLink401" Type="http://schemas.openxmlformats.org/officeDocument/2006/relationships/hyperlink" Target="https://journal-platform-1305836431.cos.ap-beijing.myqcloud.com//zhongnan/article_attachment/2026/0403/72JaqPON-xwAffdKnkDhh.pdf#page=143" TargetMode="External" /><ns0:Relationship Id="journalLink402" Type="http://schemas.openxmlformats.org/officeDocument/2006/relationships/hyperlink" Target="https://www.aeeisp.com/lchxygy/" TargetMode="External" /><ns0:Relationship Id="journalLink403" Type="http://schemas.openxmlformats.org/officeDocument/2006/relationships/hyperlink" Target="https://www.aeeisp.com/lchxygy/" TargetMode="External" /><ns0:Relationship Id="journalLink404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405" Type="http://schemas.openxmlformats.org/officeDocument/2006/relationships/hyperlink" Target="https://fjlxyxb.fafu.edu.cn/" TargetMode="External" /><ns0:Relationship Id="journalLink406" Type="http://schemas.openxmlformats.org/officeDocument/2006/relationships/hyperlink" Target="https://fjlxyxb.fafu.edu.cn/" TargetMode="External" /><ns0:Relationship Id="journalLink407" Type="http://schemas.openxmlformats.org/officeDocument/2006/relationships/hyperlink" Target="https://journal-platform-1305836431.cos.ap-beijing.myqcloud.com//zhongnan/article_attachment/2026/0403/72JaqPON-xwAffdKnkDhh.pdf#page=101" TargetMode="External" /><ns0:Relationship Id="journalLink408" Type="http://schemas.openxmlformats.org/officeDocument/2006/relationships/hyperlink" Target="https://csly.cbpt.cnki.net/portal" TargetMode="External" /><ns0:Relationship Id="journalLink409" Type="http://schemas.openxmlformats.org/officeDocument/2006/relationships/hyperlink" Target="https://csly.cbpt.cnki.net/portal" TargetMode="External" /><ns0:Relationship Id="journalLink410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11" Type="http://schemas.openxmlformats.org/officeDocument/2006/relationships/hyperlink" Target="http://cyxb.magtech.com.cn/CN/1004-5759/home.shtml" TargetMode="External" /><ns0:Relationship Id="journalLink412" Type="http://schemas.openxmlformats.org/officeDocument/2006/relationships/hyperlink" Target="http://cyxb.magtech.com.cn/CN/1004-5759/home.shtml" TargetMode="External" /><ns0:Relationship Id="journalLink413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14" Type="http://schemas.openxmlformats.org/officeDocument/2006/relationships/hyperlink" Target="https://manu40.magtech.com.cn/Jweb_cdxb/CN/1007-0435/home.shtml" TargetMode="External" /><ns0:Relationship Id="journalLink415" Type="http://schemas.openxmlformats.org/officeDocument/2006/relationships/hyperlink" Target="https://manu40.magtech.com.cn/Jweb_cdxb/CN/1007-0435/home.shtml" TargetMode="External" /><ns0:Relationship Id="journalLink416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17" Type="http://schemas.openxmlformats.org/officeDocument/2006/relationships/hyperlink" Target="https://www.integrativebiology.ac.cn/cykx/CN/home" TargetMode="External" /><ns0:Relationship Id="journalLink418" Type="http://schemas.openxmlformats.org/officeDocument/2006/relationships/hyperlink" Target="https://www.integrativebiology.ac.cn/cykx/CN/home" TargetMode="External" /><ns0:Relationship Id="journalLink419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20" Type="http://schemas.openxmlformats.org/officeDocument/2006/relationships/hyperlink" Target="https://manu32.magtech.com.cn/zgcdxb/CN/home" TargetMode="External" /><ns0:Relationship Id="journalLink421" Type="http://schemas.openxmlformats.org/officeDocument/2006/relationships/hyperlink" Target="https://manu32.magtech.com.cn/zgcdxb/CN/home" TargetMode="External" /><ns0:Relationship Id="journalLink422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23" Type="http://schemas.openxmlformats.org/officeDocument/2006/relationships/hyperlink" Target="https://cycp.cbpt.cnki.net/WKB/WebPublication/index.aspx?mid=cycp" TargetMode="External" /><ns0:Relationship Id="journalLink424" Type="http://schemas.openxmlformats.org/officeDocument/2006/relationships/hyperlink" Target="https://cycp.cbpt.cnki.net/WKB/WebPublication/index.aspx?mid=cycp" TargetMode="External" /><ns0:Relationship Id="journalLink425" Type="http://schemas.openxmlformats.org/officeDocument/2006/relationships/hyperlink" Target="https://journal-platform-1305836431.cos.ap-beijing.myqcloud.com//zhongnan/article_attachment/2026/0403/72JaqPON-xwAffdKnkDhh.pdf#page=101" TargetMode="External" /><ns0:Relationship Id="journalLink426" Type="http://schemas.openxmlformats.org/officeDocument/2006/relationships/hyperlink" Target="https://journals.caf.ac.cn/zzxb/" TargetMode="External" /><ns0:Relationship Id="journalLink427" Type="http://schemas.openxmlformats.org/officeDocument/2006/relationships/hyperlink" Target="https://journals.caf.ac.cn/zzxb/" TargetMode="External" /><ns0:Relationship Id="journalLink428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29" Type="http://schemas.openxmlformats.org/officeDocument/2006/relationships/hyperlink" Target="https://www.xmsyxb.com/CN/0366-6964/home.shtml" TargetMode="External" /><ns0:Relationship Id="journalLink430" Type="http://schemas.openxmlformats.org/officeDocument/2006/relationships/hyperlink" Target="https://www.xmsyxb.com/CN/0366-6964/home.shtml" TargetMode="External" /><ns0:Relationship Id="journalLink431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32" Type="http://schemas.openxmlformats.org/officeDocument/2006/relationships/hyperlink" Target="https://www.zgxmsy.cn/CN/1671-7236/home.shtml" TargetMode="External" /><ns0:Relationship Id="journalLink433" Type="http://schemas.openxmlformats.org/officeDocument/2006/relationships/hyperlink" Target="https://www.zgxmsy.cn/CN/1671-7236/home.shtml" TargetMode="External" /><ns0:Relationship Id="journalLink434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35" Type="http://schemas.openxmlformats.org/officeDocument/2006/relationships/hyperlink" Target="https://www.zgxmzz.cn/" TargetMode="External" /><ns0:Relationship Id="journalLink436" Type="http://schemas.openxmlformats.org/officeDocument/2006/relationships/hyperlink" Target="https://www.zgxmzz.cn/" TargetMode="External" /><ns0:Relationship Id="journalLink437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38" Type="http://schemas.openxmlformats.org/officeDocument/2006/relationships/hyperlink" Target="https://www.chinajan.com/CN/home" TargetMode="External" /><ns0:Relationship Id="journalLink439" Type="http://schemas.openxmlformats.org/officeDocument/2006/relationships/hyperlink" Target="https://www.chinajan.com/CN/home" TargetMode="External" /><ns0:Relationship Id="journalLink440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41" Type="http://schemas.openxmlformats.org/officeDocument/2006/relationships/hyperlink" Target="https://cjournal.hep.com.cn/1005-4545/CN/home" TargetMode="External" /><ns0:Relationship Id="journalLink442" Type="http://schemas.openxmlformats.org/officeDocument/2006/relationships/hyperlink" Target="https://cjournal.hep.com.cn/1005-4545/CN/home" TargetMode="External" /><ns0:Relationship Id="journalLink443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44" Type="http://schemas.openxmlformats.org/officeDocument/2006/relationships/hyperlink" Target="https://caas.cn/xxfw/zyfw/cqk/feb9a2c6dbfb4cb0b212753e4a51d583.htm" TargetMode="External" /><ns0:Relationship Id="journalLink445" Type="http://schemas.openxmlformats.org/officeDocument/2006/relationships/hyperlink" Target="https://caas.cn/xxfw/zyfw/cqk/feb9a2c6dbfb4cb0b212753e4a51d583.htm" TargetMode="External" /><ns0:Relationship Id="journalLink446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47" Type="http://schemas.openxmlformats.org/officeDocument/2006/relationships/hyperlink" Target="https://zgsy.cbpt.cnki.net/portal" TargetMode="External" /><ns0:Relationship Id="journalLink448" Type="http://schemas.openxmlformats.org/officeDocument/2006/relationships/hyperlink" Target="https://zgsy.cbpt.cnki.net/portal" TargetMode="External" /><ns0:Relationship Id="journalLink449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50" Type="http://schemas.openxmlformats.org/officeDocument/2006/relationships/hyperlink" Target="https://www.zsyz.cbpt.cnki.net/WKB3/WebPublication/index.aspx?mid=ZSYZ" TargetMode="External" /><ns0:Relationship Id="journalLink451" Type="http://schemas.openxmlformats.org/officeDocument/2006/relationships/hyperlink" Target="https://www.zsyz.cbpt.cnki.net/WKB3/WebPublication/index.aspx?mid=ZSYZ" TargetMode="External" /><ns0:Relationship Id="journalLink452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53" Type="http://schemas.openxmlformats.org/officeDocument/2006/relationships/hyperlink" Target="https://zgdw.cbpt.cnki.net/WKD2/WebPublication/index.aspx?mid=zgdw" TargetMode="External" /><ns0:Relationship Id="journalLink454" Type="http://schemas.openxmlformats.org/officeDocument/2006/relationships/hyperlink" Target="https://zgdw.cbpt.cnki.net/WKD2/WebPublication/index.aspx?mid=zgdw" TargetMode="External" /><ns0:Relationship Id="journalLink455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56" Type="http://schemas.openxmlformats.org/officeDocument/2006/relationships/hyperlink" Target="http://www.zgjqzz.net/" TargetMode="External" /><ns0:Relationship Id="journalLink457" Type="http://schemas.openxmlformats.org/officeDocument/2006/relationships/hyperlink" Target="http://www.zgjqzz.net/" TargetMode="External" /><ns0:Relationship Id="journalLink458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59" Type="http://schemas.openxmlformats.org/officeDocument/2006/relationships/hyperlink" Target="http://jcst.magtech.com.cn/" TargetMode="External" /><ns0:Relationship Id="journalLink460" Type="http://schemas.openxmlformats.org/officeDocument/2006/relationships/hyperlink" Target="http://jcst.magtech.com.cn/" TargetMode="External" /><ns0:Relationship Id="journalLink461" Type="http://schemas.openxmlformats.org/officeDocument/2006/relationships/hyperlink" Target="https://journal-platform-1305836431.cos.ap-beijing.myqcloud.com//zhongnan/article_attachment/2026/0403/72JaqPON-xwAffdKnkDhh.pdf#page=104" TargetMode="External" /><ns0:Relationship Id="journalLink462" Type="http://schemas.openxmlformats.org/officeDocument/2006/relationships/hyperlink" Target="https://cook.cbpt.cnki.net/WKA/WebPublication/index.aspx?mid=cook" TargetMode="External" /><ns0:Relationship Id="journalLink463" Type="http://schemas.openxmlformats.org/officeDocument/2006/relationships/hyperlink" Target="https://cook.cbpt.cnki.net/WKA/WebPublication/index.aspx?mid=cook" TargetMode="External" /><ns0:Relationship Id="journalLink464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65" Type="http://schemas.openxmlformats.org/officeDocument/2006/relationships/hyperlink" Target="https://journal.chinafeed.com.cn/CN/1004-3314/home.shtml" TargetMode="External" /><ns0:Relationship Id="journalLink466" Type="http://schemas.openxmlformats.org/officeDocument/2006/relationships/hyperlink" Target="https://journal.chinafeed.com.cn/CN/1004-3314/home.shtml" TargetMode="External" /><ns0:Relationship Id="journalLink467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68" Type="http://schemas.openxmlformats.org/officeDocument/2006/relationships/hyperlink" Target="https://feed.cbpt.cnki.net/portal" TargetMode="External" /><ns0:Relationship Id="journalLink469" Type="http://schemas.openxmlformats.org/officeDocument/2006/relationships/hyperlink" Target="https://feed.cbpt.cnki.net/portal" TargetMode="External" /><ns0:Relationship Id="journalLink470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71" Type="http://schemas.openxmlformats.org/officeDocument/2006/relationships/hyperlink" Target="http://slyj.publish.founderss.cn/" TargetMode="External" /><ns0:Relationship Id="journalLink472" Type="http://schemas.openxmlformats.org/officeDocument/2006/relationships/hyperlink" Target="http://slyj.publish.founderss.cn/" TargetMode="External" /><ns0:Relationship Id="journalLink473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74" Type="http://schemas.openxmlformats.org/officeDocument/2006/relationships/hyperlink" Target="https://www.zgnn.org.cn/CN/volumn/current.shtml" TargetMode="External" /><ns0:Relationship Id="journalLink475" Type="http://schemas.openxmlformats.org/officeDocument/2006/relationships/hyperlink" Target="https://www.zgnn.org.cn/CN/volumn/current.shtml" TargetMode="External" /><ns0:Relationship Id="journalLink476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477" Type="http://schemas.openxmlformats.org/officeDocument/2006/relationships/hyperlink" Target="https://rpgy.cbpt.cnki.net/WKI/WebPublication/index.aspx?mid=rpgy" TargetMode="External" /><ns0:Relationship Id="journalLink478" Type="http://schemas.openxmlformats.org/officeDocument/2006/relationships/hyperlink" Target="https://rpgy.cbpt.cnki.net/WKI/WebPublication/index.aspx?mid=rpgy" TargetMode="External" /><ns0:Relationship Id="journalLink479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80" Type="http://schemas.openxmlformats.org/officeDocument/2006/relationships/hyperlink" Target="https://www.dairyst.net.cn/" TargetMode="External" /><ns0:Relationship Id="journalLink481" Type="http://schemas.openxmlformats.org/officeDocument/2006/relationships/hyperlink" Target="https://www.dairyst.net.cn/" TargetMode="External" /><ns0:Relationship Id="journalLink482" Type="http://schemas.openxmlformats.org/officeDocument/2006/relationships/hyperlink" Target="https://journal-platform-1305836431.cos.ap-beijing.myqcloud.com//zhongnan/article_attachment/2026/0403/72JaqPON-xwAffdKnkDhh.pdf#page=104" TargetMode="External" /><ns0:Relationship Id="journalLink483" Type="http://schemas.openxmlformats.org/officeDocument/2006/relationships/hyperlink" Target="https://zhuye.aiijournal.com/" TargetMode="External" /><ns0:Relationship Id="journalLink484" Type="http://schemas.openxmlformats.org/officeDocument/2006/relationships/hyperlink" Target="https://zhuye.aiijournal.com/" TargetMode="External" /><ns0:Relationship Id="journalLink485" Type="http://schemas.openxmlformats.org/officeDocument/2006/relationships/hyperlink" Target="https://journal-platform-1305836431.cos.ap-beijing.myqcloud.com//zhongnan/article_attachment/2026/0403/72JaqPON-xwAffdKnkDhh.pdf#page=104" TargetMode="External" /><ns0:Relationship Id="journalLink486" Type="http://schemas.openxmlformats.org/officeDocument/2006/relationships/hyperlink" Target="https://yzzz.cbpt.cnki.net/portal" TargetMode="External" /><ns0:Relationship Id="journalLink487" Type="http://schemas.openxmlformats.org/officeDocument/2006/relationships/hyperlink" Target="https://yzzz.cbpt.cnki.net/portal" TargetMode="External" /><ns0:Relationship Id="journalLink488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89" Type="http://schemas.openxmlformats.org/officeDocument/2006/relationships/hyperlink" Target="http://www.cycz.chinajournal.net.cn/WKD/WebPublication/index.aspx?mid=cycz" TargetMode="External" /><ns0:Relationship Id="journalLink490" Type="http://schemas.openxmlformats.org/officeDocument/2006/relationships/hyperlink" Target="http://www.cycz.chinajournal.net.cn/WKD/WebPublication/index.aspx?mid=cycz" TargetMode="External" /><ns0:Relationship Id="journalLink491" Type="http://schemas.openxmlformats.org/officeDocument/2006/relationships/hyperlink" Target="https://journal-platform-1305836431.cos.ap-beijing.myqcloud.com//zhongnan/article_attachment/2026/0403/72JaqPON-xwAffdKnkDhh.pdf#page=102" TargetMode="External" /><ns0:Relationship Id="journalLink492" Type="http://schemas.openxmlformats.org/officeDocument/2006/relationships/hyperlink" Target="http://hljx.chinajournal.net.cn/WKD/WebPublication/index.aspx?mid=hljx" TargetMode="External" /><ns0:Relationship Id="journalLink493" Type="http://schemas.openxmlformats.org/officeDocument/2006/relationships/hyperlink" Target="http://hljx.chinajournal.net.cn/WKD/WebPublication/index.aspx?mid=hljx" TargetMode="External" /><ns0:Relationship Id="journalLink494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95" Type="http://schemas.openxmlformats.org/officeDocument/2006/relationships/hyperlink" Target="https://xmys.cbpt.cnki.net/portal" TargetMode="External" /><ns0:Relationship Id="journalLink496" Type="http://schemas.openxmlformats.org/officeDocument/2006/relationships/hyperlink" Target="https://xmys.cbpt.cnki.net/portal" TargetMode="External" /><ns0:Relationship Id="journalLink497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498" Type="http://schemas.openxmlformats.org/officeDocument/2006/relationships/hyperlink" Target="http://www.xdxmsy.com/CN/volumn/home.shtml" TargetMode="External" /><ns0:Relationship Id="journalLink499" Type="http://schemas.openxmlformats.org/officeDocument/2006/relationships/hyperlink" Target="http://www.xdxmsy.com/CN/volumn/home.shtml" TargetMode="External" /><ns0:Relationship Id="journalLink500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501" Type="http://schemas.openxmlformats.org/officeDocument/2006/relationships/hyperlink" Target="http://www.cykxjournal.com/" TargetMode="External" /><ns0:Relationship Id="journalLink502" Type="http://schemas.openxmlformats.org/officeDocument/2006/relationships/hyperlink" Target="http://www.cykxjournal.com/" TargetMode="External" /><ns0:Relationship Id="journalLink503" Type="http://schemas.openxmlformats.org/officeDocument/2006/relationships/hyperlink" Target="https://journal-platform-1305836431.cos.ap-beijing.myqcloud.com//zhongnan/article_attachment/2026/0403/72JaqPON-xwAffdKnkDhh.pdf#page=104" TargetMode="External" /><ns0:Relationship Id="journalLink504" Type="http://schemas.openxmlformats.org/officeDocument/2006/relationships/hyperlink" Target="http://www.zgcyjournal.com/" TargetMode="External" /><ns0:Relationship Id="journalLink505" Type="http://schemas.openxmlformats.org/officeDocument/2006/relationships/hyperlink" Target="http://www.zgcyjournal.com/" TargetMode="External" /><ns0:Relationship Id="journalLink506" Type="http://schemas.openxmlformats.org/officeDocument/2006/relationships/hyperlink" Target="https://journal-platform-1305836431.cos.ap-beijing.myqcloud.com//zhongnan/article_attachment/2026/0403/72JaqPON-xwAffdKnkDhh.pdf#page=104" TargetMode="External" /><ns0:Relationship Id="journalLink507" Type="http://schemas.openxmlformats.org/officeDocument/2006/relationships/hyperlink" Target="http://www.zgyf.cbpt.cnki.net/WKB/WebPublication/index.aspx?mid=zgyf" TargetMode="External" /><ns0:Relationship Id="journalLink508" Type="http://schemas.openxmlformats.org/officeDocument/2006/relationships/hyperlink" Target="http://www.zgyf.cbpt.cnki.net/WKB/WebPublication/index.aspx?mid=zgyf" TargetMode="External" /><ns0:Relationship Id="journalLink509" Type="http://schemas.openxmlformats.org/officeDocument/2006/relationships/hyperlink" Target="https://journal-platform-1305836431.cos.ap-beijing.myqcloud.com//zhongnan/article_attachment/2026/0403/72JaqPON-xwAffdKnkDhh.pdf#page=104" TargetMode="External" /><ns0:Relationship Id="journalLink510" Type="http://schemas.openxmlformats.org/officeDocument/2006/relationships/hyperlink" Target="https://china-fishery.cn/" TargetMode="External" /><ns0:Relationship Id="journalLink511" Type="http://schemas.openxmlformats.org/officeDocument/2006/relationships/hyperlink" Target="https://china-fishery.cn/" TargetMode="External" /><ns0:Relationship Id="journalLink512" Type="http://schemas.openxmlformats.org/officeDocument/2006/relationships/hyperlink" Target="https://journal-platform-1305836431.cos.ap-beijing.myqcloud.com//zhongnan/article_attachment/2026/0403/72JaqPON-xwAffdKnkDhh.pdf#page=104" TargetMode="External" /><ns0:Relationship Id="journalLink513" Type="http://schemas.openxmlformats.org/officeDocument/2006/relationships/hyperlink" Target="https://www.fishscichina.com/zgsckx/home" TargetMode="External" /><ns0:Relationship Id="journalLink514" Type="http://schemas.openxmlformats.org/officeDocument/2006/relationships/hyperlink" Target="https://www.fishscichina.com/zgsckx/home" TargetMode="External" /><ns0:Relationship Id="journalLink515" Type="http://schemas.openxmlformats.org/officeDocument/2006/relationships/hyperlink" Target="https://journal-platform-1305836431.cos.ap-beijing.myqcloud.com//zhongnan/article_attachment/2026/0403/72JaqPON-xwAffdKnkDhh.pdf#page=55" TargetMode="External" /><ns0:Relationship Id="journalLink516" Type="http://schemas.openxmlformats.org/officeDocument/2006/relationships/hyperlink" Target="http://ssswxb.ihb.ac.cn/" TargetMode="External" /><ns0:Relationship Id="journalLink517" Type="http://schemas.openxmlformats.org/officeDocument/2006/relationships/hyperlink" Target="http://ssswxb.ihb.ac.cn/" TargetMode="External" /><ns0:Relationship Id="journalLink518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19" Type="http://schemas.openxmlformats.org/officeDocument/2006/relationships/hyperlink" Target="http://www.aquaticjournal.com/dsyy/" TargetMode="External" /><ns0:Relationship Id="journalLink520" Type="http://schemas.openxmlformats.org/officeDocument/2006/relationships/hyperlink" Target="http://www.aquaticjournal.com/dsyy/" TargetMode="External" /><ns0:Relationship Id="journalLink521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22" Type="http://schemas.openxmlformats.org/officeDocument/2006/relationships/hyperlink" Target="http://www.aquaticjournal.com/sckx/" TargetMode="External" /><ns0:Relationship Id="journalLink523" Type="http://schemas.openxmlformats.org/officeDocument/2006/relationships/hyperlink" Target="http://www.aquaticjournal.com/sckx/" TargetMode="External" /><ns0:Relationship Id="journalLink524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25" Type="http://schemas.openxmlformats.org/officeDocument/2006/relationships/hyperlink" Target="http://www.aquaticjournal.com/sckjqb/" TargetMode="External" /><ns0:Relationship Id="journalLink526" Type="http://schemas.openxmlformats.org/officeDocument/2006/relationships/hyperlink" Target="http://www.aquaticjournal.com/sckjqb/" TargetMode="External" /><ns0:Relationship Id="journalLink527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28" Type="http://schemas.openxmlformats.org/officeDocument/2006/relationships/hyperlink" Target="https://www.marinefisheries.cn/CN/1004-2490/home.shtml" TargetMode="External" /><ns0:Relationship Id="journalLink529" Type="http://schemas.openxmlformats.org/officeDocument/2006/relationships/hyperlink" Target="https://www.marinefisheries.cn/CN/1004-2490/home.shtml" TargetMode="External" /><ns0:Relationship Id="journalLink530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31" Type="http://schemas.openxmlformats.org/officeDocument/2006/relationships/hyperlink" Target="https://www.schinafish.cn/" TargetMode="External" /><ns0:Relationship Id="journalLink532" Type="http://schemas.openxmlformats.org/officeDocument/2006/relationships/hyperlink" Target="https://www.schinafish.cn/" TargetMode="External" /><ns0:Relationship Id="journalLink533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34" Type="http://schemas.openxmlformats.org/officeDocument/2006/relationships/hyperlink" Target="http://yykxjz.ijournals.cn/yykxjz/ch/index.aspx" TargetMode="External" /><ns0:Relationship Id="journalLink535" Type="http://schemas.openxmlformats.org/officeDocument/2006/relationships/hyperlink" Target="http://yykxjz.ijournals.cn/yykxjz/ch/index.aspx" TargetMode="External" /><ns0:Relationship Id="journalLink536" Type="http://schemas.openxmlformats.org/officeDocument/2006/relationships/hyperlink" Target="https://journal-platform-1305836431.cos.ap-beijing.myqcloud.com//zhongnan/article_attachment/2026/0403/72JaqPON-xwAffdKnkDhh.pdf#page=52" TargetMode="External" /><ns0:Relationship Id="journalLink537" Type="http://schemas.openxmlformats.org/officeDocument/2006/relationships/hyperlink" Target="http://qdhys.ijournal.cn/hykx/ch/index.aspx" TargetMode="External" /><ns0:Relationship Id="journalLink538" Type="http://schemas.openxmlformats.org/officeDocument/2006/relationships/hyperlink" Target="http://qdhys.ijournal.cn/hykx/ch/index.aspx" TargetMode="External" /><ns0:Relationship Id="journalLink539" Type="http://schemas.openxmlformats.org/officeDocument/2006/relationships/hyperlink" Target="https://journal-platform-1305836431.cos.ap-beijing.myqcloud.com//zhongnan/article_attachment/2026/0403/72JaqPON-xwAffdKnkDhh.pdf#page=52" TargetMode="External" /><ns0:Relationship Id="journalLink540" Type="http://schemas.openxmlformats.org/officeDocument/2006/relationships/hyperlink" Target="http://qdhys.ijournal.cn/hyyhz/ch/index.aspx" TargetMode="External" /><ns0:Relationship Id="journalLink541" Type="http://schemas.openxmlformats.org/officeDocument/2006/relationships/hyperlink" Target="http://qdhys.ijournal.cn/hyyhz/ch/index.aspx" TargetMode="External" /><ns0:Relationship Id="journalLink542" Type="http://schemas.openxmlformats.org/officeDocument/2006/relationships/hyperlink" Target="https://journal-platform-1305836431.cos.ap-beijing.myqcloud.com//zhongnan/article_attachment/2026/0403/72JaqPON-xwAffdKnkDhh.pdf#page=52" TargetMode="External" /><ns0:Relationship Id="journalLink543" Type="http://schemas.openxmlformats.org/officeDocument/2006/relationships/hyperlink" Target="http://www.hyxb.org.cn/" TargetMode="External" /><ns0:Relationship Id="journalLink544" Type="http://schemas.openxmlformats.org/officeDocument/2006/relationships/hyperlink" Target="http://www.hyxb.org.cn/" TargetMode="External" /><ns0:Relationship Id="journalLink545" Type="http://schemas.openxmlformats.org/officeDocument/2006/relationships/hyperlink" Target="https://journal-platform-1305836431.cos.ap-beijing.myqcloud.com//zhongnan/article_attachment/2026/0403/72JaqPON-xwAffdKnkDhh.pdf#page=52" TargetMode="External" /><ns0:Relationship Id="journalLink546" Type="http://schemas.openxmlformats.org/officeDocument/2006/relationships/hyperlink" Target="http://xuebao.jao.org.cn/" TargetMode="External" /><ns0:Relationship Id="journalLink547" Type="http://schemas.openxmlformats.org/officeDocument/2006/relationships/hyperlink" Target="http://xuebao.jao.org.cn/" TargetMode="External" /><ns0:Relationship Id="journalLink548" Type="http://schemas.openxmlformats.org/officeDocument/2006/relationships/hyperlink" Target="https://journal-platform-1305836431.cos.ap-beijing.myqcloud.com//zhongnan/article_attachment/2026/0403/72JaqPON-xwAffdKnkDhh.pdf#page=52" TargetMode="External" /><ns0:Relationship Id="journalLink549" Type="http://schemas.openxmlformats.org/officeDocument/2006/relationships/hyperlink" Target="https://www.jto.ac.cn/CN/1009-5470/home.shtml" TargetMode="External" /><ns0:Relationship Id="journalLink550" Type="http://schemas.openxmlformats.org/officeDocument/2006/relationships/hyperlink" Target="https://www.jto.ac.cn/CN/1009-5470/home.shtml" TargetMode="External" /><ns0:Relationship Id="journalLink551" Type="http://schemas.openxmlformats.org/officeDocument/2006/relationships/hyperlink" Target="https://journal-platform-1305836431.cos.ap-beijing.myqcloud.com//zhongnan/article_attachment/2026/0403/72JaqPON-xwAffdKnkDhh.pdf#page=52" TargetMode="External" /><ns0:Relationship Id="journalLink552" Type="http://schemas.openxmlformats.org/officeDocument/2006/relationships/hyperlink" Target="http://hyhjkx.nmemc.org.cn/" TargetMode="External" /><ns0:Relationship Id="journalLink553" Type="http://schemas.openxmlformats.org/officeDocument/2006/relationships/hyperlink" Target="http://hyhjkx.nmemc.org.cn/" TargetMode="External" /><ns0:Relationship Id="journalLink554" Type="http://schemas.openxmlformats.org/officeDocument/2006/relationships/hyperlink" Target="https://journal-platform-1305836431.cos.ap-beijing.myqcloud.com//zhongnan/article_attachment/2026/0403/72JaqPON-xwAffdKnkDhh.pdf#page=52" TargetMode="External" /><ns0:Relationship Id="journalLink555" Type="http://schemas.openxmlformats.org/officeDocument/2006/relationships/hyperlink" Target="https://www.ams-journal.org.cn/website/index.htm" TargetMode="External" /><ns0:Relationship Id="journalLink556" Type="http://schemas.openxmlformats.org/officeDocument/2006/relationships/hyperlink" Target="https://www.ams-journal.org.cn/website/index.htm" TargetMode="External" /><ns0:Relationship Id="journalLink557" Type="http://schemas.openxmlformats.org/officeDocument/2006/relationships/hyperlink" Target="https://journal-platform-1305836431.cos.ap-beijing.myqcloud.com//zhongnan/article_attachment/2026/0403/72JaqPON-xwAffdKnkDhh.pdf#page=157" TargetMode="External" /><ns0:Relationship Id="journalLink558" Type="http://schemas.openxmlformats.org/officeDocument/2006/relationships/hyperlink" Target="http://jlakes.alljournals.cn/hpkx/home" TargetMode="External" /><ns0:Relationship Id="journalLink559" Type="http://schemas.openxmlformats.org/officeDocument/2006/relationships/hyperlink" Target="http://jlakes.alljournals.cn/hpkx/home" TargetMode="External" /><ns0:Relationship Id="journalLink560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61" Type="http://schemas.openxmlformats.org/officeDocument/2006/relationships/hyperlink" Target="https://xuebao.dlou.edu.cn/CN/2095-1388/home.shtml" TargetMode="External" /><ns0:Relationship Id="journalLink562" Type="http://schemas.openxmlformats.org/officeDocument/2006/relationships/hyperlink" Target="https://xuebao.dlou.edu.cn/CN/2095-1388/home.shtml" TargetMode="External" /><ns0:Relationship Id="journalLink563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64" Type="http://schemas.openxmlformats.org/officeDocument/2006/relationships/hyperlink" Target="https://www.shhydxxb.com/ch/index.aspx" TargetMode="External" /><ns0:Relationship Id="journalLink565" Type="http://schemas.openxmlformats.org/officeDocument/2006/relationships/hyperlink" Target="https://www.shhydxxb.com/ch/index.aspx" TargetMode="External" /><ns0:Relationship Id="journalLink566" Type="http://schemas.openxmlformats.org/officeDocument/2006/relationships/hyperlink" Target="https://journal-platform-1305836431.cos.ap-beijing.myqcloud.com//zhongnan/article_attachment/2026/0403/72JaqPON-xwAffdKnkDhh.pdf#page=52" TargetMode="External" /><ns0:Relationship Id="journalLink567" Type="http://schemas.openxmlformats.org/officeDocument/2006/relationships/hyperlink" Target="https://www.shdx.chinajournal.net.cn/WKB/WebPublication/index.aspx?mid=shdx" TargetMode="External" /><ns0:Relationship Id="journalLink568" Type="http://schemas.openxmlformats.org/officeDocument/2006/relationships/hyperlink" Target="https://www.shdx.chinajournal.net.cn/WKB/WebPublication/index.aspx?mid=shdx" TargetMode="External" /><ns0:Relationship Id="journalLink569" Type="http://schemas.openxmlformats.org/officeDocument/2006/relationships/hyperlink" Target="https://journal-platform-1305836431.cos.ap-beijing.myqcloud.com//zhongnan/article_attachment/2026/0403/72JaqPON-xwAffdKnkDhh.pdf#page=36" TargetMode="External" /><ns0:Relationship Id="journalLink570" Type="http://schemas.openxmlformats.org/officeDocument/2006/relationships/hyperlink" Target="https://xuebaobangong.jmu.edu.cn/zkb/" TargetMode="External" /><ns0:Relationship Id="journalLink571" Type="http://schemas.openxmlformats.org/officeDocument/2006/relationships/hyperlink" Target="https://xuebaobangong.jmu.edu.cn/zkb/" TargetMode="External" /><ns0:Relationship Id="journalLink572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73" Type="http://schemas.openxmlformats.org/officeDocument/2006/relationships/hyperlink" Target="https://fm.fmiri.ac.cn/CN/current" TargetMode="External" /><ns0:Relationship Id="journalLink574" Type="http://schemas.openxmlformats.org/officeDocument/2006/relationships/hyperlink" Target="https://fm.fmiri.ac.cn/CN/current" TargetMode="External" /><ns0:Relationship Id="journalLink575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76" Type="http://schemas.openxmlformats.org/officeDocument/2006/relationships/hyperlink" Target="http://www.aquaticjournal.com/kxyy" TargetMode="External" /><ns0:Relationship Id="journalLink577" Type="http://schemas.openxmlformats.org/officeDocument/2006/relationships/hyperlink" Target="http://www.aquaticjournal.com/kxyy" TargetMode="External" /><ns0:Relationship Id="journalLink578" Type="http://schemas.openxmlformats.org/officeDocument/2006/relationships/hyperlink" Target="https://journal-platform-1305836431.cos.ap-beijing.myqcloud.com//zhongnan/article_attachment/2026/0403/72JaqPON-xwAffdKnkDhh.pdf#page=105" TargetMode="External" /><ns0:Relationship Id="journalLink579" Type="http://schemas.openxmlformats.org/officeDocument/2006/relationships/hyperlink" Target="http://www.hyyysci.com/" TargetMode="External" /><ns0:Relationship Id="journalLink580" Type="http://schemas.openxmlformats.org/officeDocument/2006/relationships/hyperlink" Target="http://www.hyyysci.com/" TargetMode="External" /><ns0:Relationship Id="journalLink581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582" Type="http://schemas.openxmlformats.org/officeDocument/2006/relationships/hyperlink" Target="http://pedologica.issas.ac.cn/trxb/home" TargetMode="External" /><ns0:Relationship Id="journalLink583" Type="http://schemas.openxmlformats.org/officeDocument/2006/relationships/hyperlink" Target="http://pedologica.issas.ac.cn/trxb/home" TargetMode="External" /><ns0:Relationship Id="journalLink584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585" Type="http://schemas.openxmlformats.org/officeDocument/2006/relationships/hyperlink" Target="http://soils.issas.ac.cn/tr/home" TargetMode="External" /><ns0:Relationship Id="journalLink586" Type="http://schemas.openxmlformats.org/officeDocument/2006/relationships/hyperlink" Target="http://soils.issas.ac.cn/tr/home" TargetMode="External" /><ns0:Relationship Id="journalLink587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588" Type="http://schemas.openxmlformats.org/officeDocument/2006/relationships/hyperlink" Target="https://www.trtb.net/" TargetMode="External" /><ns0:Relationship Id="journalLink589" Type="http://schemas.openxmlformats.org/officeDocument/2006/relationships/hyperlink" Target="https://www.trtb.net/" TargetMode="External" /><ns0:Relationship Id="journalLink590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591" Type="http://schemas.openxmlformats.org/officeDocument/2006/relationships/hyperlink" Target="https://www.plantnutrifert.org/" TargetMode="External" /><ns0:Relationship Id="journalLink592" Type="http://schemas.openxmlformats.org/officeDocument/2006/relationships/hyperlink" Target="https://www.plantnutrifert.org/" TargetMode="External" /><ns0:Relationship Id="journalLink593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594" Type="http://schemas.openxmlformats.org/officeDocument/2006/relationships/hyperlink" Target="https://caas.cn/xxfw/zyfw/cqk/81791d9be9304b7dbef8b97aaf9b2e6b.htm" TargetMode="External" /><ns0:Relationship Id="journalLink595" Type="http://schemas.openxmlformats.org/officeDocument/2006/relationships/hyperlink" Target="https://caas.cn/xxfw/zyfw/cqk/81791d9be9304b7dbef8b97aaf9b2e6b.htm" TargetMode="External" /><ns0:Relationship Id="journalLink596" Type="http://schemas.openxmlformats.org/officeDocument/2006/relationships/hyperlink" Target="https://journal-platform-1305836431.cos.ap-beijing.myqcloud.com//zhongnan/article_attachment/2026/0403/72JaqPON-xwAffdKnkDhh.pdf#page=166" TargetMode="External" /><ns0:Relationship Id="journalLink597" Type="http://schemas.openxmlformats.org/officeDocument/2006/relationships/hyperlink" Target="https://www.aes.org.cn/nyhjkxxb/ch/index.aspx" TargetMode="External" /><ns0:Relationship Id="journalLink598" Type="http://schemas.openxmlformats.org/officeDocument/2006/relationships/hyperlink" Target="https://www.aes.org.cn/nyhjkxxb/ch/index.aspx" TargetMode="External" /><ns0:Relationship Id="journalLink599" Type="http://schemas.openxmlformats.org/officeDocument/2006/relationships/hyperlink" Target="https://journal-platform-1305836431.cos.ap-beijing.myqcloud.com//zhongnan/article_attachment/2026/0403/72JaqPON-xwAffdKnkDhh.pdf#page=92" TargetMode="External" /><ns0:Relationship Id="journalLink600" Type="http://schemas.openxmlformats.org/officeDocument/2006/relationships/hyperlink" Target="https://www.aed.org.cn/nyzyyhjxb/ch/index.aspx" TargetMode="External" /><ns0:Relationship Id="journalLink601" Type="http://schemas.openxmlformats.org/officeDocument/2006/relationships/hyperlink" Target="https://www.aed.org.cn/nyzyyhjxb/ch/index.aspx" TargetMode="External" /><ns0:Relationship Id="journalLink602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03" Type="http://schemas.openxmlformats.org/officeDocument/2006/relationships/hyperlink" Target="https://www.stbcxb.com.cn/zh/home/" TargetMode="External" /><ns0:Relationship Id="journalLink604" Type="http://schemas.openxmlformats.org/officeDocument/2006/relationships/hyperlink" Target="https://www.stbcxb.com.cn/zh/home/" TargetMode="External" /><ns0:Relationship Id="journalLink605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06" Type="http://schemas.openxmlformats.org/officeDocument/2006/relationships/hyperlink" Target="https://cjournal.hep.com.cn/1005-3409/CN/home" TargetMode="External" /><ns0:Relationship Id="journalLink607" Type="http://schemas.openxmlformats.org/officeDocument/2006/relationships/hyperlink" Target="https://cjournal.hep.com.cn/1005-3409/CN/home" TargetMode="External" /><ns0:Relationship Id="journalLink608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09" Type="http://schemas.openxmlformats.org/officeDocument/2006/relationships/hyperlink" Target="https://zgstbckx.xml-journal.net/" TargetMode="External" /><ns0:Relationship Id="journalLink610" Type="http://schemas.openxmlformats.org/officeDocument/2006/relationships/hyperlink" Target="https://zgstbckx.xml-journal.net/" TargetMode="External" /><ns0:Relationship Id="journalLink611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12" Type="http://schemas.openxmlformats.org/officeDocument/2006/relationships/hyperlink" Target="https://cjournal.hep.com.cn/1000-288X/CN/home" TargetMode="External" /><ns0:Relationship Id="journalLink613" Type="http://schemas.openxmlformats.org/officeDocument/2006/relationships/hyperlink" Target="https://cjournal.hep.com.cn/1000-288X/CN/home" TargetMode="External" /><ns0:Relationship Id="journalLink614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15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16" Type="http://schemas.openxmlformats.org/officeDocument/2006/relationships/hyperlink" Target="http://www.swcczz.cn/CN/home" TargetMode="External" /><ns0:Relationship Id="journalLink617" Type="http://schemas.openxmlformats.org/officeDocument/2006/relationships/hyperlink" Target="http://www.swcczz.cn/CN/home" TargetMode="External" /><ns0:Relationship Id="journalLink618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19" Type="http://schemas.openxmlformats.org/officeDocument/2006/relationships/hyperlink" Target="http://journals.caass.org.cn/ggpsxb/CN/home" TargetMode="External" /><ns0:Relationship Id="journalLink620" Type="http://schemas.openxmlformats.org/officeDocument/2006/relationships/hyperlink" Target="http://journals.caass.org.cn/ggpsxb/CN/home" TargetMode="External" /><ns0:Relationship Id="journalLink621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22" Type="http://schemas.openxmlformats.org/officeDocument/2006/relationships/hyperlink" Target="https://irrigate.whu.edu.cn/CN/1007-2284/home.shtml" TargetMode="External" /><ns0:Relationship Id="journalLink623" Type="http://schemas.openxmlformats.org/officeDocument/2006/relationships/hyperlink" Target="https://irrigate.whu.edu.cn/CN/1007-2284/home.shtml" TargetMode="External" /><ns0:Relationship Id="journalLink624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25" Type="http://schemas.openxmlformats.org/officeDocument/2006/relationships/hyperlink" Target="http://www.tcsae.org/" TargetMode="External" /><ns0:Relationship Id="journalLink626" Type="http://schemas.openxmlformats.org/officeDocument/2006/relationships/hyperlink" Target="http://www.tcsae.org/" TargetMode="External" /><ns0:Relationship Id="journalLink627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28" Type="http://schemas.openxmlformats.org/officeDocument/2006/relationships/hyperlink" Target="http://nyjxxb.ijournals.cn/jcsam/home" TargetMode="External" /><ns0:Relationship Id="journalLink629" Type="http://schemas.openxmlformats.org/officeDocument/2006/relationships/hyperlink" Target="http://nyjxxb.ijournals.cn/jcsam/home" TargetMode="External" /><ns0:Relationship Id="journalLink630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31" Type="http://schemas.openxmlformats.org/officeDocument/2006/relationships/hyperlink" Target="https://zzs.ujs.edu.cn/pgjxgcxb/CN/home" TargetMode="External" /><ns0:Relationship Id="journalLink632" Type="http://schemas.openxmlformats.org/officeDocument/2006/relationships/hyperlink" Target="https://zzs.ujs.edu.cn/pgjxgcxb/CN/home" TargetMode="External" /><ns0:Relationship Id="journalLink633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34" Type="http://schemas.openxmlformats.org/officeDocument/2006/relationships/hyperlink" Target="https://irrigate.whu.edu.cn/jsgg/" TargetMode="External" /><ns0:Relationship Id="journalLink635" Type="http://schemas.openxmlformats.org/officeDocument/2006/relationships/hyperlink" Target="https://irrigate.whu.edu.cn/jsgg/" TargetMode="External" /><ns0:Relationship Id="journalLink636" Type="http://schemas.openxmlformats.org/officeDocument/2006/relationships/hyperlink" Target="https://journal-platform-1305836431.cos.ap-beijing.myqcloud.com//zhongnan/article_attachment/2026/0403/72JaqPON-xwAffdKnkDhh.pdf#page=97" TargetMode="External" /><ns0:Relationship Id="journalLink637" Type="http://schemas.openxmlformats.org/officeDocument/2006/relationships/hyperlink" Target="https://njyj.cbpt.cnki.net/portal/journal/portal/client/index" TargetMode="External" /><ns0:Relationship Id="journalLink638" Type="http://schemas.openxmlformats.org/officeDocument/2006/relationships/hyperlink" Target="https://njyj.cbpt.cnki.net/portal/journal/portal/client/index" TargetMode="External" /><ns0:Relationship Id="journalLink639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640" Type="http://schemas.openxmlformats.org/officeDocument/2006/relationships/hyperlink" Target="https://stxb.ijournals.cn/stxb/home" TargetMode="External" /><ns0:Relationship Id="journalLink641" Type="http://schemas.openxmlformats.org/officeDocument/2006/relationships/hyperlink" Target="https://stxb.ijournals.cn/stxb/home" TargetMode="External" /><ns0:Relationship Id="journalLink642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643" Type="http://schemas.openxmlformats.org/officeDocument/2006/relationships/hyperlink" Target="https://www.cjae.net/CN/1001-9332/home.shtml" TargetMode="External" /><ns0:Relationship Id="journalLink644" Type="http://schemas.openxmlformats.org/officeDocument/2006/relationships/hyperlink" Target="https://www.cjae.net/CN/1001-9332/home.shtml" TargetMode="External" /><ns0:Relationship Id="journalLink645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646" Type="http://schemas.openxmlformats.org/officeDocument/2006/relationships/hyperlink" Target="https://www.cje.net.cn/CN/1000-4890/home.shtml" TargetMode="External" /><ns0:Relationship Id="journalLink647" Type="http://schemas.openxmlformats.org/officeDocument/2006/relationships/hyperlink" Target="https://www.cje.net.cn/CN/1000-4890/home.shtml" TargetMode="External" /><ns0:Relationship Id="journalLink648" Type="http://schemas.openxmlformats.org/officeDocument/2006/relationships/hyperlink" Target="https://journal-platform-1305836431.cos.ap-beijing.myqcloud.com//zhongnan/article_attachment/2026/0403/72JaqPON-xwAffdKnkDhh.pdf#page=96" TargetMode="External" /><ns0:Relationship Id="journalLink649" Type="http://schemas.openxmlformats.org/officeDocument/2006/relationships/hyperlink" Target="https://www.jeesci.com/CN/1674-5906/home.shtml" TargetMode="External" /><ns0:Relationship Id="journalLink650" Type="http://schemas.openxmlformats.org/officeDocument/2006/relationships/hyperlink" Target="https://www.jeesci.com/CN/1674-5906/home.shtml" TargetMode="External" /><ns0:Relationship Id="journalLink651" Type="http://schemas.openxmlformats.org/officeDocument/2006/relationships/hyperlink" Target="https://journal-platform-1305836431.cos.ap-beijing.myqcloud.com//zhongnan/article_attachment/2026/0403/72JaqPON-xwAffdKnkDhh.pdf#page=54" TargetMode="External" /><ns0:Relationship Id="journalLink652" Type="http://schemas.openxmlformats.org/officeDocument/2006/relationships/hyperlink" Target="http://www.ecolsci.com/" TargetMode="External" /><ns0:Relationship Id="journalLink653" Type="http://schemas.openxmlformats.org/officeDocument/2006/relationships/hyperlink" Target="http://www.ecolsci.com/" TargetMode="External" /><ns0:Relationship Id="journalLink654" Type="http://schemas.openxmlformats.org/officeDocument/2006/relationships/hyperlink" Target="https://journal-platform-1305836431.cos.ap-beijing.myqcloud.com//zhongnan/article_attachment/2026/0403/72JaqPON-xwAffdKnkDhh.pdf#page=166" TargetMode="External" /><ns0:Relationship Id="journalLink655" Type="http://schemas.openxmlformats.org/officeDocument/2006/relationships/hyperlink" Target="http://hjkx.ac.cn/hjkx/" TargetMode="External" /><ns0:Relationship Id="journalLink656" Type="http://schemas.openxmlformats.org/officeDocument/2006/relationships/hyperlink" Target="http://hjkx.ac.cn/hjkx/" TargetMode="External" /><ns0:Relationship Id="journalLink657" Type="http://schemas.openxmlformats.org/officeDocument/2006/relationships/hyperlink" Target="https://journal-platform-1305836431.cos.ap-beijing.myqcloud.com//zhongnan/article_attachment/2026/0403/72JaqPON-xwAffdKnkDhh.pdf#page=166" TargetMode="External" /><ns0:Relationship Id="journalLink658" Type="http://schemas.openxmlformats.org/officeDocument/2006/relationships/hyperlink" Target="https://www.actasc.cn/" TargetMode="External" /><ns0:Relationship Id="journalLink659" Type="http://schemas.openxmlformats.org/officeDocument/2006/relationships/hyperlink" Target="https://www.actasc.cn/" TargetMode="External" /><ns0:Relationship Id="journalLink660" Type="http://schemas.openxmlformats.org/officeDocument/2006/relationships/hyperlink" Target="https://journal-platform-1305836431.cos.ap-beijing.myqcloud.com//zhongnan/article_attachment/2026/0403/72JaqPON-xwAffdKnkDhh.pdf#page=166" TargetMode="External" /><ns0:Relationship Id="journalLink661" Type="http://schemas.openxmlformats.org/officeDocument/2006/relationships/hyperlink" Target="https://castjournals.cast.org.cn/joweb/zghjkx/CN/home" TargetMode="External" /><ns0:Relationship Id="journalLink662" Type="http://schemas.openxmlformats.org/officeDocument/2006/relationships/hyperlink" Target="https://castjournals.cast.org.cn/joweb/zghjkx/CN/home" TargetMode="External" /><ns0:Relationship Id="journalLink663" Type="http://schemas.openxmlformats.org/officeDocument/2006/relationships/hyperlink" Target="https://journal-platform-1305836431.cos.ap-beijing.myqcloud.com//zhongnan/article_attachment/2026/0403/72JaqPON-xwAffdKnkDhh.pdf#page=166" TargetMode="External" /><ns0:Relationship Id="journalLink664" Type="http://schemas.openxmlformats.org/officeDocument/2006/relationships/hyperlink" Target="https://www.hjkxyj.org.cn/" TargetMode="External" /><ns0:Relationship Id="journalLink665" Type="http://schemas.openxmlformats.org/officeDocument/2006/relationships/hyperlink" Target="https://www.hjkxyj.org.cn/" TargetMode="External" /><ns0:Relationship Id="journalLink666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667" Type="http://schemas.openxmlformats.org/officeDocument/2006/relationships/hyperlink" Target="https://www.sciengine.com/EC/home" TargetMode="External" /><ns0:Relationship Id="journalLink668" Type="http://schemas.openxmlformats.org/officeDocument/2006/relationships/hyperlink" Target="https://www.sciengine.com/EC/home" TargetMode="External" /><ns0:Relationship Id="journalLink669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670" Type="http://schemas.openxmlformats.org/officeDocument/2006/relationships/hyperlink" Target="https://www.sciengine.com/CJEE/home" TargetMode="External" /><ns0:Relationship Id="journalLink671" Type="http://schemas.openxmlformats.org/officeDocument/2006/relationships/hyperlink" Target="https://www.sciengine.com/CJEE/home" TargetMode="External" /><ns0:Relationship Id="journalLink672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673" Type="http://schemas.openxmlformats.org/officeDocument/2006/relationships/hyperlink" Target="http://hjgc.ic-mag.com/" TargetMode="External" /><ns0:Relationship Id="journalLink674" Type="http://schemas.openxmlformats.org/officeDocument/2006/relationships/hyperlink" Target="http://hjgc.ic-mag.com/" TargetMode="External" /><ns0:Relationship Id="journalLink675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676" Type="http://schemas.openxmlformats.org/officeDocument/2006/relationships/hyperlink" Target="http://www.zjepc.com/" TargetMode="External" /><ns0:Relationship Id="journalLink677" Type="http://schemas.openxmlformats.org/officeDocument/2006/relationships/hyperlink" Target="http://www.zjepc.com/" TargetMode="External" /><ns0:Relationship Id="journalLink678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679" Type="http://schemas.openxmlformats.org/officeDocument/2006/relationships/hyperlink" Target="https://fjks.chinajournal.net.cn/WKB2/WebPublication/index.aspx?mid=FJKS" TargetMode="External" /><ns0:Relationship Id="journalLink680" Type="http://schemas.openxmlformats.org/officeDocument/2006/relationships/hyperlink" Target="https://fjks.chinajournal.net.cn/WKB2/WebPublication/index.aspx?mid=FJKS" TargetMode="External" /><ns0:Relationship Id="journalLink681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682" Type="http://schemas.openxmlformats.org/officeDocument/2006/relationships/hyperlink" Target="http://hjjcgl.cnjournals.net/ch/index.aspx" TargetMode="External" /><ns0:Relationship Id="journalLink683" Type="http://schemas.openxmlformats.org/officeDocument/2006/relationships/hyperlink" Target="http://hjjcgl.cnjournals.net/ch/index.aspx" TargetMode="External" /><ns0:Relationship Id="journalLink684" Type="http://schemas.openxmlformats.org/officeDocument/2006/relationships/hyperlink" Target="https://journal-platform-1305836431.cos.ap-beijing.myqcloud.com//zhongnan/article_attachment/2026/0403/72JaqPON-xwAffdKnkDhh.pdf#page=168" TargetMode="External" /><ns0:Relationship Id="journalLink685" Type="http://schemas.openxmlformats.org/officeDocument/2006/relationships/hyperlink" Target="http://www.hjjkyyj.com/" TargetMode="External" /><ns0:Relationship Id="journalLink686" Type="http://schemas.openxmlformats.org/officeDocument/2006/relationships/hyperlink" Target="https://www.ere.ac.cn/cn/article/pdf/preview/10.19741/j.issn.1673-4831.2018.0121.pdf" TargetMode="External" /><ns0:Relationship Id="journalLink687" Type="http://schemas.openxmlformats.org/officeDocument/2006/relationships/hyperlink" Target="https://journal-platform-1305836431.cos.ap-beijing.myqcloud.com//zhongnan/article_attachment/2026/0403/72JaqPON-xwAffdKnkDhh.pdf#page=166" TargetMode="External" /><ns0:Relationship Id="journalLink688" Type="http://schemas.openxmlformats.org/officeDocument/2006/relationships/hyperlink" Target="https://hjbhzz.com/" TargetMode="External" /><ns0:Relationship Id="journalLink689" Type="http://schemas.openxmlformats.org/officeDocument/2006/relationships/hyperlink" Target="https://hjbhzz.com/" TargetMode="External" /><ns0:Relationship Id="journalLink690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691" Type="http://schemas.openxmlformats.org/officeDocument/2006/relationships/hyperlink" Target="https://www.cnemce.cn/" TargetMode="External" /><ns0:Relationship Id="journalLink692" Type="http://schemas.openxmlformats.org/officeDocument/2006/relationships/hyperlink" Target="https://www.cnemce.cn/" TargetMode="External" /><ns0:Relationship Id="journalLink693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694" Type="http://schemas.openxmlformats.org/officeDocument/2006/relationships/hyperlink" Target="http://www.stdl.chinajournal.net.cn/WKC/WebPublication/index.aspx?mid=stdl" TargetMode="External" /><ns0:Relationship Id="journalLink695" Type="http://schemas.openxmlformats.org/officeDocument/2006/relationships/hyperlink" Target="http://www.stdl.chinajournal.net.cn/WKC/WebPublication/index.aspx?mid=stdl" TargetMode="External" /><ns0:Relationship Id="journalLink696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697" Type="http://schemas.openxmlformats.org/officeDocument/2006/relationships/hyperlink" Target="https://www.jnr.ac.cn/CN/home" TargetMode="External" /><ns0:Relationship Id="journalLink698" Type="http://schemas.openxmlformats.org/officeDocument/2006/relationships/hyperlink" Target="https://www.jnr.ac.cn/CN/home" TargetMode="External" /><ns0:Relationship Id="journalLink699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700" Type="http://schemas.openxmlformats.org/officeDocument/2006/relationships/hyperlink" Target="https://www.resci.cn/CN/home" TargetMode="External" /><ns0:Relationship Id="journalLink701" Type="http://schemas.openxmlformats.org/officeDocument/2006/relationships/hyperlink" Target="https://www.resci.cn/CN/home" TargetMode="External" /><ns0:Relationship Id="journalLink702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703" Type="http://schemas.openxmlformats.org/officeDocument/2006/relationships/hyperlink" Target="https://www.geog.com.cn/CN/0375-5444/home.shtml" TargetMode="External" /><ns0:Relationship Id="journalLink704" Type="http://schemas.openxmlformats.org/officeDocument/2006/relationships/hyperlink" Target="https://www.geog.com.cn/CN/0375-5444/home.shtml" TargetMode="External" /><ns0:Relationship Id="journalLink705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706" Type="http://schemas.openxmlformats.org/officeDocument/2006/relationships/hyperlink" Target="https://www.dlyj.ac.cn/CN/home" TargetMode="External" /><ns0:Relationship Id="journalLink707" Type="http://schemas.openxmlformats.org/officeDocument/2006/relationships/hyperlink" Target="https://www.dlyj.ac.cn/CN/home" TargetMode="External" /><ns0:Relationship Id="journalLink708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709" Type="http://schemas.openxmlformats.org/officeDocument/2006/relationships/hyperlink" Target="http://geoscien.neigae.ac.cn/CN/home" TargetMode="External" /><ns0:Relationship Id="journalLink710" Type="http://schemas.openxmlformats.org/officeDocument/2006/relationships/hyperlink" Target="http://geoscien.neigae.ac.cn/CN/home" TargetMode="External" /><ns0:Relationship Id="journalLink711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712" Type="http://schemas.openxmlformats.org/officeDocument/2006/relationships/hyperlink" Target="https://www.progressingeography.com/" TargetMode="External" /><ns0:Relationship Id="journalLink713" Type="http://schemas.openxmlformats.org/officeDocument/2006/relationships/hyperlink" Target="https://www.progressingeography.com/" TargetMode="External" /><ns0:Relationship Id="journalLink714" Type="http://schemas.openxmlformats.org/officeDocument/2006/relationships/hyperlink" Target="https://journal-platform-1305836431.cos.ap-beijing.myqcloud.com//zhongnan/article_attachment/2026/0403/72JaqPON-xwAffdKnkDhh.pdf#page=47" TargetMode="External" /><ns0:Relationship Id="journalLink715" Type="http://schemas.openxmlformats.org/officeDocument/2006/relationships/hyperlink" Target="http://www.adearth.ac.cn/CN/1001-8166/home.shtml" TargetMode="External" /><ns0:Relationship Id="journalLink716" Type="http://schemas.openxmlformats.org/officeDocument/2006/relationships/hyperlink" Target="http://www.adearth.ac.cn/CN/1001-8166/home.shtml" TargetMode="External" /><ns0:Relationship Id="journalLink717" Type="http://schemas.openxmlformats.org/officeDocument/2006/relationships/hyperlink" Target="https://journal-platform-1305836431.cos.ap-beijing.myqcloud.com//zhongnan/article_attachment/2026/0403/72JaqPON-xwAffdKnkDhh.pdf#page=50" TargetMode="External" /><ns0:Relationship Id="journalLink718" Type="http://schemas.openxmlformats.org/officeDocument/2006/relationships/hyperlink" Target="http://www.dsjyj.com.cn/" TargetMode="External" /><ns0:Relationship Id="journalLink719" Type="http://schemas.openxmlformats.org/officeDocument/2006/relationships/hyperlink" Target="http://www.dsjyj.com.cn/" TargetMode="External" /><ns0:Relationship Id="journalLink720" Type="http://schemas.openxmlformats.org/officeDocument/2006/relationships/hyperlink" Target="https://journal-platform-1305836431.cos.ap-beijing.myqcloud.com//zhongnan/article_attachment/2026/0403/72JaqPON-xwAffdKnkDhh.pdf#page=50" TargetMode="External" /><ns0:Relationship Id="journalLink721" Type="http://schemas.openxmlformats.org/officeDocument/2006/relationships/hyperlink" Target="https://dzdq.cbpt.cnki.net/wki/WebPublication/index.aspx?mid=dzdq" TargetMode="External" /><ns0:Relationship Id="journalLink722" Type="http://schemas.openxmlformats.org/officeDocument/2006/relationships/hyperlink" Target="https://dzdq.cbpt.cnki.net/wki/WebPublication/index.aspx?mid=dzdq" TargetMode="External" /><ns0:Relationship Id="journalLink723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724" Type="http://schemas.openxmlformats.org/officeDocument/2006/relationships/hyperlink" Target="http://www.desert.ac.cn/CN/1000-694X/home.shtml" TargetMode="External" /><ns0:Relationship Id="journalLink725" Type="http://schemas.openxmlformats.org/officeDocument/2006/relationships/hyperlink" Target="http://www.desert.ac.cn/CN/1000-694X/home.shtml" TargetMode="External" /><ns0:Relationship Id="journalLink726" Type="http://schemas.openxmlformats.org/officeDocument/2006/relationships/hyperlink" Target="https://journal-platform-1305836431.cos.ap-beijing.myqcloud.com//zhongnan/article_attachment/2026/0403/72JaqPON-xwAffdKnkDhh.pdf#page=48" TargetMode="External" /><ns0:Relationship Id="journalLink727" Type="http://schemas.openxmlformats.org/officeDocument/2006/relationships/hyperlink" Target="http://azr.xjegi.com/CN/1001-4675/home.shtml" TargetMode="External" /><ns0:Relationship Id="journalLink728" Type="http://schemas.openxmlformats.org/officeDocument/2006/relationships/hyperlink" Target="http://azr.xjegi.com/CN/1001-4675/home.shtml" TargetMode="External" /><ns0:Relationship Id="journalLink729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730" Type="http://schemas.openxmlformats.org/officeDocument/2006/relationships/hyperlink" Target="http://alg.xjegi.com/CN/1000-6060/home.shtml" TargetMode="External" /><ns0:Relationship Id="journalLink731" Type="http://schemas.openxmlformats.org/officeDocument/2006/relationships/hyperlink" Target="http://alg.xjegi.com/CN/1000-6060/home.shtml" TargetMode="External" /><ns0:Relationship Id="journalLink732" Type="http://schemas.openxmlformats.org/officeDocument/2006/relationships/hyperlink" Target="https://journal-platform-1305836431.cos.ap-beijing.myqcloud.com//zhongnan/article_attachment/2026/0403/72JaqPON-xwAffdKnkDhh.pdf#page=53" TargetMode="External" /><ns0:Relationship Id="journalLink733" Type="http://schemas.openxmlformats.org/officeDocument/2006/relationships/hyperlink" Target="https://www.geores.com.cn/sdxb/CN/home" TargetMode="External" /><ns0:Relationship Id="journalLink734" Type="http://schemas.openxmlformats.org/officeDocument/2006/relationships/hyperlink" Target="https://www.geores.com.cn/sdxb/CN/home" TargetMode="External" /><ns0:Relationship Id="journalLink735" Type="http://schemas.openxmlformats.org/officeDocument/2006/relationships/hyperlink" Target="https://journal-platform-1305836431.cos.ap-beijing.myqcloud.com//zhongnan/article_attachment/2026/0403/72JaqPON-xwAffdKnkDhh.pdf#page=167" TargetMode="External" /><ns0:Relationship Id="journalLink736" Type="http://schemas.openxmlformats.org/officeDocument/2006/relationships/hyperlink" Target="https://www.geores.com.cn/sdkx/CN/home" TargetMode="External" /><ns0:Relationship Id="journalLink737" Type="http://schemas.openxmlformats.org/officeDocument/2006/relationships/hyperlink" Target="https://www.geores.com.cn/sdkx/CN/home" TargetMode="External" /><ns0:Relationship Id="journalLink738" Type="http://schemas.openxmlformats.org/officeDocument/2006/relationships/hyperlink" Target="https://journal-platform-1305836431.cos.ap-beijing.myqcloud.com//zhongnan/article_attachment/2026/0403/72JaqPON-xwAffdKnkDhh.pdf#page=166" TargetMode="External" /><ns0:Relationship Id="journalLink739" Type="http://schemas.openxmlformats.org/officeDocument/2006/relationships/hyperlink" Target="https://yangtzebasin.whlib.ac.cn/CN/1004-8227/home.shtml" TargetMode="External" /><ns0:Relationship Id="journalLink740" Type="http://schemas.openxmlformats.org/officeDocument/2006/relationships/hyperlink" Target="https://yangtzebasin.whlib.ac.cn/CN/1004-8227/home.shtml" TargetMode="External" /><ns0:Relationship Id="journalLink741" Type="http://schemas.openxmlformats.org/officeDocument/2006/relationships/hyperlink" Target="https://journal-platform-1305836431.cos.ap-beijing.myqcloud.com//zhongnan/article_attachment/2026/0403/72JaqPON-xwAffdKnkDhh.pdf#page=166" TargetMode="External" /><ns0:Relationship Id="journalLink742" Type="http://schemas.openxmlformats.org/officeDocument/2006/relationships/hyperlink" Target="https://zgrz.cbpt.cnki.net/portal" TargetMode="External" /><ns0:Relationship Id="journalLink743" Type="http://schemas.openxmlformats.org/officeDocument/2006/relationships/hyperlink" Target="https://zgrz.cbpt.cnki.net/portal" TargetMode="External" /><ns0:Relationship Id="journalLink744" Type="http://schemas.openxmlformats.org/officeDocument/2006/relationships/hyperlink" Target="https://journal-platform-1305836431.cos.ap-beijing.myqcloud.com//zhongnan/article_attachment/2026/0403/72JaqPON-xwAffdKnkDhh.pdf#page=46" TargetMode="External" /><ns0:Relationship Id="journalLink745" Type="http://schemas.openxmlformats.org/officeDocument/2006/relationships/hyperlink" Target="https://ygxb.ac.cn/homeNav/hgs/zh/" TargetMode="External" /><ns0:Relationship Id="journalLink746" Type="http://schemas.openxmlformats.org/officeDocument/2006/relationships/hyperlink" Target="https://ygxb.ac.cn/homeNav/hgs/zh/" TargetMode="External" /><ns0:Relationship Id="journalLink747" Type="http://schemas.openxmlformats.org/officeDocument/2006/relationships/hyperlink" Target="https://journal-platform-1305836431.cos.ap-beijing.myqcloud.com//zhongnan/article_attachment/2026/0403/72JaqPON-xwAffdKnkDhh.pdf#page=138" TargetMode="External" /><ns0:Relationship Id="journalLink748" Type="http://schemas.openxmlformats.org/officeDocument/2006/relationships/hyperlink" Target="http://www.rsta.ac.cn/CN/home" TargetMode="External" /><ns0:Relationship Id="journalLink749" Type="http://schemas.openxmlformats.org/officeDocument/2006/relationships/hyperlink" Target="http://www.rsta.ac.cn/CN/home" TargetMode="External" /><ns0:Relationship Id="journalLink750" Type="http://schemas.openxmlformats.org/officeDocument/2006/relationships/hyperlink" Target="https://journal-platform-1305836431.cos.ap-beijing.myqcloud.com//zhongnan/article_attachment/2026/0403/72JaqPON-xwAffdKnkDhh.pdf#page=94" TargetMode="External" /><ns0:Relationship Id="journalLink751" Type="http://schemas.openxmlformats.org/officeDocument/2006/relationships/hyperlink" Target="https://npa.net.cn/" TargetMode="External" /><ns0:Relationship Id="journalLink752" Type="http://schemas.openxmlformats.org/officeDocument/2006/relationships/hyperlink" Target="https://npa.net.cn/" TargetMode="External" /><ns0:Relationship Id="journalLink753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54" Type="http://schemas.openxmlformats.org/officeDocument/2006/relationships/hyperlink" Target="https://www.spkx.net.cn/CN/1002-6630/home.shtml" TargetMode="External" /><ns0:Relationship Id="journalLink755" Type="http://schemas.openxmlformats.org/officeDocument/2006/relationships/hyperlink" Target="https://www.spkx.net.cn/CN/1002-6630/home.shtml" TargetMode="External" /><ns0:Relationship Id="journalLink756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57" Type="http://schemas.openxmlformats.org/officeDocument/2006/relationships/hyperlink" Target="https://www.spgykj.com/" TargetMode="External" /><ns0:Relationship Id="journalLink758" Type="http://schemas.openxmlformats.org/officeDocument/2006/relationships/hyperlink" Target="https://www.spgykj.com/" TargetMode="External" /><ns0:Relationship Id="journalLink759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60" Type="http://schemas.openxmlformats.org/officeDocument/2006/relationships/hyperlink" Target="https://castjournals.cast.org.cn/joweb/zgspxb/CN/home" TargetMode="External" /><ns0:Relationship Id="journalLink761" Type="http://schemas.openxmlformats.org/officeDocument/2006/relationships/hyperlink" Target="https://castjournals.cast.org.cn/joweb/zgspxb/CN/home" TargetMode="External" /><ns0:Relationship Id="journalLink762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63" Type="http://schemas.openxmlformats.org/officeDocument/2006/relationships/hyperlink" Target="http://sf1970.cnif.cn/" TargetMode="External" /><ns0:Relationship Id="journalLink764" Type="http://schemas.openxmlformats.org/officeDocument/2006/relationships/hyperlink" Target="http://sf1970.cnif.cn/" TargetMode="External" /><ns0:Relationship Id="journalLink765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66" Type="http://schemas.openxmlformats.org/officeDocument/2006/relationships/hyperlink" Target="http://www.ifoodmm.com/" TargetMode="External" /><ns0:Relationship Id="journalLink767" Type="http://schemas.openxmlformats.org/officeDocument/2006/relationships/hyperlink" Target="http://www.ifoodmm.com/" TargetMode="External" /><ns0:Relationship Id="journalLink768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69" Type="http://schemas.openxmlformats.org/officeDocument/2006/relationships/hyperlink" Target="http://spyjykf.ijournals.cn/ch/index.aspx" TargetMode="External" /><ns0:Relationship Id="journalLink770" Type="http://schemas.openxmlformats.org/officeDocument/2006/relationships/hyperlink" Target="http://spyjykf.ijournals.cn/ch/index.aspx" TargetMode="External" /><ns0:Relationship Id="journalLink771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72" Type="http://schemas.openxmlformats.org/officeDocument/2006/relationships/hyperlink" Target="https://sspj.cbpt.cnki.net/WKE3/WebPublication/index.aspx?mid=sspj" TargetMode="External" /><ns0:Relationship Id="journalLink773" Type="http://schemas.openxmlformats.org/officeDocument/2006/relationships/hyperlink" Target="https://sspj.cbpt.cnki.net/WKE3/WebPublication/index.aspx?mid=sspj" TargetMode="External" /><ns0:Relationship Id="journalLink774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75" Type="http://schemas.openxmlformats.org/officeDocument/2006/relationships/hyperlink" Target="https://xdspkj.alljournals.cn/xdspkj/home" TargetMode="External" /><ns0:Relationship Id="journalLink776" Type="http://schemas.openxmlformats.org/officeDocument/2006/relationships/hyperlink" Target="https://xdspkj.alljournals.cn/xdspkj/home" TargetMode="External" /><ns0:Relationship Id="journalLink777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78" Type="http://schemas.openxmlformats.org/officeDocument/2006/relationships/hyperlink" Target="http://spyswjs.cnjournals.com/ch/index.aspx" TargetMode="External" /><ns0:Relationship Id="journalLink779" Type="http://schemas.openxmlformats.org/officeDocument/2006/relationships/hyperlink" Target="http://spyswjs.cnjournals.com/ch/index.aspx" TargetMode="External" /><ns0:Relationship Id="journalLink780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81" Type="http://schemas.openxmlformats.org/officeDocument/2006/relationships/hyperlink" Target="http://www.lyxuebao.net/" TargetMode="External" /><ns0:Relationship Id="journalLink782" Type="http://schemas.openxmlformats.org/officeDocument/2006/relationships/hyperlink" Target="http://www.lyxuebao.net/" TargetMode="External" /><ns0:Relationship Id="journalLink783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84" Type="http://schemas.openxmlformats.org/officeDocument/2006/relationships/hyperlink" Target="https://www.chinaoils.cn/" TargetMode="External" /><ns0:Relationship Id="journalLink785" Type="http://schemas.openxmlformats.org/officeDocument/2006/relationships/hyperlink" Target="https://www.chinaoils.cn/" TargetMode="External" /><ns0:Relationship Id="journalLink786" Type="http://schemas.openxmlformats.org/officeDocument/2006/relationships/hyperlink" Target="https://journal-platform-1305836431.cos.ap-beijing.myqcloud.com//zhongnan/article_attachment/2026/0403/72JaqPON-xwAffdKnkDhh.pdf#page=65" TargetMode="External" /><ns0:Relationship Id="journalLink787" Type="http://schemas.openxmlformats.org/officeDocument/2006/relationships/hyperlink" Target="https://zgspws.com/" TargetMode="External" /><ns0:Relationship Id="journalLink788" Type="http://schemas.openxmlformats.org/officeDocument/2006/relationships/hyperlink" Target="https://zgspws.com/" TargetMode="External" /><ns0:Relationship Id="journalLink789" Type="http://schemas.openxmlformats.org/officeDocument/2006/relationships/hyperlink" Target="https://journal-platform-1305836431.cos.ap-beijing.myqcloud.com//zhongnan/article_attachment/2026/0403/72JaqPON-xwAffdKnkDhh.pdf#page=65" TargetMode="External" /><ns0:Relationship Id="journalLink790" Type="http://schemas.openxmlformats.org/officeDocument/2006/relationships/hyperlink" Target="https://manu37.magtech.com.cn/yyxb/CN/home" TargetMode="External" /><ns0:Relationship Id="journalLink791" Type="http://schemas.openxmlformats.org/officeDocument/2006/relationships/hyperlink" Target="https://manu37.magtech.com.cn/yyxb/CN/home" TargetMode="External" /><ns0:Relationship Id="journalLink792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93" Type="http://schemas.openxmlformats.org/officeDocument/2006/relationships/hyperlink" Target="https://zstj.cbpt.cnki.net/portal" TargetMode="External" /><ns0:Relationship Id="journalLink794" Type="http://schemas.openxmlformats.org/officeDocument/2006/relationships/hyperlink" Target="https://zstj.cbpt.cnki.net/portal" TargetMode="External" /><ns0:Relationship Id="journalLink795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96" Type="http://schemas.openxmlformats.org/officeDocument/2006/relationships/hyperlink" Target="http://chinafoodj.ijournals.cn/" TargetMode="External" /><ns0:Relationship Id="journalLink797" Type="http://schemas.openxmlformats.org/officeDocument/2006/relationships/hyperlink" Target="http://chinafoodj.ijournals.cn/" TargetMode="External" /><ns0:Relationship Id="journalLink798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799" Type="http://schemas.openxmlformats.org/officeDocument/2006/relationships/hyperlink" Target="https://manu61.magtech.com.cn/zgnz/CN/current" TargetMode="External" /><ns0:Relationship Id="journalLink800" Type="http://schemas.openxmlformats.org/officeDocument/2006/relationships/hyperlink" Target="https://manu61.magtech.com.cn/zgnz/CN/current" TargetMode="External" /><ns0:Relationship Id="journalLink801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802" Type="http://schemas.openxmlformats.org/officeDocument/2006/relationships/hyperlink" Target="http://www.njkj.cbpt.cnki.net/WKD/WebPublication/index.aspx?mid=njkj" TargetMode="External" /><ns0:Relationship Id="journalLink803" Type="http://schemas.openxmlformats.org/officeDocument/2006/relationships/hyperlink" Target="http://www.njkj.cbpt.cnki.net/WKD/WebPublication/index.aspx?mid=njkj" TargetMode="External" /><ns0:Relationship Id="journalLink804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805" Type="http://schemas.openxmlformats.org/officeDocument/2006/relationships/hyperlink" Target="https://www.rlyj.net.cn/CN/volumn/home.shtml" TargetMode="External" /><ns0:Relationship Id="journalLink806" Type="http://schemas.openxmlformats.org/officeDocument/2006/relationships/hyperlink" Target="https://www.rlyj.net.cn/CN/volumn/home.shtml" TargetMode="External" /><ns0:Relationship Id="journalLink807" Type="http://schemas.openxmlformats.org/officeDocument/2006/relationships/hyperlink" Target="https://journal-platform-1305836431.cos.ap-beijing.myqcloud.com//zhongnan/article_attachment/2026/0403/72JaqPON-xwAffdKnkDhh.pdf#page=100" TargetMode="External" /><ns0:Relationship Id="journalLink808" Type="http://schemas.openxmlformats.org/officeDocument/2006/relationships/hyperlink" Target="https://www.aeeisp.com/bxyjg/" TargetMode="External" /><ns0:Relationship Id="journalLink809" Type="http://schemas.openxmlformats.org/officeDocument/2006/relationships/hyperlink" Target="https://www.aeeisp.com/bxyjg/" TargetMode="External" /><ns0:Relationship Id="journalLink810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811" Type="http://schemas.openxmlformats.org/officeDocument/2006/relationships/hyperlink" Target="https://lsyy.cbpt.cnki.net/portal" TargetMode="External" /><ns0:Relationship Id="journalLink812" Type="http://schemas.openxmlformats.org/officeDocument/2006/relationships/hyperlink" Target="https://lsyy.cbpt.cnki.net/portal" TargetMode="External" /><ns0:Relationship Id="journalLink813" Type="http://schemas.openxmlformats.org/officeDocument/2006/relationships/hyperlink" Target="https://journal-platform-1305836431.cos.ap-beijing.myqcloud.com//zhongnan/article_attachment/2026/0403/72JaqPON-xwAffdKnkDhh.pdf#page=103" TargetMode="External" /><ns0:Relationship Id="journalLink814" Type="http://schemas.openxmlformats.org/officeDocument/2006/relationships/hyperlink" Target="https://journal-platform-1305836431.cos.ap-beijing.myqcloud.com//zhongnan/article_attachment/2026/0403/72JaqPON-xwAffdKnkDhh.pdf#page=150" TargetMode="External" /><ns0:Relationship Id="journalLink815" Type="http://schemas.openxmlformats.org/officeDocument/2006/relationships/hyperlink" Target="http://lyspkj.ijournal.cn/lyspkj/home" TargetMode="External" /><ns0:Relationship Id="journalLink816" Type="http://schemas.openxmlformats.org/officeDocument/2006/relationships/hyperlink" Target="https://www.sciengine.com/doi/pdfView/AAD333CC0A0C44689082CD3FB050F8A2" TargetMode="External" /><ns0:Relationship Id="journalLink817" Type="http://schemas.openxmlformats.org/officeDocument/2006/relationships/hyperlink" Target="https://journal-platform-1305836431.cos.ap-beijing.myqcloud.com//zhongnan/article_attachment/2026/0403/72JaqPON-xwAffdKnkDhh.pdf#page=98" TargetMode="External" /><ns0:Relationship Id="journalLink818" Type="http://schemas.openxmlformats.org/officeDocument/2006/relationships/hyperlink" Target="https://sci.sinograin.com.cn/book/list?channelId=1475345741043023874" TargetMode="External" /><ns0:Relationship Id="journalLink819" Type="http://schemas.openxmlformats.org/officeDocument/2006/relationships/hyperlink" Target="https://sci.sinograin.com.cn/book/list?channelId=1475345741043023874" TargetMode="External" /><ns0:Relationship Id="journalLink820" Type="http://schemas.openxmlformats.org/officeDocument/2006/relationships/hyperlink" Target="https://journal-platform-1305836431.cos.ap-beijing.myqcloud.com//zhongnan/article_attachment/2026/0403/72JaqPON-xwAffdKnkDhh.pdf#page=150" TargetMode="External" /><ns0:Relationship Id="journalLink821" Type="http://schemas.openxmlformats.org/officeDocument/2006/relationships/hyperlink" Target="http://ncpjg.com/" TargetMode="External" /><ns0:Relationship Id="journalLink822" Type="http://schemas.openxmlformats.org/officeDocument/2006/relationships/hyperlink" Target="http://ncpjg.com/" TargetMode="External" /><ns0:Relationship Id="journalLink823" Type="http://schemas.openxmlformats.org/officeDocument/2006/relationships/hyperlink" Target="https://journal-platform-1305836431.cos.ap-beijing.myqcloud.com//zhongnan/article_attachment/2026/0403/72JaqPON-xwAffdKnkDhh.pdf#page=149" TargetMode="External" /><ns0:Relationship Id="journalLink824" Type="http://schemas.openxmlformats.org/officeDocument/2006/relationships/hyperlink" Target="https://zgtw.chinajournal.net.cn/WKI/WebPublication/index.aspx?mid=ZGTW" TargetMode="External" /><ns0:Relationship Id="journalLink825" Type="http://schemas.openxmlformats.org/officeDocument/2006/relationships/hyperlink" Target="https://zgtw.chinajournal.net.cn/WKI/WebPublication/index.aspx?mid=ZGTW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0364A"/>
  </sheetPr>
  <sheetViews>
    <sheetView showGridLines="0" workbookViewId="0"/>
  </sheetViews>
  <sheetFormatPr defaultRowHeight="15"/>
  <cols>
    <col min="1" max="1" width="3" hidden="0" customWidth="1"/>
    <col min="2" max="2" width="31" hidden="0" customWidth="1"/>
    <col min="3" max="3" width="13" hidden="0" customWidth="1"/>
    <col min="4" max="4" width="13" hidden="0" customWidth="1"/>
    <col min="5" max="5" width="13" hidden="0" customWidth="1"/>
    <col min="6" max="6" width="13" hidden="0" customWidth="1"/>
    <col min="7" max="7" width="13" hidden="0" customWidth="1"/>
    <col min="8" max="8" width="13" hidden="0" customWidth="1"/>
    <col min="9" max="9" width="3" hidden="0" customWidth="1"/>
    <col min="10" max="10" width="3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2" t="str">
        <v>生命科学与农林牧渔期刊目录</v>
      </c>
      <c r="C2" s="2"/>
      <c r="D2" s="2"/>
      <c r="E2" s="2"/>
      <c r="F2" s="2"/>
      <c r="G2" s="2"/>
      <c r="H2" s="2"/>
      <c r="I2" s="2"/>
      <c r="J2" s="2"/>
    </row>
    <row r="3">
      <c r="A3" s="2"/>
      <c r="B3" s="23" t="str">
        <v>农学 · 林学 · 畜牧兽医 · 水产 · 生物 · 土壤环境 · 食品</v>
      </c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2" t="str">
        <v>国际期刊数量</v>
      </c>
      <c r="C5" s="25" t="n">
        <f>COUNTA('国际期刊'!A2:A780)</f>
        <v>779</v>
      </c>
      <c r="D5" s="2"/>
      <c r="E5" s="23" t="str">
        <v>国际指标：2025 JIF / 2026 年发布</v>
      </c>
      <c r="F5" s="23"/>
      <c r="G5" s="23"/>
      <c r="H5" s="23"/>
      <c r="I5" s="2"/>
      <c r="J5" s="2"/>
    </row>
    <row r="6">
      <c r="A6" s="2"/>
      <c r="B6" s="2" t="str">
        <v>中文期刊数量</v>
      </c>
      <c r="C6" s="25" t="n">
        <f>COUNTA('中文期刊'!A2:A278)</f>
        <v>277</v>
      </c>
      <c r="D6" s="2"/>
      <c r="E6" s="23" t="str">
        <v>中科院分区：2025 年公开表</v>
      </c>
      <c r="F6" s="23"/>
      <c r="G6" s="23"/>
      <c r="H6" s="23"/>
      <c r="I6" s="2"/>
      <c r="J6" s="2"/>
    </row>
    <row r="7">
      <c r="A7" s="2"/>
      <c r="B7" s="2" t="str">
        <v>国际期刊已有JIF数值</v>
      </c>
      <c r="C7" s="25" t="n">
        <f>COUNT('国际期刊'!D2:D780)</f>
        <v>766</v>
      </c>
      <c r="D7" s="2"/>
      <c r="E7" s="23" t="str">
        <v>中文指标：2025 年版（统计年 2024）</v>
      </c>
      <c r="F7" s="23"/>
      <c r="G7" s="23"/>
      <c r="H7" s="23"/>
      <c r="I7" s="2"/>
      <c r="J7" s="2"/>
    </row>
    <row r="8">
      <c r="A8" s="2"/>
      <c r="B8" s="2" t="str">
        <v>国际期刊已有分区</v>
      </c>
      <c r="C8" s="25" t="n">
        <f>COUNT('国际期刊'!C2:C780)</f>
        <v>762</v>
      </c>
      <c r="D8" s="2"/>
      <c r="E8" s="23" t="str">
        <v>更新日期：2026-10-10（含官网网址）</v>
      </c>
      <c r="F8" s="23"/>
      <c r="G8" s="23"/>
      <c r="H8" s="23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 ht="28" customHeight="1">
      <c r="A10" s="2"/>
      <c r="B10" s="6" t="str">
        <v>国际期刊方向</v>
      </c>
      <c r="C10" s="6" t="str">
        <v>总数</v>
      </c>
      <c r="D10" s="6" t="str">
        <v>1区</v>
      </c>
      <c r="E10" s="6" t="str">
        <v>2区</v>
      </c>
      <c r="F10" s="6" t="str">
        <v>3区</v>
      </c>
      <c r="G10" s="6" t="str">
        <v>4区</v>
      </c>
      <c r="H10" s="6" t="str">
        <v>分区未检得</v>
      </c>
      <c r="I10" s="2"/>
      <c r="J10" s="2"/>
    </row>
    <row r="11" ht="28" customHeight="1">
      <c r="A11" s="2"/>
      <c r="B11" s="26" t="str">
        <v>综合与交叉</v>
      </c>
      <c r="C11" s="31" t="n">
        <f>COUNTIF('国际期刊'!$B$2:$B$780,B11)</f>
        <v>21</v>
      </c>
      <c r="D11" s="31" t="n">
        <f>COUNTIFS('国际期刊'!$B$2:$B$780,B11,'国际期刊'!$C$2:$C$780,1)</f>
        <v>12</v>
      </c>
      <c r="E11" s="31" t="n">
        <f>COUNTIFS('国际期刊'!$B$2:$B$780,B11,'国际期刊'!$C$2:$C$780,2)</f>
        <v>3</v>
      </c>
      <c r="F11" s="31" t="n">
        <f>COUNTIFS('国际期刊'!$B$2:$B$780,B11,'国际期刊'!$C$2:$C$780,3)</f>
        <v>5</v>
      </c>
      <c r="G11" s="31" t="n">
        <f>COUNTIFS('国际期刊'!$B$2:$B$780,B11,'国际期刊'!$C$2:$C$780,4)</f>
        <v>1</v>
      </c>
      <c r="H11" s="31" t="n">
        <f>C11-SUM(D11:G11)</f>
        <v>0</v>
      </c>
      <c r="I11" s="2"/>
      <c r="J11" s="2"/>
    </row>
    <row r="12" ht="28" customHeight="1">
      <c r="A12" s="2"/>
      <c r="B12" s="2" t="str">
        <v>植物科学与分子育种</v>
      </c>
      <c r="C12" s="13" t="n">
        <f>COUNTIF('国际期刊'!$B$2:$B$780,B12)</f>
        <v>60</v>
      </c>
      <c r="D12" s="13" t="n">
        <f>COUNTIFS('国际期刊'!$B$2:$B$780,B12,'国际期刊'!$C$2:$C$780,1)</f>
        <v>16</v>
      </c>
      <c r="E12" s="13" t="n">
        <f>COUNTIFS('国际期刊'!$B$2:$B$780,B12,'国际期刊'!$C$2:$C$780,2)</f>
        <v>21</v>
      </c>
      <c r="F12" s="13" t="n">
        <f>COUNTIFS('国际期刊'!$B$2:$B$780,B12,'国际期刊'!$C$2:$C$780,3)</f>
        <v>13</v>
      </c>
      <c r="G12" s="13" t="n">
        <f>COUNTIFS('国际期刊'!$B$2:$B$780,B12,'国际期刊'!$C$2:$C$780,4)</f>
        <v>9</v>
      </c>
      <c r="H12" s="13" t="n">
        <f>C12-SUM(D12:G12)</f>
        <v>1</v>
      </c>
      <c r="I12" s="2"/>
      <c r="J12" s="2"/>
    </row>
    <row r="13" ht="28" customHeight="1">
      <c r="A13" s="2"/>
      <c r="B13" s="26" t="str">
        <v>农学作物与种质</v>
      </c>
      <c r="C13" s="31" t="n">
        <f>COUNTIF('国际期刊'!$B$2:$B$780,B13)</f>
        <v>63</v>
      </c>
      <c r="D13" s="31" t="n">
        <f>COUNTIFS('国际期刊'!$B$2:$B$780,B13,'国际期刊'!$C$2:$C$780,1)</f>
        <v>18</v>
      </c>
      <c r="E13" s="31" t="n">
        <f>COUNTIFS('国际期刊'!$B$2:$B$780,B13,'国际期刊'!$C$2:$C$780,2)</f>
        <v>14</v>
      </c>
      <c r="F13" s="31" t="n">
        <f>COUNTIFS('国际期刊'!$B$2:$B$780,B13,'国际期刊'!$C$2:$C$780,3)</f>
        <v>8</v>
      </c>
      <c r="G13" s="31" t="n">
        <f>COUNTIFS('国际期刊'!$B$2:$B$780,B13,'国际期刊'!$C$2:$C$780,4)</f>
        <v>20</v>
      </c>
      <c r="H13" s="31" t="n">
        <f>C13-SUM(D13:G13)</f>
        <v>3</v>
      </c>
      <c r="I13" s="2"/>
      <c r="J13" s="2"/>
    </row>
    <row r="14" ht="28" customHeight="1">
      <c r="A14" s="2"/>
      <c r="B14" s="2" t="str">
        <v>园艺果树与采后</v>
      </c>
      <c r="C14" s="13" t="n">
        <f>COUNTIF('国际期刊'!$B$2:$B$780,B14)</f>
        <v>18</v>
      </c>
      <c r="D14" s="13" t="n">
        <f>COUNTIFS('国际期刊'!$B$2:$B$780,B14,'国际期刊'!$C$2:$C$780,1)</f>
        <v>1</v>
      </c>
      <c r="E14" s="13" t="n">
        <f>COUNTIFS('国际期刊'!$B$2:$B$780,B14,'国际期刊'!$C$2:$C$780,2)</f>
        <v>2</v>
      </c>
      <c r="F14" s="13" t="n">
        <f>COUNTIFS('国际期刊'!$B$2:$B$780,B14,'国际期刊'!$C$2:$C$780,3)</f>
        <v>5</v>
      </c>
      <c r="G14" s="13" t="n">
        <f>COUNTIFS('国际期刊'!$B$2:$B$780,B14,'国际期刊'!$C$2:$C$780,4)</f>
        <v>10</v>
      </c>
      <c r="H14" s="13" t="n">
        <f>C14-SUM(D14:G14)</f>
        <v>0</v>
      </c>
      <c r="I14" s="2"/>
      <c r="J14" s="2"/>
    </row>
    <row r="15" ht="28" customHeight="1">
      <c r="A15" s="2"/>
      <c r="B15" s="26" t="str">
        <v>植物保护与昆虫</v>
      </c>
      <c r="C15" s="31" t="n">
        <f>COUNTIF('国际期刊'!$B$2:$B$780,B15)</f>
        <v>39</v>
      </c>
      <c r="D15" s="31" t="n">
        <f>COUNTIFS('国际期刊'!$B$2:$B$780,B15,'国际期刊'!$C$2:$C$780,1)</f>
        <v>9</v>
      </c>
      <c r="E15" s="31" t="n">
        <f>COUNTIFS('国际期刊'!$B$2:$B$780,B15,'国际期刊'!$C$2:$C$780,2)</f>
        <v>9</v>
      </c>
      <c r="F15" s="31" t="n">
        <f>COUNTIFS('国际期刊'!$B$2:$B$780,B15,'国际期刊'!$C$2:$C$780,3)</f>
        <v>13</v>
      </c>
      <c r="G15" s="31" t="n">
        <f>COUNTIFS('国际期刊'!$B$2:$B$780,B15,'国际期刊'!$C$2:$C$780,4)</f>
        <v>8</v>
      </c>
      <c r="H15" s="31" t="n">
        <f>C15-SUM(D15:G15)</f>
        <v>0</v>
      </c>
      <c r="I15" s="2"/>
      <c r="J15" s="2"/>
    </row>
    <row r="16" ht="28" customHeight="1">
      <c r="A16" s="2"/>
      <c r="B16" s="2" t="str">
        <v>林业木材与草业</v>
      </c>
      <c r="C16" s="13" t="n">
        <f>COUNTIF('国际期刊'!$B$2:$B$780,B16)</f>
        <v>34</v>
      </c>
      <c r="D16" s="13" t="n">
        <f>COUNTIFS('国际期刊'!$B$2:$B$780,B16,'国际期刊'!$C$2:$C$780,1)</f>
        <v>3</v>
      </c>
      <c r="E16" s="13" t="n">
        <f>COUNTIFS('国际期刊'!$B$2:$B$780,B16,'国际期刊'!$C$2:$C$780,2)</f>
        <v>8</v>
      </c>
      <c r="F16" s="13" t="n">
        <f>COUNTIFS('国际期刊'!$B$2:$B$780,B16,'国际期刊'!$C$2:$C$780,3)</f>
        <v>12</v>
      </c>
      <c r="G16" s="13" t="n">
        <f>COUNTIFS('国际期刊'!$B$2:$B$780,B16,'国际期刊'!$C$2:$C$780,4)</f>
        <v>10</v>
      </c>
      <c r="H16" s="13" t="n">
        <f>C16-SUM(D16:G16)</f>
        <v>1</v>
      </c>
      <c r="I16" s="2"/>
      <c r="J16" s="2"/>
    </row>
    <row r="17" ht="28" customHeight="1">
      <c r="A17" s="2"/>
      <c r="B17" s="26" t="str">
        <v>畜牧动物营养与繁殖</v>
      </c>
      <c r="C17" s="31" t="n">
        <f>COUNTIF('国际期刊'!$B$2:$B$780,B17)</f>
        <v>36</v>
      </c>
      <c r="D17" s="31" t="n">
        <f>COUNTIFS('国际期刊'!$B$2:$B$780,B17,'国际期刊'!$C$2:$C$780,1)</f>
        <v>6</v>
      </c>
      <c r="E17" s="31" t="n">
        <f>COUNTIFS('国际期刊'!$B$2:$B$780,B17,'国际期刊'!$C$2:$C$780,2)</f>
        <v>12</v>
      </c>
      <c r="F17" s="31" t="n">
        <f>COUNTIFS('国际期刊'!$B$2:$B$780,B17,'国际期刊'!$C$2:$C$780,3)</f>
        <v>12</v>
      </c>
      <c r="G17" s="31" t="n">
        <f>COUNTIFS('国际期刊'!$B$2:$B$780,B17,'国际期刊'!$C$2:$C$780,4)</f>
        <v>6</v>
      </c>
      <c r="H17" s="31" t="n">
        <f>C17-SUM(D17:G17)</f>
        <v>0</v>
      </c>
      <c r="I17" s="2"/>
      <c r="J17" s="2"/>
    </row>
    <row r="18" ht="28" customHeight="1">
      <c r="A18" s="2"/>
      <c r="B18" s="2" t="str">
        <v>兽医与寄生虫</v>
      </c>
      <c r="C18" s="13" t="n">
        <f>COUNTIF('国际期刊'!$B$2:$B$780,B18)</f>
        <v>33</v>
      </c>
      <c r="D18" s="13" t="n">
        <f>COUNTIFS('国际期刊'!$B$2:$B$780,B18,'国际期刊'!$C$2:$C$780,1)</f>
        <v>0</v>
      </c>
      <c r="E18" s="13" t="n">
        <f>COUNTIFS('国际期刊'!$B$2:$B$780,B18,'国际期刊'!$C$2:$C$780,2)</f>
        <v>15</v>
      </c>
      <c r="F18" s="13" t="n">
        <f>COUNTIFS('国际期刊'!$B$2:$B$780,B18,'国际期刊'!$C$2:$C$780,3)</f>
        <v>13</v>
      </c>
      <c r="G18" s="13" t="n">
        <f>COUNTIFS('国际期刊'!$B$2:$B$780,B18,'国际期刊'!$C$2:$C$780,4)</f>
        <v>5</v>
      </c>
      <c r="H18" s="13" t="n">
        <f>C18-SUM(D18:G18)</f>
        <v>0</v>
      </c>
      <c r="I18" s="2"/>
      <c r="J18" s="2"/>
    </row>
    <row r="19" ht="28" customHeight="1">
      <c r="A19" s="2"/>
      <c r="B19" s="26" t="str">
        <v>水产渔业与海洋生物</v>
      </c>
      <c r="C19" s="31" t="n">
        <f>COUNTIF('国际期刊'!$B$2:$B$780,B19)</f>
        <v>50</v>
      </c>
      <c r="D19" s="31" t="n">
        <f>COUNTIFS('国际期刊'!$B$2:$B$780,B19,'国际期刊'!$C$2:$C$780,1)</f>
        <v>4</v>
      </c>
      <c r="E19" s="31" t="n">
        <f>COUNTIFS('国际期刊'!$B$2:$B$780,B19,'国际期刊'!$C$2:$C$780,2)</f>
        <v>15</v>
      </c>
      <c r="F19" s="31" t="n">
        <f>COUNTIFS('国际期刊'!$B$2:$B$780,B19,'国际期刊'!$C$2:$C$780,3)</f>
        <v>19</v>
      </c>
      <c r="G19" s="31" t="n">
        <f>COUNTIFS('国际期刊'!$B$2:$B$780,B19,'国际期刊'!$C$2:$C$780,4)</f>
        <v>12</v>
      </c>
      <c r="H19" s="31" t="n">
        <f>C19-SUM(D19:G19)</f>
        <v>0</v>
      </c>
      <c r="I19" s="2"/>
      <c r="J19" s="2"/>
    </row>
    <row r="20" ht="28" customHeight="1">
      <c r="A20" s="2"/>
      <c r="B20" s="2" t="str">
        <v>土壤肥料与地球生物化学</v>
      </c>
      <c r="C20" s="13" t="n">
        <f>COUNTIF('国际期刊'!$B$2:$B$780,B20)</f>
        <v>35</v>
      </c>
      <c r="D20" s="13" t="n">
        <f>COUNTIFS('国际期刊'!$B$2:$B$780,B20,'国际期刊'!$C$2:$C$780,1)</f>
        <v>6</v>
      </c>
      <c r="E20" s="13" t="n">
        <f>COUNTIFS('国际期刊'!$B$2:$B$780,B20,'国际期刊'!$C$2:$C$780,2)</f>
        <v>10</v>
      </c>
      <c r="F20" s="13" t="n">
        <f>COUNTIFS('国际期刊'!$B$2:$B$780,B20,'国际期刊'!$C$2:$C$780,3)</f>
        <v>9</v>
      </c>
      <c r="G20" s="13" t="n">
        <f>COUNTIFS('国际期刊'!$B$2:$B$780,B20,'国际期刊'!$C$2:$C$780,4)</f>
        <v>9</v>
      </c>
      <c r="H20" s="13" t="n">
        <f>C20-SUM(D20:G20)</f>
        <v>1</v>
      </c>
      <c r="I20" s="2"/>
      <c r="J20" s="2"/>
    </row>
    <row r="21" ht="28" customHeight="1">
      <c r="A21" s="2"/>
      <c r="B21" s="26" t="str">
        <v>生态环境与保护</v>
      </c>
      <c r="C21" s="31" t="n">
        <f>COUNTIF('国际期刊'!$B$2:$B$780,B21)</f>
        <v>92</v>
      </c>
      <c r="D21" s="31" t="n">
        <f>COUNTIFS('国际期刊'!$B$2:$B$780,B21,'国际期刊'!$C$2:$C$780,1)</f>
        <v>33</v>
      </c>
      <c r="E21" s="31" t="n">
        <f>COUNTIFS('国际期刊'!$B$2:$B$780,B21,'国际期刊'!$C$2:$C$780,2)</f>
        <v>28</v>
      </c>
      <c r="F21" s="31" t="n">
        <f>COUNTIFS('国际期刊'!$B$2:$B$780,B21,'国际期刊'!$C$2:$C$780,3)</f>
        <v>14</v>
      </c>
      <c r="G21" s="31" t="n">
        <f>COUNTIFS('国际期刊'!$B$2:$B$780,B21,'国际期刊'!$C$2:$C$780,4)</f>
        <v>12</v>
      </c>
      <c r="H21" s="31" t="n">
        <f>C21-SUM(D21:G21)</f>
        <v>5</v>
      </c>
      <c r="I21" s="2"/>
      <c r="J21" s="2"/>
    </row>
    <row r="22" ht="28" customHeight="1">
      <c r="A22" s="2"/>
      <c r="B22" s="2" t="str">
        <v>微生物真菌与生物技术</v>
      </c>
      <c r="C22" s="13" t="n">
        <f>COUNTIF('国际期刊'!$B$2:$B$780,B22)</f>
        <v>71</v>
      </c>
      <c r="D22" s="13" t="n">
        <f>COUNTIFS('国际期刊'!$B$2:$B$780,B22,'国际期刊'!$C$2:$C$780,1)</f>
        <v>18</v>
      </c>
      <c r="E22" s="13" t="n">
        <f>COUNTIFS('国际期刊'!$B$2:$B$780,B22,'国际期刊'!$C$2:$C$780,2)</f>
        <v>20</v>
      </c>
      <c r="F22" s="13" t="n">
        <f>COUNTIFS('国际期刊'!$B$2:$B$780,B22,'国际期刊'!$C$2:$C$780,3)</f>
        <v>17</v>
      </c>
      <c r="G22" s="13" t="n">
        <f>COUNTIFS('国际期刊'!$B$2:$B$780,B22,'国际期刊'!$C$2:$C$780,4)</f>
        <v>14</v>
      </c>
      <c r="H22" s="13" t="n">
        <f>C22-SUM(D22:G22)</f>
        <v>2</v>
      </c>
      <c r="I22" s="2"/>
      <c r="J22" s="2"/>
    </row>
    <row r="23" ht="28" customHeight="1">
      <c r="A23" s="2"/>
      <c r="B23" s="26" t="str">
        <v>遗传组学与计算生物</v>
      </c>
      <c r="C23" s="31" t="n">
        <f>COUNTIF('国际期刊'!$B$2:$B$780,B23)</f>
        <v>63</v>
      </c>
      <c r="D23" s="31" t="n">
        <f>COUNTIFS('国际期刊'!$B$2:$B$780,B23,'国际期刊'!$C$2:$C$780,1)</f>
        <v>21</v>
      </c>
      <c r="E23" s="31" t="n">
        <f>COUNTIFS('国际期刊'!$B$2:$B$780,B23,'国际期刊'!$C$2:$C$780,2)</f>
        <v>22</v>
      </c>
      <c r="F23" s="31" t="n">
        <f>COUNTIFS('国际期刊'!$B$2:$B$780,B23,'国际期刊'!$C$2:$C$780,3)</f>
        <v>11</v>
      </c>
      <c r="G23" s="31" t="n">
        <f>COUNTIFS('国际期刊'!$B$2:$B$780,B23,'国际期刊'!$C$2:$C$780,4)</f>
        <v>9</v>
      </c>
      <c r="H23" s="31" t="n">
        <f>C23-SUM(D23:G23)</f>
        <v>0</v>
      </c>
      <c r="I23" s="2"/>
      <c r="J23" s="2"/>
    </row>
    <row r="24" ht="28" customHeight="1">
      <c r="A24" s="2"/>
      <c r="B24" s="2" t="str">
        <v>细胞分子发育与生理</v>
      </c>
      <c r="C24" s="13" t="n">
        <f>COUNTIF('国际期刊'!$B$2:$B$780,B24)</f>
        <v>119</v>
      </c>
      <c r="D24" s="13" t="n">
        <f>COUNTIFS('国际期刊'!$B$2:$B$780,B24,'国际期刊'!$C$2:$C$780,1)</f>
        <v>67</v>
      </c>
      <c r="E24" s="13" t="n">
        <f>COUNTIFS('国际期刊'!$B$2:$B$780,B24,'国际期刊'!$C$2:$C$780,2)</f>
        <v>22</v>
      </c>
      <c r="F24" s="13" t="n">
        <f>COUNTIFS('国际期刊'!$B$2:$B$780,B24,'国际期刊'!$C$2:$C$780,3)</f>
        <v>20</v>
      </c>
      <c r="G24" s="13" t="n">
        <f>COUNTIFS('国际期刊'!$B$2:$B$780,B24,'国际期刊'!$C$2:$C$780,4)</f>
        <v>6</v>
      </c>
      <c r="H24" s="13" t="n">
        <f>C24-SUM(D24:G24)</f>
        <v>4</v>
      </c>
      <c r="I24" s="2"/>
      <c r="J24" s="2"/>
    </row>
    <row r="25" ht="28" customHeight="1">
      <c r="A25" s="2"/>
      <c r="B25" s="26" t="str">
        <v>食品营养与安全</v>
      </c>
      <c r="C25" s="31" t="n">
        <f>COUNTIF('国际期刊'!$B$2:$B$780,B25)</f>
        <v>45</v>
      </c>
      <c r="D25" s="31" t="n">
        <f>COUNTIFS('国际期刊'!$B$2:$B$780,B25,'国际期刊'!$C$2:$C$780,1)</f>
        <v>19</v>
      </c>
      <c r="E25" s="31" t="n">
        <f>COUNTIFS('国际期刊'!$B$2:$B$780,B25,'国际期刊'!$C$2:$C$780,2)</f>
        <v>13</v>
      </c>
      <c r="F25" s="31" t="n">
        <f>COUNTIFS('国际期刊'!$B$2:$B$780,B25,'国际期刊'!$C$2:$C$780,3)</f>
        <v>10</v>
      </c>
      <c r="G25" s="31" t="n">
        <f>COUNTIFS('国际期刊'!$B$2:$B$780,B25,'国际期刊'!$C$2:$C$780,4)</f>
        <v>3</v>
      </c>
      <c r="H25" s="31" t="n">
        <f>C25-SUM(D25:G25)</f>
        <v>0</v>
      </c>
      <c r="I25" s="2"/>
      <c r="J25" s="2"/>
    </row>
    <row r="26" ht="28" customHeight="1">
      <c r="A26" s="2"/>
      <c r="B26" s="28" t="str">
        <v>合计</v>
      </c>
      <c r="C26" s="32" t="n">
        <f>SUM(C11:C25)</f>
        <v>779</v>
      </c>
      <c r="D26" s="32" t="n">
        <f>SUM(D11:D25)</f>
        <v>233</v>
      </c>
      <c r="E26" s="32" t="n">
        <f>SUM(E11:E25)</f>
        <v>214</v>
      </c>
      <c r="F26" s="32" t="n">
        <f>SUM(F11:F25)</f>
        <v>181</v>
      </c>
      <c r="G26" s="32" t="n">
        <f>SUM(G11:G25)</f>
        <v>134</v>
      </c>
      <c r="H26" s="32" t="n">
        <f>SUM(H11:H25)</f>
        <v>17</v>
      </c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33" t="str">
        <v>使用方法与数据边界</v>
      </c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28" customHeight="1">
      <c r="A30" s="2"/>
      <c r="B30" s="27" t="str">
        <v>筛选</v>
      </c>
      <c r="C30" s="34" t="str">
        <v>明细表可按方向、分区、影响因子、系列及经典标记筛选。</v>
      </c>
      <c r="D30" s="2"/>
      <c r="E30" s="2"/>
      <c r="F30" s="2"/>
      <c r="G30" s="2"/>
      <c r="H30" s="2"/>
      <c r="I30" s="2"/>
      <c r="J30" s="2"/>
    </row>
    <row r="31" ht="28" customHeight="1">
      <c r="A31" s="2"/>
      <c r="B31" s="27" t="str">
        <v>年份</v>
      </c>
      <c r="C31" s="34" t="str">
        <v>2025 JIF由2026版JCR发布；统计年份与发布年份分列。</v>
      </c>
      <c r="D31" s="2"/>
      <c r="E31" s="2"/>
      <c r="F31" s="2"/>
      <c r="G31" s="2"/>
      <c r="H31" s="2"/>
      <c r="I31" s="2"/>
      <c r="J31" s="2"/>
    </row>
    <row r="32" ht="28" customHeight="1">
      <c r="A32" s="2"/>
      <c r="B32" s="27" t="str">
        <v>分区口径</v>
      </c>
      <c r="C32" s="34" t="str">
        <v>高校公开表未标大类/小类，本表保留单值，不推算小类。</v>
      </c>
      <c r="D32" s="2"/>
      <c r="E32" s="2"/>
      <c r="F32" s="2"/>
      <c r="G32" s="2"/>
      <c r="H32" s="2"/>
      <c r="I32" s="2"/>
      <c r="J32" s="2"/>
    </row>
    <row r="33" ht="28" customHeight="1">
      <c r="A33" s="2"/>
      <c r="B33" s="27" t="str">
        <v>分区变化</v>
      </c>
      <c r="C33" s="34" t="str">
        <v>中科院2026年起停止更新；本表采用2025版，不使用替代分区。</v>
      </c>
      <c r="D33" s="2"/>
      <c r="E33" s="2"/>
      <c r="F33" s="2"/>
      <c r="G33" s="2"/>
      <c r="H33" s="2"/>
      <c r="I33" s="2"/>
      <c r="J33" s="2"/>
    </row>
    <row r="34" ht="28" customHeight="1">
      <c r="A34" s="2"/>
      <c r="B34" s="27" t="str">
        <v>中文指标</v>
      </c>
      <c r="C34" s="34" t="str">
        <v>国内自然科学期刊年报2025版，统计年2024，分列两类IF。</v>
      </c>
      <c r="D34" s="2"/>
      <c r="E34" s="2"/>
      <c r="F34" s="2"/>
      <c r="G34" s="2"/>
      <c r="H34" s="2"/>
      <c r="I34" s="2"/>
      <c r="J34" s="2"/>
    </row>
    <row r="35" ht="28" customHeight="1">
      <c r="A35" s="2"/>
      <c r="B35" s="27" t="str">
        <v>不可混排</v>
      </c>
      <c r="C35" s="34" t="str">
        <v>国内IF与JIF统计源不同；中文表不套用中科院1—4区。</v>
      </c>
      <c r="D35" s="2"/>
      <c r="E35" s="2"/>
      <c r="F35" s="2"/>
      <c r="G35" s="2"/>
      <c r="H35" s="2"/>
      <c r="I35" s="2"/>
      <c r="J35" s="2"/>
    </row>
    <row r="36" ht="28" customHeight="1">
      <c r="A36" s="2"/>
      <c r="B36" s="27" t="str">
        <v>空白含义</v>
      </c>
      <c r="C36" s="34" t="str">
        <v>浅黄色空白表示年度来源未给值或未匹配，不是0。</v>
      </c>
      <c r="D36" s="2"/>
      <c r="E36" s="2"/>
      <c r="F36" s="2"/>
      <c r="G36" s="2"/>
      <c r="H36" s="2"/>
      <c r="I36" s="2"/>
      <c r="J36" s="2"/>
    </row>
    <row r="37" ht="28" customHeight="1">
      <c r="A37" s="2"/>
      <c r="B37" s="27" t="str">
        <v>核实程度</v>
      </c>
      <c r="C37" s="34" t="str">
        <v>分区多表比对；JIF据2026发布汇编；中文IF据年报原表。</v>
      </c>
      <c r="D37" s="2"/>
      <c r="E37" s="2"/>
      <c r="F37" s="2"/>
      <c r="G37" s="2"/>
      <c r="H37" s="2"/>
      <c r="I37" s="2"/>
      <c r="J37" s="2"/>
    </row>
    <row r="38" ht="28" customHeight="1">
      <c r="A38" s="2"/>
      <c r="B38" s="27" t="str">
        <v>选刊边界</v>
      </c>
      <c r="C38" s="34" t="str">
        <v>方向、经典标记和文章类型是导航标签，不是官方评级。</v>
      </c>
      <c r="D38" s="2"/>
      <c r="E38" s="2"/>
      <c r="F38" s="2"/>
      <c r="G38" s="2"/>
      <c r="H38" s="2"/>
      <c r="I38" s="2"/>
      <c r="J38" s="2"/>
    </row>
    <row r="39" ht="28" customHeight="1">
      <c r="A39" s="2"/>
      <c r="B39" s="27" t="str">
        <v>子刊范围</v>
      </c>
      <c r="C39" s="34" t="str">
        <v>CNS主刊及生命、农林环境相关子刊，非三家全学科总目录。</v>
      </c>
      <c r="D39" s="2"/>
      <c r="E39" s="2"/>
      <c r="F39" s="2"/>
      <c r="G39" s="2"/>
      <c r="H39" s="2"/>
      <c r="I39" s="2"/>
      <c r="J39" s="2"/>
    </row>
    <row r="40" ht="28" customHeight="1">
      <c r="A40" s="2"/>
      <c r="B40" s="27" t="str">
        <v>合作刊</v>
      </c>
      <c r="C40" s="34" t="str">
        <v>含合作刊；Science Partner Journals不等同Science自办子刊。</v>
      </c>
      <c r="D40" s="2"/>
      <c r="E40" s="2"/>
      <c r="F40" s="2"/>
      <c r="G40" s="2"/>
      <c r="H40" s="2"/>
      <c r="I40" s="2"/>
      <c r="J40" s="2"/>
    </row>
    <row r="41" ht="28" customHeight="1">
      <c r="A41" s="2"/>
      <c r="B41" s="27" t="str">
        <v>官网地址</v>
      </c>
      <c r="C41" s="34" t="str">
        <v>附可点击官网及核对状态；元数据地址未逐站复核。</v>
      </c>
      <c r="D41" s="2"/>
      <c r="E41" s="2"/>
      <c r="F41" s="2"/>
      <c r="G41" s="2"/>
      <c r="H41" s="2"/>
      <c r="I41" s="2"/>
      <c r="J41" s="2"/>
    </row>
    <row r="42" ht="28" customHeight="1">
      <c r="A42" s="2"/>
      <c r="B42" s="27" t="str">
        <v>来源</v>
      </c>
      <c r="C42" s="34" t="str">
        <v>行末提供来源；3本中文刊官网未确认，留空并标待核实。</v>
      </c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7" t="str">
        <v>主要来源入口</v>
      </c>
      <c r="C45" s="2"/>
      <c r="D45" s="2"/>
      <c r="E45" s="2"/>
      <c r="F45" s="2"/>
      <c r="G45" s="2"/>
      <c r="H45" s="2"/>
      <c r="I45" s="2"/>
      <c r="J45" s="2"/>
    </row>
    <row r="46">
      <c r="A46" s="2"/>
      <c r="B46" s="14" t="str">
        <v>2025中科院分区高校附件</v>
      </c>
      <c r="C46" s="14"/>
      <c r="D46" s="14" t="str">
        <v>分区交叉核对附件</v>
      </c>
      <c r="E46" s="14"/>
      <c r="F46" s="14" t="str">
        <v>2026发布JIF汇编</v>
      </c>
      <c r="G46" s="14"/>
      <c r="H46" s="14"/>
      <c r="I46" s="2"/>
      <c r="J46" s="2"/>
    </row>
    <row r="47">
      <c r="A47" s="2"/>
      <c r="B47" s="14"/>
      <c r="C47" s="14"/>
      <c r="D47" s="14"/>
      <c r="E47" s="14"/>
      <c r="F47" s="14"/>
      <c r="G47" s="14"/>
      <c r="H47" s="14"/>
      <c r="I47" s="2"/>
      <c r="J47" s="2"/>
    </row>
    <row r="48">
      <c r="A48" s="2"/>
      <c r="B48" s="14" t="str">
        <v>2026分区停更说明</v>
      </c>
      <c r="C48" s="14"/>
      <c r="D48" s="14"/>
      <c r="E48" s="14"/>
      <c r="F48" s="14"/>
      <c r="G48" s="14"/>
      <c r="H48" s="14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</sheetData>
  <hyperlinks>
    <hyperlink ref="B46" r:id="journalLink1"/>
    <hyperlink ref="D46" r:id="journalLink2"/>
    <hyperlink ref="F46" r:id="journalLink3"/>
    <hyperlink ref="B48" r:id="journalLink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0364A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58" hidden="0" customWidth="1"/>
    <col min="2" max="2" width="27" hidden="0" customWidth="1"/>
    <col min="3" max="3" width="13" hidden="0" customWidth="1"/>
    <col min="4" max="4" width="14" hidden="0" customWidth="1"/>
    <col min="5" max="5" width="12" hidden="0" customWidth="1"/>
    <col min="6" max="6" width="34" hidden="0" customWidth="1"/>
    <col min="7" max="7" width="20" hidden="0" customWidth="1"/>
    <col min="8" max="8" width="22" hidden="0" customWidth="1"/>
    <col min="9" max="9" width="13" hidden="0" customWidth="1"/>
    <col min="10" max="10" width="14" hidden="0" customWidth="1"/>
    <col min="11" max="11" width="16" hidden="0" customWidth="1"/>
    <col min="12" max="12" width="16" hidden="0" customWidth="1"/>
    <col min="13" max="13" width="68" hidden="0" customWidth="1"/>
    <col min="14" max="14" width="29" hidden="0" customWidth="1"/>
    <col min="15" max="15" width="72" hidden="0" customWidth="1"/>
    <col min="16" max="16" width="18" hidden="0" customWidth="1"/>
    <col min="17" max="17" width="18" hidden="0" customWidth="1"/>
    <col min="18" max="18" width="18" hidden="0" customWidth="1"/>
    <col min="19" max="19" width="68" hidden="0" customWidth="1"/>
    <col min="20" max="20" width="42" hidden="0" customWidth="1"/>
    <col min="21" max="21" width="22" hidden="0" customWidth="1"/>
    <col min="22" max="22" width="14" hidden="0" customWidth="1"/>
  </cols>
  <sheetData>
    <row r="1" ht="34" customHeight="1">
      <c r="A1" s="6" t="str">
        <v>期刊名称</v>
      </c>
      <c r="B1" s="6" t="str">
        <v>研究方向</v>
      </c>
      <c r="C1" s="6" t="str">
        <v>中科院分区</v>
      </c>
      <c r="D1" s="6" t="str">
        <v>JIF影响因子</v>
      </c>
      <c r="E1" s="6" t="str">
        <v>JIF统计年</v>
      </c>
      <c r="F1" s="6" t="str">
        <v>出版系列</v>
      </c>
      <c r="G1" s="6" t="str">
        <v>期刊标记</v>
      </c>
      <c r="H1" s="6" t="str">
        <v>文章类型</v>
      </c>
      <c r="I1" s="6" t="str">
        <v>分区版本年</v>
      </c>
      <c r="J1" s="6" t="str">
        <v>Top（源表）</v>
      </c>
      <c r="K1" s="6" t="str">
        <v>ISSN</v>
      </c>
      <c r="L1" s="6" t="str">
        <v>eISSN</v>
      </c>
      <c r="M1" s="6" t="str">
        <v>JCR学科（2024源表）</v>
      </c>
      <c r="N1" s="6" t="str">
        <v>JIF核对状态</v>
      </c>
      <c r="O1" s="6" t="str">
        <v>补充说明</v>
      </c>
      <c r="P1" s="6" t="str">
        <v>JIF数据来源</v>
      </c>
      <c r="Q1" s="6" t="str">
        <v>分区数据来源</v>
      </c>
      <c r="R1" s="6" t="str">
        <v>补充证据</v>
      </c>
      <c r="S1" s="6" t="str">
        <v>官网网址</v>
      </c>
      <c r="T1" s="6" t="str">
        <v>官网核对状态</v>
      </c>
      <c r="U1" s="6" t="str">
        <v>官网来源</v>
      </c>
      <c r="V1" s="6" t="str">
        <v>JCR发布年</v>
      </c>
    </row>
    <row r="2" ht="34" customHeight="1">
      <c r="A2" s="7" t="str">
        <v>NATURE</v>
      </c>
      <c r="B2" s="7" t="str">
        <v>综合与交叉</v>
      </c>
      <c r="C2" s="11" t="n">
        <v>1</v>
      </c>
      <c r="D2" s="12" t="n">
        <v>56.1</v>
      </c>
      <c r="E2" s="13" t="n">
        <v>2025</v>
      </c>
      <c r="F2" s="7" t="str">
        <v>Nature Portfolio（含合作刊）</v>
      </c>
      <c r="G2" s="7" t="str">
        <v>经典专业刊</v>
      </c>
      <c r="H2" s="7" t="str">
        <v>研究/方法/综合</v>
      </c>
      <c r="I2" s="10" t="n">
        <v>2025</v>
      </c>
      <c r="J2" s="2" t="str">
        <v>是</v>
      </c>
      <c r="K2" s="2" t="str">
        <v>0028-0836</v>
      </c>
      <c r="L2" s="2" t="str">
        <v>1476-4687</v>
      </c>
      <c r="M2" s="7" t="str">
        <v>MULTIDISCIPLINARY SCIENCES(SCIE)</v>
      </c>
      <c r="N2" s="7" t="str">
        <v>已核对出版社2025指标</v>
      </c>
      <c r="O2" s="7" t="str"/>
      <c r="P2" s="15" t="str">
        <v>JIF来源</v>
      </c>
      <c r="Q2" s="15" t="str">
        <v>分区来源</v>
      </c>
      <c r="R2" s="15" t="str">
        <v>补充证据</v>
      </c>
      <c r="S2" s="14" t="str">
        <v>https://www.nature.com/nature/</v>
      </c>
      <c r="T2" s="7" t="str">
        <v>出版社/期刊主页匹配</v>
      </c>
      <c r="U2" s="2" t="str">
        <v>官网来源</v>
      </c>
      <c r="V2" s="2" t="n">
        <v>2026</v>
      </c>
    </row>
    <row r="3" ht="34" customHeight="1">
      <c r="A3" s="7" t="str">
        <v>SCIENCE</v>
      </c>
      <c r="B3" s="7" t="str">
        <v>综合与交叉</v>
      </c>
      <c r="C3" s="11" t="n">
        <v>1</v>
      </c>
      <c r="D3" s="12" t="n">
        <v>47.3</v>
      </c>
      <c r="E3" s="13" t="n">
        <v>2025</v>
      </c>
      <c r="F3" s="7" t="str">
        <v>Science / AAAS</v>
      </c>
      <c r="G3" s="7" t="str">
        <v>经典专业刊</v>
      </c>
      <c r="H3" s="7" t="str">
        <v>研究/方法/综合</v>
      </c>
      <c r="I3" s="10" t="n">
        <v>2025</v>
      </c>
      <c r="J3" s="2" t="str">
        <v>是</v>
      </c>
      <c r="K3" s="2" t="str">
        <v>0036-8075</v>
      </c>
      <c r="L3" s="2" t="str">
        <v>1095-9203</v>
      </c>
      <c r="M3" s="7" t="str">
        <v>MULTIDISCIPLINARY SCIENCES(SCIE)</v>
      </c>
      <c r="N3" s="7" t="str">
        <v>两份公开汇编一致</v>
      </c>
      <c r="O3" s="7" t="str"/>
      <c r="P3" s="15" t="str">
        <v>JIF来源</v>
      </c>
      <c r="Q3" s="15" t="str">
        <v>分区来源</v>
      </c>
      <c r="R3" s="15" t="str"/>
      <c r="S3" s="14" t="str">
        <v>https://www.science.org/journal/science</v>
      </c>
      <c r="T3" s="7" t="str">
        <v>出版社/期刊主页匹配</v>
      </c>
      <c r="U3" s="2" t="str">
        <v>官网来源</v>
      </c>
      <c r="V3" s="2" t="n">
        <v>2026</v>
      </c>
    </row>
    <row r="4" ht="34" customHeight="1">
      <c r="A4" s="7" t="str">
        <v>CELL</v>
      </c>
      <c r="B4" s="7" t="str">
        <v>综合与交叉</v>
      </c>
      <c r="C4" s="11" t="n">
        <v>1</v>
      </c>
      <c r="D4" s="12" t="n">
        <v>45.1</v>
      </c>
      <c r="E4" s="13" t="n">
        <v>2025</v>
      </c>
      <c r="F4" s="7" t="str">
        <v>Cell Press（含合作刊）</v>
      </c>
      <c r="G4" s="7" t="str">
        <v>经典专业刊</v>
      </c>
      <c r="H4" s="7" t="str">
        <v>研究/方法/综合</v>
      </c>
      <c r="I4" s="10" t="n">
        <v>2025</v>
      </c>
      <c r="J4" s="2" t="str">
        <v>是</v>
      </c>
      <c r="K4" s="2" t="str">
        <v>0092-8674</v>
      </c>
      <c r="L4" s="2" t="str">
        <v>1097-4172</v>
      </c>
      <c r="M4" s="7" t="str">
        <v>BIOCHEMISTRY &amp; MOLECULAR BIOLOGY(SCIE);CELL BIOLOGY(SCIE)</v>
      </c>
      <c r="N4" s="7" t="str">
        <v>两份公开汇编一致</v>
      </c>
      <c r="O4" s="7" t="str"/>
      <c r="P4" s="15" t="str">
        <v>JIF来源</v>
      </c>
      <c r="Q4" s="15" t="str">
        <v>分区来源</v>
      </c>
      <c r="R4" s="15" t="str"/>
      <c r="S4" s="14" t="str">
        <v>https://www.cell.com/cell/home</v>
      </c>
      <c r="T4" s="7" t="str">
        <v>出版社/期刊主页匹配</v>
      </c>
      <c r="U4" s="2" t="str">
        <v>官网来源</v>
      </c>
      <c r="V4" s="2" t="n">
        <v>2026</v>
      </c>
    </row>
    <row r="5" ht="34" customHeight="1">
      <c r="A5" s="7" t="str">
        <v>Innovation</v>
      </c>
      <c r="B5" s="7" t="str">
        <v>综合与交叉</v>
      </c>
      <c r="C5" s="11" t="n">
        <v>1</v>
      </c>
      <c r="D5" s="12" t="n">
        <v>39.5</v>
      </c>
      <c r="E5" s="13" t="n">
        <v>2025</v>
      </c>
      <c r="F5" s="7" t="str">
        <v>其他</v>
      </c>
      <c r="G5" s="7" t="str">
        <v>领域期刊/新兴刊</v>
      </c>
      <c r="H5" s="7" t="str">
        <v>研究/方法/综合</v>
      </c>
      <c r="I5" s="10" t="n">
        <v>2025</v>
      </c>
      <c r="J5" s="2" t="str">
        <v>是</v>
      </c>
      <c r="K5" s="2" t="str">
        <v>2666-6758</v>
      </c>
      <c r="L5" s="2" t="str">
        <v>2666-6758</v>
      </c>
      <c r="M5" s="7" t="str">
        <v>MULTIDISCIPLINARY SCIENCES(ESCI)</v>
      </c>
      <c r="N5" s="7" t="str">
        <v>两份公开汇编一致</v>
      </c>
      <c r="O5" s="7" t="str"/>
      <c r="P5" s="15" t="str">
        <v>JIF来源</v>
      </c>
      <c r="Q5" s="15" t="str">
        <v>分区来源</v>
      </c>
      <c r="R5" s="15" t="str"/>
      <c r="S5" s="14" t="str">
        <v>https://www.journals.elsevier.com/the-innovation</v>
      </c>
      <c r="T5" s="7" t="str">
        <v>ISSN匹配公开元数据；未逐站复核</v>
      </c>
      <c r="U5" s="2" t="str">
        <v>官网来源</v>
      </c>
      <c r="V5" s="2" t="n">
        <v>2026</v>
      </c>
    </row>
    <row r="6" ht="34" customHeight="1">
      <c r="A6" s="7" t="str">
        <v>Science Bulletin</v>
      </c>
      <c r="B6" s="7" t="str">
        <v>综合与交叉</v>
      </c>
      <c r="C6" s="11" t="n">
        <v>1</v>
      </c>
      <c r="D6" s="12" t="n">
        <v>20.7</v>
      </c>
      <c r="E6" s="13" t="n">
        <v>2025</v>
      </c>
      <c r="F6" s="7" t="str">
        <v>其他</v>
      </c>
      <c r="G6" s="7" t="str">
        <v>领域期刊/新兴刊</v>
      </c>
      <c r="H6" s="7" t="str">
        <v>研究/方法/综合</v>
      </c>
      <c r="I6" s="10" t="n">
        <v>2025</v>
      </c>
      <c r="J6" s="2" t="str">
        <v>是</v>
      </c>
      <c r="K6" s="2" t="str">
        <v>2095-9273</v>
      </c>
      <c r="L6" s="2" t="str">
        <v>2095-9281</v>
      </c>
      <c r="M6" s="7" t="str">
        <v>MULTIDISCIPLINARY SCIENCES(SCIE)</v>
      </c>
      <c r="N6" s="7" t="str">
        <v>两份公开汇编一致</v>
      </c>
      <c r="O6" s="7" t="str"/>
      <c r="P6" s="15" t="str">
        <v>JIF来源</v>
      </c>
      <c r="Q6" s="15" t="str">
        <v>分区来源</v>
      </c>
      <c r="R6" s="15" t="str"/>
      <c r="S6" s="14" t="str">
        <v>https://www.sciencedirect.com/journal/science-bulletin</v>
      </c>
      <c r="T6" s="7" t="str">
        <v>出版社/期刊主页匹配</v>
      </c>
      <c r="U6" s="2" t="str">
        <v>官网来源</v>
      </c>
      <c r="V6" s="2" t="n">
        <v>2026</v>
      </c>
    </row>
    <row r="7" ht="34" customHeight="1">
      <c r="A7" s="7" t="str">
        <v>National Science Review</v>
      </c>
      <c r="B7" s="7" t="str">
        <v>综合与交叉</v>
      </c>
      <c r="C7" s="11" t="n">
        <v>1</v>
      </c>
      <c r="D7" s="12" t="n">
        <v>18.1</v>
      </c>
      <c r="E7" s="13" t="n">
        <v>2025</v>
      </c>
      <c r="F7" s="7" t="str">
        <v>其他</v>
      </c>
      <c r="G7" s="7" t="str">
        <v>领域期刊/新兴刊</v>
      </c>
      <c r="H7" s="7" t="str">
        <v>研究/方法/综合</v>
      </c>
      <c r="I7" s="10" t="n">
        <v>2025</v>
      </c>
      <c r="J7" s="2" t="str">
        <v>是</v>
      </c>
      <c r="K7" s="2" t="str">
        <v>2095-5138</v>
      </c>
      <c r="L7" s="2" t="str">
        <v>2053-714X</v>
      </c>
      <c r="M7" s="7" t="str">
        <v>MULTIDISCIPLINARY SCIENCES(SCIE)</v>
      </c>
      <c r="N7" s="7" t="str">
        <v>两份公开汇编一致</v>
      </c>
      <c r="O7" s="7" t="str"/>
      <c r="P7" s="15" t="str">
        <v>JIF来源</v>
      </c>
      <c r="Q7" s="15" t="str">
        <v>分区来源</v>
      </c>
      <c r="R7" s="15" t="str"/>
      <c r="S7" s="14" t="str">
        <v>https://academic.oup.com/nsr</v>
      </c>
      <c r="T7" s="7" t="str">
        <v>ISSN匹配公开元数据；未逐站复核</v>
      </c>
      <c r="U7" s="2" t="str">
        <v>官网来源</v>
      </c>
      <c r="V7" s="2" t="n">
        <v>2026</v>
      </c>
    </row>
    <row r="8" ht="34" customHeight="1">
      <c r="A8" s="7" t="str">
        <v>Nature Communications</v>
      </c>
      <c r="B8" s="7" t="str">
        <v>综合与交叉</v>
      </c>
      <c r="C8" s="11" t="n">
        <v>1</v>
      </c>
      <c r="D8" s="12" t="n">
        <v>18.1</v>
      </c>
      <c r="E8" s="13" t="n">
        <v>2025</v>
      </c>
      <c r="F8" s="7" t="str">
        <v>Nature Portfolio（含合作刊）</v>
      </c>
      <c r="G8" s="7" t="str">
        <v>领域期刊/新兴刊</v>
      </c>
      <c r="H8" s="7" t="str">
        <v>研究/方法/综合</v>
      </c>
      <c r="I8" s="10" t="n">
        <v>2025</v>
      </c>
      <c r="J8" s="2" t="str">
        <v>是</v>
      </c>
      <c r="K8" s="2" t="str"/>
      <c r="L8" s="2" t="str">
        <v>2041-1723</v>
      </c>
      <c r="M8" s="7" t="str">
        <v>MULTIDISCIPLINARY SCIENCES(SCIE)</v>
      </c>
      <c r="N8" s="7" t="str">
        <v>两份公开汇编一致</v>
      </c>
      <c r="O8" s="7" t="str"/>
      <c r="P8" s="15" t="str">
        <v>JIF来源</v>
      </c>
      <c r="Q8" s="15" t="str">
        <v>分区来源</v>
      </c>
      <c r="R8" s="15" t="str"/>
      <c r="S8" s="14" t="str">
        <v>http://www.nature.com/ncomms/index.html</v>
      </c>
      <c r="T8" s="7" t="str">
        <v>ISSN匹配公开元数据；未逐站复核</v>
      </c>
      <c r="U8" s="2" t="str">
        <v>官网来源</v>
      </c>
      <c r="V8" s="2" t="n">
        <v>2026</v>
      </c>
    </row>
    <row r="9" ht="34" customHeight="1">
      <c r="A9" s="7" t="str">
        <v>Advanced Science</v>
      </c>
      <c r="B9" s="7" t="str">
        <v>综合与交叉</v>
      </c>
      <c r="C9" s="11" t="n">
        <v>1</v>
      </c>
      <c r="D9" s="12" t="n">
        <v>14.1</v>
      </c>
      <c r="E9" s="13" t="n">
        <v>2025</v>
      </c>
      <c r="F9" s="7" t="str">
        <v>其他</v>
      </c>
      <c r="G9" s="7" t="str">
        <v>领域期刊/新兴刊</v>
      </c>
      <c r="H9" s="7" t="str">
        <v>研究/方法/综合</v>
      </c>
      <c r="I9" s="10" t="n">
        <v>2025</v>
      </c>
      <c r="J9" s="2" t="str">
        <v>是</v>
      </c>
      <c r="K9" s="2" t="str"/>
      <c r="L9" s="2" t="str">
        <v>2198-3844</v>
      </c>
      <c r="M9" s="7" t="str">
        <v>CHEMISTRY, MULTIDISCIPLINARY(SCIE);MATERIALS SCIENCE, MULTIDISCIPLINARY(SCIE);NANOSCIENCE &amp; NANOTECHNOLOGY(SCIE)</v>
      </c>
      <c r="N9" s="7" t="str">
        <v>两份公开汇编一致</v>
      </c>
      <c r="O9" s="7" t="str"/>
      <c r="P9" s="15" t="str">
        <v>JIF来源</v>
      </c>
      <c r="Q9" s="15" t="str">
        <v>分区来源</v>
      </c>
      <c r="R9" s="15" t="str"/>
      <c r="S9" s="14" t="str">
        <v>https://onlinelibrary.wiley.com/journal/21983844</v>
      </c>
      <c r="T9" s="7" t="str">
        <v>ISSN匹配公开元数据；未逐站复核</v>
      </c>
      <c r="U9" s="2" t="str">
        <v>官网来源</v>
      </c>
      <c r="V9" s="2" t="n">
        <v>2026</v>
      </c>
    </row>
    <row r="10" ht="34" customHeight="1">
      <c r="A10" s="7" t="str">
        <v>Science Advances</v>
      </c>
      <c r="B10" s="7" t="str">
        <v>综合与交叉</v>
      </c>
      <c r="C10" s="11" t="n">
        <v>1</v>
      </c>
      <c r="D10" s="12" t="n">
        <v>13.9</v>
      </c>
      <c r="E10" s="13" t="n">
        <v>2025</v>
      </c>
      <c r="F10" s="7" t="str">
        <v>Science / AAAS</v>
      </c>
      <c r="G10" s="7" t="str">
        <v>领域期刊/新兴刊</v>
      </c>
      <c r="H10" s="7" t="str">
        <v>研究/方法/综合</v>
      </c>
      <c r="I10" s="10" t="n">
        <v>2025</v>
      </c>
      <c r="J10" s="2" t="str">
        <v>是</v>
      </c>
      <c r="K10" s="2" t="str">
        <v>2375-2548</v>
      </c>
      <c r="L10" s="2" t="str">
        <v>2375-2548</v>
      </c>
      <c r="M10" s="7" t="str">
        <v>MULTIDISCIPLINARY SCIENCES(SCIE)</v>
      </c>
      <c r="N10" s="7" t="str">
        <v>两份公开汇编一致</v>
      </c>
      <c r="O10" s="7" t="str"/>
      <c r="P10" s="15" t="str">
        <v>JIF来源</v>
      </c>
      <c r="Q10" s="15" t="str">
        <v>分区来源</v>
      </c>
      <c r="R10" s="15" t="str"/>
      <c r="S10" s="14" t="str">
        <v>https://www.science.org/journal/sciadv</v>
      </c>
      <c r="T10" s="7" t="str">
        <v>ISSN匹配公开元数据；未逐站复核</v>
      </c>
      <c r="U10" s="2" t="str">
        <v>官网来源</v>
      </c>
      <c r="V10" s="2" t="n">
        <v>2026</v>
      </c>
    </row>
    <row r="11" ht="34" customHeight="1">
      <c r="A11" s="7" t="str">
        <v>Research</v>
      </c>
      <c r="B11" s="7" t="str">
        <v>综合与交叉</v>
      </c>
      <c r="C11" s="11" t="n">
        <v>1</v>
      </c>
      <c r="D11" s="12" t="n">
        <v>12.9</v>
      </c>
      <c r="E11" s="13" t="n">
        <v>2025</v>
      </c>
      <c r="F11" s="7" t="str">
        <v>Science Partner Journals（合作刊）</v>
      </c>
      <c r="G11" s="7" t="str">
        <v>领域期刊/新兴刊</v>
      </c>
      <c r="H11" s="7" t="str">
        <v>研究/方法/综合</v>
      </c>
      <c r="I11" s="10" t="n">
        <v>2025</v>
      </c>
      <c r="J11" s="2" t="str">
        <v>是</v>
      </c>
      <c r="K11" s="2" t="str">
        <v>2096-5168</v>
      </c>
      <c r="L11" s="2" t="str">
        <v>2639-5274</v>
      </c>
      <c r="M11" s="7" t="str">
        <v>MULTIDISCIPLINARY SCIENCES(SCIE)</v>
      </c>
      <c r="N11" s="7" t="str">
        <v>两份公开汇编一致</v>
      </c>
      <c r="O11" s="7" t="str"/>
      <c r="P11" s="15" t="str">
        <v>JIF来源</v>
      </c>
      <c r="Q11" s="15" t="str">
        <v>分区来源</v>
      </c>
      <c r="R11" s="15" t="str"/>
      <c r="S11" s="14" t="str">
        <v>https://spj.sciencemag.org/research/</v>
      </c>
      <c r="T11" s="7" t="str">
        <v>ISSN匹配公开元数据；未逐站复核</v>
      </c>
      <c r="U11" s="2" t="str">
        <v>官网来源</v>
      </c>
      <c r="V11" s="2" t="n">
        <v>2026</v>
      </c>
    </row>
    <row r="12" ht="34" customHeight="1">
      <c r="A12" s="7" t="str">
        <v>PROCEEDINGS OF THE NATIONAL ACADEMY OF SCIENCES OF THE UNITED STATES OF AMERICA</v>
      </c>
      <c r="B12" s="7" t="str">
        <v>综合与交叉</v>
      </c>
      <c r="C12" s="11" t="n">
        <v>1</v>
      </c>
      <c r="D12" s="12" t="n">
        <v>9.5</v>
      </c>
      <c r="E12" s="13" t="n">
        <v>2025</v>
      </c>
      <c r="F12" s="7" t="str">
        <v>其他</v>
      </c>
      <c r="G12" s="7" t="str">
        <v>经典专业刊</v>
      </c>
      <c r="H12" s="7" t="str">
        <v>研究/方法/综合</v>
      </c>
      <c r="I12" s="10" t="n">
        <v>2025</v>
      </c>
      <c r="J12" s="2" t="str">
        <v>是</v>
      </c>
      <c r="K12" s="2" t="str">
        <v>0027-8424</v>
      </c>
      <c r="L12" s="2" t="str">
        <v>1091-6490</v>
      </c>
      <c r="M12" s="7" t="str">
        <v>MULTIDISCIPLINARY SCIENCES(SCIE)</v>
      </c>
      <c r="N12" s="7" t="str">
        <v>两份公开汇编一致</v>
      </c>
      <c r="O12" s="7" t="str"/>
      <c r="P12" s="15" t="str">
        <v>JIF来源</v>
      </c>
      <c r="Q12" s="15" t="str">
        <v>分区来源</v>
      </c>
      <c r="R12" s="15" t="str"/>
      <c r="S12" s="14" t="str">
        <v>http://www.pnas.org/</v>
      </c>
      <c r="T12" s="7" t="str">
        <v>ISSN匹配公开元数据；未逐站复核</v>
      </c>
      <c r="U12" s="2" t="str">
        <v>官网来源</v>
      </c>
      <c r="V12" s="2" t="n">
        <v>2026</v>
      </c>
    </row>
    <row r="13" ht="34" customHeight="1">
      <c r="A13" s="7" t="str">
        <v>eLife</v>
      </c>
      <c r="B13" s="7" t="str">
        <v>综合与交叉</v>
      </c>
      <c r="C13" s="11" t="n">
        <v>1</v>
      </c>
      <c r="D13" s="12"/>
      <c r="E13" s="13" t="n">
        <v>2025</v>
      </c>
      <c r="F13" s="7" t="str">
        <v>其他</v>
      </c>
      <c r="G13" s="7" t="str">
        <v>领域期刊/新兴刊</v>
      </c>
      <c r="H13" s="7" t="str">
        <v>研究/方法/综合</v>
      </c>
      <c r="I13" s="10" t="n">
        <v>2025</v>
      </c>
      <c r="J13" s="2" t="str">
        <v>是</v>
      </c>
      <c r="K13" s="2" t="str">
        <v>2050-084X</v>
      </c>
      <c r="L13" s="2" t="str">
        <v>2050-084X</v>
      </c>
      <c r="M13" s="7" t="str">
        <v>BIOLOGY(ESCI)</v>
      </c>
      <c r="N13" s="7" t="str">
        <v>2025 JIF未检得/未给值</v>
      </c>
      <c r="O13" s="7" t="str">
        <v>所用2026发布来源未检得2025 JIF数值；未沿用往年指标。</v>
      </c>
      <c r="P13" s="15" t="str">
        <v>JIF来源</v>
      </c>
      <c r="Q13" s="15" t="str">
        <v>分区来源</v>
      </c>
      <c r="R13" s="15" t="str"/>
      <c r="S13" s="14" t="str">
        <v>http://elifesciences.org/</v>
      </c>
      <c r="T13" s="7" t="str">
        <v>ISSN匹配公开元数据；未逐站复核</v>
      </c>
      <c r="U13" s="2" t="str">
        <v>官网来源</v>
      </c>
      <c r="V13" s="2" t="n">
        <v>2026</v>
      </c>
    </row>
    <row r="14" ht="34" customHeight="1">
      <c r="A14" s="7" t="str">
        <v>Scientific Data</v>
      </c>
      <c r="B14" s="7" t="str">
        <v>综合与交叉</v>
      </c>
      <c r="C14" s="11" t="n">
        <v>2</v>
      </c>
      <c r="D14" s="12" t="n">
        <v>7.2</v>
      </c>
      <c r="E14" s="13" t="n">
        <v>2025</v>
      </c>
      <c r="F14" s="7" t="str">
        <v>Nature Portfolio（含合作刊）</v>
      </c>
      <c r="G14" s="7" t="str">
        <v>领域期刊/新兴刊</v>
      </c>
      <c r="H14" s="7" t="str">
        <v>研究/方法/综合</v>
      </c>
      <c r="I14" s="10" t="n">
        <v>2025</v>
      </c>
      <c r="J14" s="2" t="str">
        <v>否</v>
      </c>
      <c r="K14" s="2" t="str"/>
      <c r="L14" s="2" t="str">
        <v>2052-4463</v>
      </c>
      <c r="M14" s="7" t="str">
        <v>MULTIDISCIPLINARY SCIENCES(SCIE)</v>
      </c>
      <c r="N14" s="7" t="str">
        <v>两份公开汇编一致</v>
      </c>
      <c r="O14" s="7" t="str"/>
      <c r="P14" s="15" t="str">
        <v>JIF来源</v>
      </c>
      <c r="Q14" s="15" t="str">
        <v>分区来源</v>
      </c>
      <c r="R14" s="15" t="str"/>
      <c r="S14" s="14" t="str">
        <v>https://www.nature.com/sdata/</v>
      </c>
      <c r="T14" s="7" t="str">
        <v>ISSN匹配公开元数据；未逐站复核</v>
      </c>
      <c r="U14" s="2" t="str">
        <v>官网来源</v>
      </c>
      <c r="V14" s="2" t="n">
        <v>2026</v>
      </c>
    </row>
    <row r="15" ht="34" customHeight="1">
      <c r="A15" s="7" t="str">
        <v>iScience</v>
      </c>
      <c r="B15" s="7" t="str">
        <v>综合与交叉</v>
      </c>
      <c r="C15" s="11" t="n">
        <v>2</v>
      </c>
      <c r="D15" s="12" t="n">
        <v>4.5</v>
      </c>
      <c r="E15" s="13" t="n">
        <v>2025</v>
      </c>
      <c r="F15" s="7" t="str">
        <v>Cell Press（含合作刊）</v>
      </c>
      <c r="G15" s="7" t="str">
        <v>领域期刊/新兴刊</v>
      </c>
      <c r="H15" s="7" t="str">
        <v>研究/方法/综合</v>
      </c>
      <c r="I15" s="10" t="n">
        <v>2025</v>
      </c>
      <c r="J15" s="2" t="str">
        <v>否</v>
      </c>
      <c r="K15" s="2" t="str"/>
      <c r="L15" s="2" t="str">
        <v>2589-0042</v>
      </c>
      <c r="M15" s="7" t="str">
        <v>MULTIDISCIPLINARY SCIENCES(SCIE)</v>
      </c>
      <c r="N15" s="7" t="str">
        <v>两份公开汇编一致</v>
      </c>
      <c r="O15" s="7" t="str"/>
      <c r="P15" s="15" t="str">
        <v>JIF来源</v>
      </c>
      <c r="Q15" s="15" t="str">
        <v>分区来源</v>
      </c>
      <c r="R15" s="15" t="str"/>
      <c r="S15" s="14" t="str">
        <v>https://www.sciencedirect.com/journal/iscience</v>
      </c>
      <c r="T15" s="7" t="str">
        <v>ISSN匹配公开元数据；未逐站复核</v>
      </c>
      <c r="U15" s="2" t="str">
        <v>官网来源</v>
      </c>
      <c r="V15" s="2" t="n">
        <v>2026</v>
      </c>
    </row>
    <row r="16" ht="34" customHeight="1">
      <c r="A16" s="7" t="str">
        <v>GigaScience</v>
      </c>
      <c r="B16" s="7" t="str">
        <v>综合与交叉</v>
      </c>
      <c r="C16" s="11" t="n">
        <v>2</v>
      </c>
      <c r="D16" s="12" t="n">
        <v>5</v>
      </c>
      <c r="E16" s="13" t="n">
        <v>2025</v>
      </c>
      <c r="F16" s="7" t="str">
        <v>其他</v>
      </c>
      <c r="G16" s="7" t="str">
        <v>领域期刊/新兴刊</v>
      </c>
      <c r="H16" s="7" t="str">
        <v>研究/方法/综合</v>
      </c>
      <c r="I16" s="10" t="n">
        <v>2025</v>
      </c>
      <c r="J16" s="2" t="str">
        <v>否</v>
      </c>
      <c r="K16" s="2" t="str">
        <v>2047-217X</v>
      </c>
      <c r="L16" s="2" t="str">
        <v>2047-217X</v>
      </c>
      <c r="M16" s="7" t="str">
        <v>MULTIDISCIPLINARY SCIENCES(SCIE)</v>
      </c>
      <c r="N16" s="7" t="str">
        <v>两份公开汇编一致</v>
      </c>
      <c r="O16" s="7" t="str"/>
      <c r="P16" s="15" t="str">
        <v>JIF来源</v>
      </c>
      <c r="Q16" s="15" t="str">
        <v>分区来源</v>
      </c>
      <c r="R16" s="15" t="str"/>
      <c r="S16" s="14" t="str">
        <v>https://academic.oup.com/gigascience</v>
      </c>
      <c r="T16" s="7" t="str">
        <v>ISSN匹配公开元数据；未逐站复核</v>
      </c>
      <c r="U16" s="2" t="str">
        <v>官网来源</v>
      </c>
      <c r="V16" s="2" t="n">
        <v>2026</v>
      </c>
    </row>
    <row r="17" ht="34" customHeight="1">
      <c r="A17" s="7" t="str">
        <v>Scientific Reports</v>
      </c>
      <c r="B17" s="7" t="str">
        <v>综合与交叉</v>
      </c>
      <c r="C17" s="11" t="n">
        <v>3</v>
      </c>
      <c r="D17" s="12" t="n">
        <v>4.9</v>
      </c>
      <c r="E17" s="13" t="n">
        <v>2025</v>
      </c>
      <c r="F17" s="7" t="str">
        <v>Nature Portfolio（含合作刊）</v>
      </c>
      <c r="G17" s="7" t="str">
        <v>领域期刊/新兴刊</v>
      </c>
      <c r="H17" s="7" t="str">
        <v>研究/方法/综合</v>
      </c>
      <c r="I17" s="10" t="n">
        <v>2025</v>
      </c>
      <c r="J17" s="2" t="str">
        <v>否</v>
      </c>
      <c r="K17" s="2" t="str">
        <v>2045-2322</v>
      </c>
      <c r="L17" s="2" t="str">
        <v>2045-2322</v>
      </c>
      <c r="M17" s="7" t="str">
        <v>MULTIDISCIPLINARY SCIENCES(SCIE)</v>
      </c>
      <c r="N17" s="7" t="str">
        <v>两份公开汇编一致</v>
      </c>
      <c r="O17" s="7" t="str"/>
      <c r="P17" s="15" t="str">
        <v>JIF来源</v>
      </c>
      <c r="Q17" s="15" t="str">
        <v>分区来源</v>
      </c>
      <c r="R17" s="15" t="str"/>
      <c r="S17" s="14" t="str">
        <v>http://www.nature.com/srep/index.html</v>
      </c>
      <c r="T17" s="7" t="str">
        <v>ISSN匹配公开元数据；未逐站复核</v>
      </c>
      <c r="U17" s="2" t="str">
        <v>官网来源</v>
      </c>
      <c r="V17" s="2" t="n">
        <v>2026</v>
      </c>
    </row>
    <row r="18" ht="34" customHeight="1">
      <c r="A18" s="7" t="str">
        <v>PNAS Nexus</v>
      </c>
      <c r="B18" s="7" t="str">
        <v>综合与交叉</v>
      </c>
      <c r="C18" s="11" t="n">
        <v>3</v>
      </c>
      <c r="D18" s="12" t="n">
        <v>4.8</v>
      </c>
      <c r="E18" s="13" t="n">
        <v>2025</v>
      </c>
      <c r="F18" s="7" t="str">
        <v>其他</v>
      </c>
      <c r="G18" s="7" t="str">
        <v>领域期刊/新兴刊</v>
      </c>
      <c r="H18" s="7" t="str">
        <v>研究/方法/综合</v>
      </c>
      <c r="I18" s="10" t="n">
        <v>2025</v>
      </c>
      <c r="J18" s="2" t="str">
        <v>否</v>
      </c>
      <c r="K18" s="2" t="str"/>
      <c r="L18" s="2" t="str">
        <v>2752-6542</v>
      </c>
      <c r="M18" s="7" t="str">
        <v>MULTIDISCIPLINARY SCIENCES(ESCI);SOCIAL SCIENCES, INTERDISCIPLINARY(ESCI)</v>
      </c>
      <c r="N18" s="7" t="str">
        <v>两份公开汇编一致</v>
      </c>
      <c r="O18" s="7" t="str"/>
      <c r="P18" s="15" t="str">
        <v>JIF来源</v>
      </c>
      <c r="Q18" s="15" t="str">
        <v>分区来源</v>
      </c>
      <c r="R18" s="15" t="str"/>
      <c r="S18" s="14" t="str">
        <v>https://academic.oup.com/pnasnexus</v>
      </c>
      <c r="T18" s="7" t="str">
        <v>出版社/期刊主页匹配</v>
      </c>
      <c r="U18" s="2" t="str">
        <v>官网来源</v>
      </c>
      <c r="V18" s="2" t="n">
        <v>2026</v>
      </c>
    </row>
    <row r="19" ht="34" customHeight="1">
      <c r="A19" s="7" t="str">
        <v>Royal Society Open Science</v>
      </c>
      <c r="B19" s="7" t="str">
        <v>综合与交叉</v>
      </c>
      <c r="C19" s="11" t="n">
        <v>3</v>
      </c>
      <c r="D19" s="12" t="n">
        <v>3</v>
      </c>
      <c r="E19" s="13" t="n">
        <v>2025</v>
      </c>
      <c r="F19" s="7" t="str">
        <v>其他</v>
      </c>
      <c r="G19" s="7" t="str">
        <v>领域期刊/新兴刊</v>
      </c>
      <c r="H19" s="7" t="str">
        <v>研究/方法/综合</v>
      </c>
      <c r="I19" s="10" t="n">
        <v>2025</v>
      </c>
      <c r="J19" s="2" t="str">
        <v>否</v>
      </c>
      <c r="K19" s="2" t="str">
        <v>2054-5703</v>
      </c>
      <c r="L19" s="2" t="str">
        <v>2054-5703</v>
      </c>
      <c r="M19" s="7" t="str">
        <v>MULTIDISCIPLINARY SCIENCES(SCIE)</v>
      </c>
      <c r="N19" s="7" t="str">
        <v>两份公开汇编一致</v>
      </c>
      <c r="O19" s="7" t="str"/>
      <c r="P19" s="15" t="str">
        <v>JIF来源</v>
      </c>
      <c r="Q19" s="15" t="str">
        <v>分区来源</v>
      </c>
      <c r="R19" s="15" t="str"/>
      <c r="S19" s="14" t="str">
        <v>https://royalsocietypublishing.org/journal/rsos</v>
      </c>
      <c r="T19" s="7" t="str">
        <v>ISSN匹配公开元数据；未逐站复核</v>
      </c>
      <c r="U19" s="2" t="str">
        <v>官网来源</v>
      </c>
      <c r="V19" s="2" t="n">
        <v>2026</v>
      </c>
    </row>
    <row r="20" ht="34" customHeight="1">
      <c r="A20" s="7" t="str">
        <v>PLoS One</v>
      </c>
      <c r="B20" s="7" t="str">
        <v>综合与交叉</v>
      </c>
      <c r="C20" s="11" t="n">
        <v>3</v>
      </c>
      <c r="D20" s="12" t="n">
        <v>2.8</v>
      </c>
      <c r="E20" s="13" t="n">
        <v>2025</v>
      </c>
      <c r="F20" s="7" t="str">
        <v>其他</v>
      </c>
      <c r="G20" s="7" t="str">
        <v>领域期刊/新兴刊</v>
      </c>
      <c r="H20" s="7" t="str">
        <v>研究/方法/综合</v>
      </c>
      <c r="I20" s="10" t="n">
        <v>2025</v>
      </c>
      <c r="J20" s="2" t="str">
        <v>否</v>
      </c>
      <c r="K20" s="2" t="str">
        <v>1932-6203</v>
      </c>
      <c r="L20" s="2" t="str">
        <v>1932-6203</v>
      </c>
      <c r="M20" s="7" t="str">
        <v>MULTIDISCIPLINARY SCIENCES(SCIE)</v>
      </c>
      <c r="N20" s="7" t="str">
        <v>两份公开汇编一致</v>
      </c>
      <c r="O20" s="7" t="str"/>
      <c r="P20" s="15" t="str">
        <v>JIF来源</v>
      </c>
      <c r="Q20" s="15" t="str">
        <v>分区来源</v>
      </c>
      <c r="R20" s="15" t="str"/>
      <c r="S20" s="14" t="str">
        <v>http://www.plosone.org/</v>
      </c>
      <c r="T20" s="7" t="str">
        <v>ISSN匹配公开元数据；未逐站复核</v>
      </c>
      <c r="U20" s="2" t="str">
        <v>官网来源</v>
      </c>
      <c r="V20" s="2" t="n">
        <v>2026</v>
      </c>
    </row>
    <row r="21" ht="34" customHeight="1">
      <c r="A21" s="7" t="str">
        <v>PeerJ</v>
      </c>
      <c r="B21" s="7" t="str">
        <v>综合与交叉</v>
      </c>
      <c r="C21" s="11" t="n">
        <v>3</v>
      </c>
      <c r="D21" s="12" t="n">
        <v>2.9</v>
      </c>
      <c r="E21" s="13" t="n">
        <v>2025</v>
      </c>
      <c r="F21" s="7" t="str">
        <v>其他</v>
      </c>
      <c r="G21" s="7" t="str">
        <v>领域期刊/新兴刊</v>
      </c>
      <c r="H21" s="7" t="str">
        <v>研究/方法/综合</v>
      </c>
      <c r="I21" s="10" t="n">
        <v>2025</v>
      </c>
      <c r="J21" s="2" t="str">
        <v>否</v>
      </c>
      <c r="K21" s="2" t="str">
        <v>2167-8359</v>
      </c>
      <c r="L21" s="2" t="str">
        <v>2167-8359</v>
      </c>
      <c r="M21" s="7" t="str">
        <v>MULTIDISCIPLINARY SCIENCES(SCIE)</v>
      </c>
      <c r="N21" s="7" t="str">
        <v>两份公开汇编一致</v>
      </c>
      <c r="O21" s="7" t="str"/>
      <c r="P21" s="15" t="str">
        <v>JIF来源</v>
      </c>
      <c r="Q21" s="15" t="str">
        <v>分区来源</v>
      </c>
      <c r="R21" s="15" t="str"/>
      <c r="S21" s="14" t="str">
        <v>http://www.peerj.com/</v>
      </c>
      <c r="T21" s="7" t="str">
        <v>ISSN匹配公开元数据；未逐站复核</v>
      </c>
      <c r="U21" s="2" t="str">
        <v>官网来源</v>
      </c>
      <c r="V21" s="2" t="n">
        <v>2026</v>
      </c>
    </row>
    <row r="22" ht="34" customHeight="1">
      <c r="A22" s="7" t="str">
        <v>Heliyon</v>
      </c>
      <c r="B22" s="7" t="str">
        <v>综合与交叉</v>
      </c>
      <c r="C22" s="11" t="n">
        <v>4</v>
      </c>
      <c r="D22" s="12"/>
      <c r="E22" s="13" t="n">
        <v>2025</v>
      </c>
      <c r="F22" s="7" t="str">
        <v>其他</v>
      </c>
      <c r="G22" s="7" t="str">
        <v>领域期刊/新兴刊</v>
      </c>
      <c r="H22" s="7" t="str">
        <v>研究/方法/综合</v>
      </c>
      <c r="I22" s="10" t="n">
        <v>2025</v>
      </c>
      <c r="J22" s="2" t="str">
        <v>否</v>
      </c>
      <c r="K22" s="2" t="str"/>
      <c r="L22" s="2" t="str">
        <v>2405-8440</v>
      </c>
      <c r="M22" s="7" t="str">
        <v>MULTIDISCIPLINARY SCIENCES(SCIE)</v>
      </c>
      <c r="N22" s="7" t="str">
        <v>2025 JIF未检得/未给值</v>
      </c>
      <c r="O22" s="7" t="str">
        <v>所用2026发布来源未检得2025 JIF数值；未沿用往年指标。</v>
      </c>
      <c r="P22" s="15" t="str">
        <v>JIF来源</v>
      </c>
      <c r="Q22" s="15" t="str">
        <v>分区来源</v>
      </c>
      <c r="R22" s="15" t="str"/>
      <c r="S22" s="14" t="str">
        <v>https://www.sciencedirect.com/journal/heliyon</v>
      </c>
      <c r="T22" s="7" t="str">
        <v>ISSN匹配公开元数据；未逐站复核</v>
      </c>
      <c r="U22" s="2" t="str">
        <v>官网来源</v>
      </c>
      <c r="V22" s="2" t="n">
        <v>2026</v>
      </c>
    </row>
    <row r="23" ht="34" customHeight="1">
      <c r="A23" s="7" t="str">
        <v>Annual Review of Plant Biology</v>
      </c>
      <c r="B23" s="7" t="str">
        <v>植物科学与分子育种</v>
      </c>
      <c r="C23" s="11" t="n">
        <v>1</v>
      </c>
      <c r="D23" s="12" t="n">
        <v>26.4</v>
      </c>
      <c r="E23" s="13" t="n">
        <v>2025</v>
      </c>
      <c r="F23" s="7" t="str">
        <v>其他</v>
      </c>
      <c r="G23" s="7" t="str">
        <v>领域期刊/新兴刊</v>
      </c>
      <c r="H23" s="7" t="str">
        <v>综述为主</v>
      </c>
      <c r="I23" s="10" t="n">
        <v>2025</v>
      </c>
      <c r="J23" s="2" t="str">
        <v>是</v>
      </c>
      <c r="K23" s="2" t="str">
        <v>1543-5008</v>
      </c>
      <c r="L23" s="2" t="str">
        <v>1545-2123</v>
      </c>
      <c r="M23" s="7" t="str">
        <v>PLANT SCIENCES(SCIE)</v>
      </c>
      <c r="N23" s="7" t="str">
        <v>两份公开汇编一致</v>
      </c>
      <c r="O23" s="7" t="str"/>
      <c r="P23" s="15" t="str">
        <v>JIF来源</v>
      </c>
      <c r="Q23" s="15" t="str">
        <v>分区来源</v>
      </c>
      <c r="R23" s="15" t="str"/>
      <c r="S23" s="14" t="str">
        <v>http://www.annualreviews.org/journal/arplant</v>
      </c>
      <c r="T23" s="7" t="str">
        <v>ISSN匹配公开元数据；未逐站复核</v>
      </c>
      <c r="U23" s="2" t="str">
        <v>官网来源</v>
      </c>
      <c r="V23" s="2" t="n">
        <v>2026</v>
      </c>
    </row>
    <row r="24" ht="34" customHeight="1">
      <c r="A24" s="7" t="str">
        <v>Molecular Plant</v>
      </c>
      <c r="B24" s="7" t="str">
        <v>植物科学与分子育种</v>
      </c>
      <c r="C24" s="11" t="n">
        <v>1</v>
      </c>
      <c r="D24" s="12" t="n">
        <v>32.7</v>
      </c>
      <c r="E24" s="13" t="n">
        <v>2025</v>
      </c>
      <c r="F24" s="7" t="str">
        <v>Cell Press（含合作刊）</v>
      </c>
      <c r="G24" s="7" t="str">
        <v>领域期刊/新兴刊</v>
      </c>
      <c r="H24" s="7" t="str">
        <v>研究/方法/综合</v>
      </c>
      <c r="I24" s="10" t="n">
        <v>2025</v>
      </c>
      <c r="J24" s="2" t="str">
        <v>是</v>
      </c>
      <c r="K24" s="2" t="str">
        <v>1674-2052</v>
      </c>
      <c r="L24" s="2" t="str">
        <v>1752-9867</v>
      </c>
      <c r="M24" s="7" t="str">
        <v>BIOCHEMISTRY &amp; MOLECULAR BIOLOGY(SCIE);PLANT SCIENCES(SCIE)</v>
      </c>
      <c r="N24" s="7" t="str">
        <v>两份公开汇编一致</v>
      </c>
      <c r="O24" s="7" t="str"/>
      <c r="P24" s="15" t="str">
        <v>JIF来源</v>
      </c>
      <c r="Q24" s="15" t="str">
        <v>分区来源</v>
      </c>
      <c r="R24" s="15" t="str"/>
      <c r="S24" s="14" t="str">
        <v>https://www.journals.elsevier.com/molecular-plant</v>
      </c>
      <c r="T24" s="7" t="str">
        <v>ISSN匹配公开元数据；未逐站复核</v>
      </c>
      <c r="U24" s="2" t="str">
        <v>官网来源</v>
      </c>
      <c r="V24" s="2" t="n">
        <v>2026</v>
      </c>
    </row>
    <row r="25" ht="34" customHeight="1">
      <c r="A25" s="7" t="str">
        <v>TRENDS IN PLANT SCIENCE</v>
      </c>
      <c r="B25" s="7" t="str">
        <v>植物科学与分子育种</v>
      </c>
      <c r="C25" s="11" t="n">
        <v>1</v>
      </c>
      <c r="D25" s="12" t="n">
        <v>21.2</v>
      </c>
      <c r="E25" s="13" t="n">
        <v>2025</v>
      </c>
      <c r="F25" s="7" t="str">
        <v>Cell Press（含合作刊）</v>
      </c>
      <c r="G25" s="7" t="str">
        <v>领域期刊/新兴刊</v>
      </c>
      <c r="H25" s="7" t="str">
        <v>综述为主</v>
      </c>
      <c r="I25" s="10" t="n">
        <v>2025</v>
      </c>
      <c r="J25" s="2" t="str">
        <v>是</v>
      </c>
      <c r="K25" s="2" t="str">
        <v>1360-1385</v>
      </c>
      <c r="L25" s="2" t="str">
        <v>1878-4372</v>
      </c>
      <c r="M25" s="7" t="str">
        <v>PLANT SCIENCES(SCIE)</v>
      </c>
      <c r="N25" s="7" t="str">
        <v>两份公开汇编一致</v>
      </c>
      <c r="O25" s="7" t="str"/>
      <c r="P25" s="15" t="str">
        <v>JIF来源</v>
      </c>
      <c r="Q25" s="15" t="str">
        <v>分区来源</v>
      </c>
      <c r="R25" s="15" t="str"/>
      <c r="S25" s="14" t="str">
        <v>https://www.sciencedirect.com/journal/trends-in-plant-science</v>
      </c>
      <c r="T25" s="7" t="str">
        <v>ISSN匹配公开元数据；未逐站复核</v>
      </c>
      <c r="U25" s="2" t="str">
        <v>官网来源</v>
      </c>
      <c r="V25" s="2" t="n">
        <v>2026</v>
      </c>
    </row>
    <row r="26" ht="34" customHeight="1">
      <c r="A26" s="7" t="str">
        <v>Nature Plants</v>
      </c>
      <c r="B26" s="7" t="str">
        <v>植物科学与分子育种</v>
      </c>
      <c r="C26" s="11" t="n">
        <v>1</v>
      </c>
      <c r="D26" s="12" t="n">
        <v>15</v>
      </c>
      <c r="E26" s="13" t="n">
        <v>2025</v>
      </c>
      <c r="F26" s="7" t="str">
        <v>Nature Portfolio（含合作刊）</v>
      </c>
      <c r="G26" s="7" t="str">
        <v>领域期刊/新兴刊</v>
      </c>
      <c r="H26" s="7" t="str">
        <v>研究/方法/综合</v>
      </c>
      <c r="I26" s="10" t="n">
        <v>2025</v>
      </c>
      <c r="J26" s="2" t="str">
        <v>是</v>
      </c>
      <c r="K26" s="2" t="str">
        <v>2055-026X</v>
      </c>
      <c r="L26" s="2" t="str">
        <v>2055-0278</v>
      </c>
      <c r="M26" s="7" t="str">
        <v>PLANT SCIENCES(SCIE)</v>
      </c>
      <c r="N26" s="7" t="str">
        <v>两份公开汇编一致</v>
      </c>
      <c r="O26" s="7" t="str"/>
      <c r="P26" s="15" t="str">
        <v>JIF来源</v>
      </c>
      <c r="Q26" s="15" t="str">
        <v>分区来源</v>
      </c>
      <c r="R26" s="15" t="str"/>
      <c r="S26" s="14" t="str">
        <v>https://www.nature.com/nplants/</v>
      </c>
      <c r="T26" s="7" t="str">
        <v>ISSN匹配公开元数据；未逐站复核</v>
      </c>
      <c r="U26" s="2" t="str">
        <v>官网来源</v>
      </c>
      <c r="V26" s="2" t="n">
        <v>2026</v>
      </c>
    </row>
    <row r="27" ht="34" customHeight="1">
      <c r="A27" s="7" t="str">
        <v>PLANT CELL</v>
      </c>
      <c r="B27" s="7" t="str">
        <v>植物科学与分子育种</v>
      </c>
      <c r="C27" s="11" t="n">
        <v>1</v>
      </c>
      <c r="D27" s="12" t="n">
        <v>13.5</v>
      </c>
      <c r="E27" s="13" t="n">
        <v>2025</v>
      </c>
      <c r="F27" s="7" t="str">
        <v>其他</v>
      </c>
      <c r="G27" s="7" t="str">
        <v>经典专业刊</v>
      </c>
      <c r="H27" s="7" t="str">
        <v>研究/方法/综合</v>
      </c>
      <c r="I27" s="10" t="n">
        <v>2025</v>
      </c>
      <c r="J27" s="2" t="str">
        <v>是</v>
      </c>
      <c r="K27" s="2" t="str">
        <v>1040-4651</v>
      </c>
      <c r="L27" s="2" t="str">
        <v>1532-298X</v>
      </c>
      <c r="M27" s="7" t="str">
        <v>BIOCHEMISTRY &amp; MOLECULAR BIOLOGY(SCIE);CELL BIOLOGY(SCIE);PLANT SCIENCES(SCIE)</v>
      </c>
      <c r="N27" s="7" t="str">
        <v>两份公开汇编一致</v>
      </c>
      <c r="O27" s="7" t="str"/>
      <c r="P27" s="15" t="str">
        <v>JIF来源</v>
      </c>
      <c r="Q27" s="15" t="str">
        <v>分区来源</v>
      </c>
      <c r="R27" s="15" t="str"/>
      <c r="S27" s="14" t="str">
        <v>http://www.plantcell.org/</v>
      </c>
      <c r="T27" s="7" t="str">
        <v>ISSN匹配公开元数据；未逐站复核</v>
      </c>
      <c r="U27" s="2" t="str">
        <v>官网来源</v>
      </c>
      <c r="V27" s="2" t="n">
        <v>2026</v>
      </c>
    </row>
    <row r="28" ht="34" customHeight="1">
      <c r="A28" s="7" t="str">
        <v>Plant Communications</v>
      </c>
      <c r="B28" s="7" t="str">
        <v>植物科学与分子育种</v>
      </c>
      <c r="C28" s="11" t="n">
        <v>1</v>
      </c>
      <c r="D28" s="12" t="n">
        <v>13.7</v>
      </c>
      <c r="E28" s="13" t="n">
        <v>2025</v>
      </c>
      <c r="F28" s="7" t="str">
        <v>Cell Press（含合作刊）</v>
      </c>
      <c r="G28" s="7" t="str">
        <v>领域期刊/新兴刊</v>
      </c>
      <c r="H28" s="7" t="str">
        <v>研究/方法/综合</v>
      </c>
      <c r="I28" s="10" t="n">
        <v>2025</v>
      </c>
      <c r="J28" s="2" t="str">
        <v>是</v>
      </c>
      <c r="K28" s="2" t="str">
        <v>2590-3462</v>
      </c>
      <c r="L28" s="2" t="str">
        <v>2590-3462</v>
      </c>
      <c r="M28" s="7" t="str">
        <v>BIOCHEMISTRY &amp; MOLECULAR BIOLOGY(SCIE);PLANT SCIENCES(SCIE)</v>
      </c>
      <c r="N28" s="7" t="str">
        <v>两份公开汇编一致</v>
      </c>
      <c r="O28" s="7" t="str"/>
      <c r="P28" s="15" t="str">
        <v>JIF来源</v>
      </c>
      <c r="Q28" s="15" t="str">
        <v>分区来源</v>
      </c>
      <c r="R28" s="15" t="str"/>
      <c r="S28" s="14" t="str">
        <v>https://www.cell.com/plant-communications/home</v>
      </c>
      <c r="T28" s="7" t="str">
        <v>ISSN匹配公开元数据；未逐站复核</v>
      </c>
      <c r="U28" s="2" t="str">
        <v>官网来源</v>
      </c>
      <c r="V28" s="2" t="n">
        <v>2026</v>
      </c>
    </row>
    <row r="29" ht="34" customHeight="1">
      <c r="A29" s="7" t="str">
        <v>PLANT BIOTECHNOLOGY JOURNAL</v>
      </c>
      <c r="B29" s="7" t="str">
        <v>植物科学与分子育种</v>
      </c>
      <c r="C29" s="11" t="n">
        <v>1</v>
      </c>
      <c r="D29" s="12" t="n">
        <v>12.8</v>
      </c>
      <c r="E29" s="13" t="n">
        <v>2025</v>
      </c>
      <c r="F29" s="7" t="str">
        <v>其他</v>
      </c>
      <c r="G29" s="7" t="str">
        <v>领域期刊/新兴刊</v>
      </c>
      <c r="H29" s="7" t="str">
        <v>研究/方法/综合</v>
      </c>
      <c r="I29" s="10" t="n">
        <v>2025</v>
      </c>
      <c r="J29" s="2" t="str">
        <v>是</v>
      </c>
      <c r="K29" s="2" t="str">
        <v>1467-7644</v>
      </c>
      <c r="L29" s="2" t="str">
        <v>1467-7652</v>
      </c>
      <c r="M29" s="7" t="str">
        <v>BIOTECHNOLOGY &amp; APPLIED MICROBIOLOGY(SCIE);PLANT SCIENCES(SCIE)</v>
      </c>
      <c r="N29" s="7" t="str">
        <v>两份公开汇编一致</v>
      </c>
      <c r="O29" s="7" t="str"/>
      <c r="P29" s="15" t="str">
        <v>JIF来源</v>
      </c>
      <c r="Q29" s="15" t="str">
        <v>分区来源</v>
      </c>
      <c r="R29" s="15" t="str"/>
      <c r="S29" s="14" t="str">
        <v>https://onlinelibrary.wiley.com/journal/14677652</v>
      </c>
      <c r="T29" s="7" t="str">
        <v>ISSN匹配公开元数据；未逐站复核</v>
      </c>
      <c r="U29" s="2" t="str">
        <v>官网来源</v>
      </c>
      <c r="V29" s="2" t="n">
        <v>2026</v>
      </c>
    </row>
    <row r="30" ht="34" customHeight="1">
      <c r="A30" s="7" t="str">
        <v>Journal of Integrative Plant Biology</v>
      </c>
      <c r="B30" s="7" t="str">
        <v>植物科学与分子育种</v>
      </c>
      <c r="C30" s="11" t="n">
        <v>1</v>
      </c>
      <c r="D30" s="12" t="n">
        <v>12.5</v>
      </c>
      <c r="E30" s="13" t="n">
        <v>2025</v>
      </c>
      <c r="F30" s="7" t="str">
        <v>其他</v>
      </c>
      <c r="G30" s="7" t="str">
        <v>领域期刊/新兴刊</v>
      </c>
      <c r="H30" s="7" t="str">
        <v>研究/方法/综合</v>
      </c>
      <c r="I30" s="10" t="n">
        <v>2025</v>
      </c>
      <c r="J30" s="2" t="str">
        <v>是</v>
      </c>
      <c r="K30" s="2" t="str">
        <v>1672-9072</v>
      </c>
      <c r="L30" s="2" t="str">
        <v>1744-7909</v>
      </c>
      <c r="M30" s="7" t="str">
        <v>BIOCHEMISTRY &amp; MOLECULAR BIOLOGY(SCIE);PLANT SCIENCES(SCIE)</v>
      </c>
      <c r="N30" s="7" t="str">
        <v>两份公开汇编一致</v>
      </c>
      <c r="O30" s="7" t="str"/>
      <c r="P30" s="15" t="str">
        <v>JIF来源</v>
      </c>
      <c r="Q30" s="15" t="str">
        <v>分区来源</v>
      </c>
      <c r="R30" s="15" t="str"/>
      <c r="S30" s="14" t="str">
        <v>https://onlinelibrary.wiley.com/journal/17447909</v>
      </c>
      <c r="T30" s="7" t="str">
        <v>ISSN匹配公开元数据；未逐站复核</v>
      </c>
      <c r="U30" s="2" t="str">
        <v>官网来源</v>
      </c>
      <c r="V30" s="2" t="n">
        <v>2026</v>
      </c>
    </row>
    <row r="31" ht="34" customHeight="1">
      <c r="A31" s="7" t="str">
        <v>Horticulture Research</v>
      </c>
      <c r="B31" s="7" t="str">
        <v>植物科学与分子育种</v>
      </c>
      <c r="C31" s="11" t="n">
        <v>1</v>
      </c>
      <c r="D31" s="12" t="n">
        <v>9.5</v>
      </c>
      <c r="E31" s="13" t="n">
        <v>2025</v>
      </c>
      <c r="F31" s="7" t="str">
        <v>其他</v>
      </c>
      <c r="G31" s="7" t="str">
        <v>领域期刊/新兴刊</v>
      </c>
      <c r="H31" s="7" t="str">
        <v>研究/方法/综合</v>
      </c>
      <c r="I31" s="10" t="n">
        <v>2025</v>
      </c>
      <c r="J31" s="2" t="str">
        <v>是</v>
      </c>
      <c r="K31" s="2" t="str">
        <v>2662-6810</v>
      </c>
      <c r="L31" s="2" t="str">
        <v>2052-7276</v>
      </c>
      <c r="M31" s="7" t="str">
        <v>GENETICS &amp; HEREDITY(SCIE);HORTICULTURE(SCIE);PLANT SCIENCES(SCIE)</v>
      </c>
      <c r="N31" s="7" t="str">
        <v>两份公开汇编一致</v>
      </c>
      <c r="O31" s="7" t="str"/>
      <c r="P31" s="15" t="str">
        <v>JIF来源</v>
      </c>
      <c r="Q31" s="15" t="str">
        <v>分区来源</v>
      </c>
      <c r="R31" s="15" t="str"/>
      <c r="S31" s="14" t="str">
        <v>https://www.nature.com/hortres/</v>
      </c>
      <c r="T31" s="7" t="str">
        <v>ISSN匹配公开元数据；未逐站复核</v>
      </c>
      <c r="U31" s="2" t="str">
        <v>官网来源</v>
      </c>
      <c r="V31" s="2" t="n">
        <v>2026</v>
      </c>
    </row>
    <row r="32" ht="34" customHeight="1">
      <c r="A32" s="7" t="str">
        <v>NEW PHYTOLOGIST</v>
      </c>
      <c r="B32" s="7" t="str">
        <v>植物科学与分子育种</v>
      </c>
      <c r="C32" s="11" t="n">
        <v>1</v>
      </c>
      <c r="D32" s="12" t="n">
        <v>8.7</v>
      </c>
      <c r="E32" s="13" t="n">
        <v>2025</v>
      </c>
      <c r="F32" s="7" t="str">
        <v>其他</v>
      </c>
      <c r="G32" s="7" t="str">
        <v>经典专业刊</v>
      </c>
      <c r="H32" s="7" t="str">
        <v>研究/方法/综合</v>
      </c>
      <c r="I32" s="10" t="n">
        <v>2025</v>
      </c>
      <c r="J32" s="2" t="str">
        <v>是</v>
      </c>
      <c r="K32" s="2" t="str">
        <v>0028-646X</v>
      </c>
      <c r="L32" s="2" t="str">
        <v>1469-8137</v>
      </c>
      <c r="M32" s="7" t="str">
        <v>PLANT SCIENCES(SCIE)</v>
      </c>
      <c r="N32" s="7" t="str">
        <v>两份公开汇编一致</v>
      </c>
      <c r="O32" s="7" t="str"/>
      <c r="P32" s="15" t="str">
        <v>JIF来源</v>
      </c>
      <c r="Q32" s="15" t="str">
        <v>分区来源</v>
      </c>
      <c r="R32" s="15" t="str"/>
      <c r="S32" s="14" t="str">
        <v>https://nph.onlinelibrary.wiley.com/journal/14698137</v>
      </c>
      <c r="T32" s="7" t="str">
        <v>ISSN匹配公开元数据；未逐站复核</v>
      </c>
      <c r="U32" s="2" t="str">
        <v>官网来源</v>
      </c>
      <c r="V32" s="2" t="n">
        <v>2026</v>
      </c>
    </row>
    <row r="33" ht="34" customHeight="1">
      <c r="A33" s="7" t="str">
        <v>PLANT PHYSIOLOGY</v>
      </c>
      <c r="B33" s="7" t="str">
        <v>植物科学与分子育种</v>
      </c>
      <c r="C33" s="11" t="n">
        <v>1</v>
      </c>
      <c r="D33" s="12" t="n">
        <v>8.2</v>
      </c>
      <c r="E33" s="13" t="n">
        <v>2025</v>
      </c>
      <c r="F33" s="7" t="str">
        <v>其他</v>
      </c>
      <c r="G33" s="7" t="str">
        <v>经典专业刊</v>
      </c>
      <c r="H33" s="7" t="str">
        <v>研究/方法/综合</v>
      </c>
      <c r="I33" s="10" t="n">
        <v>2025</v>
      </c>
      <c r="J33" s="2" t="str">
        <v>是</v>
      </c>
      <c r="K33" s="2" t="str">
        <v>0032-0889</v>
      </c>
      <c r="L33" s="2" t="str">
        <v>1532-2548</v>
      </c>
      <c r="M33" s="7" t="str">
        <v>PLANT SCIENCES(SCIE)</v>
      </c>
      <c r="N33" s="7" t="str">
        <v>两份公开汇编一致</v>
      </c>
      <c r="O33" s="7" t="str"/>
      <c r="P33" s="15" t="str">
        <v>JIF来源</v>
      </c>
      <c r="Q33" s="15" t="str">
        <v>分区来源</v>
      </c>
      <c r="R33" s="15" t="str"/>
      <c r="S33" s="14" t="str">
        <v>http://www.plantphysiol.org/</v>
      </c>
      <c r="T33" s="7" t="str">
        <v>ISSN匹配公开元数据；未逐站复核</v>
      </c>
      <c r="U33" s="2" t="str">
        <v>官网来源</v>
      </c>
      <c r="V33" s="2" t="n">
        <v>2026</v>
      </c>
    </row>
    <row r="34" ht="34" customHeight="1">
      <c r="A34" s="7" t="str">
        <v>Plant Phenomics</v>
      </c>
      <c r="B34" s="7" t="str">
        <v>植物科学与分子育种</v>
      </c>
      <c r="C34" s="11" t="n">
        <v>1</v>
      </c>
      <c r="D34" s="12" t="n">
        <v>8.2</v>
      </c>
      <c r="E34" s="13" t="n">
        <v>2025</v>
      </c>
      <c r="F34" s="7" t="str">
        <v>Science Partner Journals（合作刊）</v>
      </c>
      <c r="G34" s="7" t="str">
        <v>领域期刊/新兴刊</v>
      </c>
      <c r="H34" s="7" t="str">
        <v>研究/方法/综合</v>
      </c>
      <c r="I34" s="10" t="n">
        <v>2025</v>
      </c>
      <c r="J34" s="2" t="str">
        <v>是</v>
      </c>
      <c r="K34" s="2" t="str">
        <v>2643-6515</v>
      </c>
      <c r="L34" s="2" t="str">
        <v>2643-6515</v>
      </c>
      <c r="M34" s="7" t="str">
        <v>AGRONOMY(SCIE);PLANT SCIENCES(SCIE);REMOTE SENSING(SCIE)</v>
      </c>
      <c r="N34" s="7" t="str">
        <v>两份公开汇编一致</v>
      </c>
      <c r="O34" s="7" t="str"/>
      <c r="P34" s="15" t="str">
        <v>JIF来源</v>
      </c>
      <c r="Q34" s="15" t="str">
        <v>分区来源</v>
      </c>
      <c r="R34" s="15" t="str"/>
      <c r="S34" s="14" t="str">
        <v>https://spj.sciencemag.org/plantphenomics/</v>
      </c>
      <c r="T34" s="7" t="str">
        <v>ISSN匹配公开元数据；未逐站复核</v>
      </c>
      <c r="U34" s="2" t="str">
        <v>官网来源</v>
      </c>
      <c r="V34" s="2" t="n">
        <v>2026</v>
      </c>
    </row>
    <row r="35" ht="34" customHeight="1">
      <c r="A35" s="7" t="str">
        <v>PLANT CELL AND ENVIRONMENT</v>
      </c>
      <c r="B35" s="7" t="str">
        <v>植物科学与分子育种</v>
      </c>
      <c r="C35" s="11" t="n">
        <v>1</v>
      </c>
      <c r="D35" s="12" t="n">
        <v>6.9</v>
      </c>
      <c r="E35" s="13" t="n">
        <v>2025</v>
      </c>
      <c r="F35" s="7" t="str">
        <v>其他</v>
      </c>
      <c r="G35" s="7" t="str">
        <v>经典专业刊</v>
      </c>
      <c r="H35" s="7" t="str">
        <v>研究/方法/综合</v>
      </c>
      <c r="I35" s="10" t="n">
        <v>2025</v>
      </c>
      <c r="J35" s="2" t="str">
        <v>是</v>
      </c>
      <c r="K35" s="2" t="str">
        <v>0140-7791</v>
      </c>
      <c r="L35" s="2" t="str">
        <v>1365-3040</v>
      </c>
      <c r="M35" s="7" t="str">
        <v>PLANT SCIENCES(SCIE)</v>
      </c>
      <c r="N35" s="7" t="str">
        <v>两份公开汇编一致</v>
      </c>
      <c r="O35" s="7" t="str"/>
      <c r="P35" s="15" t="str">
        <v>JIF来源</v>
      </c>
      <c r="Q35" s="15" t="str">
        <v>分区来源</v>
      </c>
      <c r="R35" s="15" t="str"/>
      <c r="S35" s="14" t="str">
        <v>https://onlinelibrary.wiley.com/journal/13653040</v>
      </c>
      <c r="T35" s="7" t="str">
        <v>ISSN匹配公开元数据；未逐站复核</v>
      </c>
      <c r="U35" s="2" t="str">
        <v>官网来源</v>
      </c>
      <c r="V35" s="2" t="n">
        <v>2026</v>
      </c>
    </row>
    <row r="36" ht="34" customHeight="1">
      <c r="A36" s="7" t="str">
        <v>Plant Diversity</v>
      </c>
      <c r="B36" s="7" t="str">
        <v>植物科学与分子育种</v>
      </c>
      <c r="C36" s="11" t="n">
        <v>1</v>
      </c>
      <c r="D36" s="12" t="n">
        <v>5.9</v>
      </c>
      <c r="E36" s="13" t="n">
        <v>2025</v>
      </c>
      <c r="F36" s="7" t="str">
        <v>其他</v>
      </c>
      <c r="G36" s="7" t="str">
        <v>领域期刊/新兴刊</v>
      </c>
      <c r="H36" s="7" t="str">
        <v>研究/方法/综合</v>
      </c>
      <c r="I36" s="10" t="n">
        <v>2025</v>
      </c>
      <c r="J36" s="2" t="str">
        <v>是</v>
      </c>
      <c r="K36" s="2" t="str">
        <v>2096-2703</v>
      </c>
      <c r="L36" s="2" t="str">
        <v>2468-2659</v>
      </c>
      <c r="M36" s="7" t="str">
        <v>PLANT SCIENCES(SCIE)</v>
      </c>
      <c r="N36" s="7" t="str">
        <v>两份公开汇编一致</v>
      </c>
      <c r="O36" s="7" t="str"/>
      <c r="P36" s="15" t="str">
        <v>JIF来源</v>
      </c>
      <c r="Q36" s="15" t="str">
        <v>分区来源</v>
      </c>
      <c r="R36" s="15" t="str"/>
      <c r="S36" s="14" t="str">
        <v>https://www.sciencedirect.com/journal/plant-diversity</v>
      </c>
      <c r="T36" s="7" t="str">
        <v>出版社/期刊主页匹配</v>
      </c>
      <c r="U36" s="2" t="str">
        <v>官网来源</v>
      </c>
      <c r="V36" s="2" t="n">
        <v>2026</v>
      </c>
    </row>
    <row r="37" ht="34" customHeight="1">
      <c r="A37" s="7" t="str">
        <v>Horticultural Plant Journal</v>
      </c>
      <c r="B37" s="7" t="str">
        <v>植物科学与分子育种</v>
      </c>
      <c r="C37" s="11" t="n">
        <v>1</v>
      </c>
      <c r="D37" s="12" t="n">
        <v>7.1</v>
      </c>
      <c r="E37" s="13" t="n">
        <v>2025</v>
      </c>
      <c r="F37" s="7" t="str">
        <v>其他</v>
      </c>
      <c r="G37" s="7" t="str">
        <v>领域期刊/新兴刊</v>
      </c>
      <c r="H37" s="7" t="str">
        <v>研究/方法/综合</v>
      </c>
      <c r="I37" s="10" t="n">
        <v>2025</v>
      </c>
      <c r="J37" s="2" t="str">
        <v>是</v>
      </c>
      <c r="K37" s="2" t="str">
        <v>2095-9885</v>
      </c>
      <c r="L37" s="2" t="str">
        <v>2468-0141</v>
      </c>
      <c r="M37" s="7" t="str">
        <v>HORTICULTURE(SCIE);PLANT SCIENCES(SCIE)</v>
      </c>
      <c r="N37" s="7" t="str">
        <v>两份公开汇编一致</v>
      </c>
      <c r="O37" s="7" t="str"/>
      <c r="P37" s="15" t="str">
        <v>JIF来源</v>
      </c>
      <c r="Q37" s="15" t="str">
        <v>分区来源</v>
      </c>
      <c r="R37" s="15" t="str"/>
      <c r="S37" s="14" t="str">
        <v>https://www.journals.elsevier.com/horticultural-plant-journal</v>
      </c>
      <c r="T37" s="7" t="str">
        <v>ISSN匹配公开元数据；未逐站复核</v>
      </c>
      <c r="U37" s="2" t="str">
        <v>官网来源</v>
      </c>
      <c r="V37" s="2" t="n">
        <v>2026</v>
      </c>
    </row>
    <row r="38" ht="34" customHeight="1">
      <c r="A38" s="7" t="str">
        <v>PLANT JOURNAL</v>
      </c>
      <c r="B38" s="7" t="str">
        <v>植物科学与分子育种</v>
      </c>
      <c r="C38" s="11" t="n">
        <v>1</v>
      </c>
      <c r="D38" s="12" t="n">
        <v>6.2</v>
      </c>
      <c r="E38" s="13" t="n">
        <v>2025</v>
      </c>
      <c r="F38" s="7" t="str">
        <v>其他</v>
      </c>
      <c r="G38" s="7" t="str">
        <v>经典专业刊</v>
      </c>
      <c r="H38" s="7" t="str">
        <v>研究/方法/综合</v>
      </c>
      <c r="I38" s="10" t="n">
        <v>2025</v>
      </c>
      <c r="J38" s="2" t="str">
        <v>是</v>
      </c>
      <c r="K38" s="2" t="str">
        <v>0960-7412</v>
      </c>
      <c r="L38" s="2" t="str">
        <v>1365-313X</v>
      </c>
      <c r="M38" s="7" t="str">
        <v>PLANT SCIENCES(SCIE)</v>
      </c>
      <c r="N38" s="7" t="str">
        <v>两份公开汇编一致</v>
      </c>
      <c r="O38" s="7" t="str"/>
      <c r="P38" s="15" t="str">
        <v>JIF来源</v>
      </c>
      <c r="Q38" s="15" t="str">
        <v>分区来源</v>
      </c>
      <c r="R38" s="15" t="str"/>
      <c r="S38" s="14" t="str">
        <v>https://onlinelibrary.wiley.com/journal/1365313X</v>
      </c>
      <c r="T38" s="7" t="str">
        <v>ISSN匹配公开元数据；未逐站复核</v>
      </c>
      <c r="U38" s="2" t="str">
        <v>官网来源</v>
      </c>
      <c r="V38" s="2" t="n">
        <v>2026</v>
      </c>
    </row>
    <row r="39" ht="34" customHeight="1">
      <c r="A39" s="7" t="str">
        <v>JOURNAL OF EXPERIMENTAL BOTANY</v>
      </c>
      <c r="B39" s="7" t="str">
        <v>植物科学与分子育种</v>
      </c>
      <c r="C39" s="11" t="n">
        <v>2</v>
      </c>
      <c r="D39" s="12" t="n">
        <v>6.5</v>
      </c>
      <c r="E39" s="13" t="n">
        <v>2025</v>
      </c>
      <c r="F39" s="7" t="str">
        <v>其他</v>
      </c>
      <c r="G39" s="7" t="str">
        <v>经典专业刊</v>
      </c>
      <c r="H39" s="7" t="str">
        <v>研究/方法/综合</v>
      </c>
      <c r="I39" s="10" t="n">
        <v>2025</v>
      </c>
      <c r="J39" s="2" t="str">
        <v>是</v>
      </c>
      <c r="K39" s="2" t="str">
        <v>0022-0957</v>
      </c>
      <c r="L39" s="2" t="str">
        <v>1460-2431</v>
      </c>
      <c r="M39" s="7" t="str">
        <v>PLANT SCIENCES(SCIE)</v>
      </c>
      <c r="N39" s="7" t="str">
        <v>两份公开汇编一致</v>
      </c>
      <c r="O39" s="7" t="str"/>
      <c r="P39" s="15" t="str">
        <v>JIF来源</v>
      </c>
      <c r="Q39" s="15" t="str">
        <v>分区来源</v>
      </c>
      <c r="R39" s="15" t="str"/>
      <c r="S39" s="14" t="str">
        <v>http://jxb.oxfordjournals.org/</v>
      </c>
      <c r="T39" s="7" t="str">
        <v>ISSN匹配公开元数据；未逐站复核</v>
      </c>
      <c r="U39" s="2" t="str">
        <v>官网来源</v>
      </c>
      <c r="V39" s="2" t="n">
        <v>2026</v>
      </c>
    </row>
    <row r="40" ht="34" customHeight="1">
      <c r="A40" s="7" t="str">
        <v>PLANT PHYSIOLOGY AND BIOCHEMISTRY</v>
      </c>
      <c r="B40" s="7" t="str">
        <v>植物科学与分子育种</v>
      </c>
      <c r="C40" s="11" t="n">
        <v>2</v>
      </c>
      <c r="D40" s="12" t="n">
        <v>6.2</v>
      </c>
      <c r="E40" s="13" t="n">
        <v>2025</v>
      </c>
      <c r="F40" s="7" t="str">
        <v>其他</v>
      </c>
      <c r="G40" s="7" t="str">
        <v>领域期刊/新兴刊</v>
      </c>
      <c r="H40" s="7" t="str">
        <v>研究/方法/综合</v>
      </c>
      <c r="I40" s="10" t="n">
        <v>2025</v>
      </c>
      <c r="J40" s="2" t="str">
        <v>是</v>
      </c>
      <c r="K40" s="2" t="str">
        <v>0981-9428</v>
      </c>
      <c r="L40" s="2" t="str">
        <v>1873-2690</v>
      </c>
      <c r="M40" s="7" t="str">
        <v>PLANT SCIENCES(SCIE)</v>
      </c>
      <c r="N40" s="7" t="str">
        <v>两份公开汇编一致</v>
      </c>
      <c r="O40" s="7" t="str"/>
      <c r="P40" s="15" t="str">
        <v>JIF来源</v>
      </c>
      <c r="Q40" s="15" t="str">
        <v>分区来源</v>
      </c>
      <c r="R40" s="15" t="str"/>
      <c r="S40" s="14" t="str">
        <v>https://www.journals.elsevier.com/plant-physiology-and-biochemistry</v>
      </c>
      <c r="T40" s="7" t="str">
        <v>ISSN匹配公开元数据；未逐站复核</v>
      </c>
      <c r="U40" s="2" t="str">
        <v>官网来源</v>
      </c>
      <c r="V40" s="2" t="n">
        <v>2026</v>
      </c>
    </row>
    <row r="41" ht="34" customHeight="1">
      <c r="A41" s="7" t="str">
        <v>aBIOTECH</v>
      </c>
      <c r="B41" s="7" t="str">
        <v>植物科学与分子育种</v>
      </c>
      <c r="C41" s="11" t="n">
        <v>2</v>
      </c>
      <c r="D41" s="12" t="n">
        <v>8.5</v>
      </c>
      <c r="E41" s="13" t="n">
        <v>2025</v>
      </c>
      <c r="F41" s="7" t="str">
        <v>其他</v>
      </c>
      <c r="G41" s="7" t="str">
        <v>领域期刊/新兴刊</v>
      </c>
      <c r="H41" s="7" t="str">
        <v>研究/方法/综合</v>
      </c>
      <c r="I41" s="10" t="n">
        <v>2025</v>
      </c>
      <c r="J41" s="2" t="str">
        <v>否</v>
      </c>
      <c r="K41" s="2" t="str">
        <v>2096-6326</v>
      </c>
      <c r="L41" s="2" t="str">
        <v>2662-1738</v>
      </c>
      <c r="M41" s="7" t="str">
        <v>BIOTECHNOLOGY &amp; APPLIED MICROBIOLOGY(ESCI);PLANT SCIENCES(ESCI)</v>
      </c>
      <c r="N41" s="7" t="str">
        <v>两份公开汇编一致</v>
      </c>
      <c r="O41" s="7" t="str"/>
      <c r="P41" s="15" t="str">
        <v>JIF来源</v>
      </c>
      <c r="Q41" s="15" t="str">
        <v>分区来源</v>
      </c>
      <c r="R41" s="15" t="str"/>
      <c r="S41" s="14" t="str">
        <v>https://www.springer.com/journal/42994</v>
      </c>
      <c r="T41" s="7" t="str">
        <v>ISSN匹配公开元数据；未逐站复核</v>
      </c>
      <c r="U41" s="2" t="str">
        <v>官网来源</v>
      </c>
      <c r="V41" s="2" t="n">
        <v>2026</v>
      </c>
    </row>
    <row r="42" ht="34" customHeight="1">
      <c r="A42" s="7" t="str">
        <v>BMC PLANT BIOLOGY</v>
      </c>
      <c r="B42" s="7" t="str">
        <v>植物科学与分子育种</v>
      </c>
      <c r="C42" s="11" t="n">
        <v>2</v>
      </c>
      <c r="D42" s="12" t="n">
        <v>5.6</v>
      </c>
      <c r="E42" s="13" t="n">
        <v>2025</v>
      </c>
      <c r="F42" s="7" t="str">
        <v>其他</v>
      </c>
      <c r="G42" s="7" t="str">
        <v>领域期刊/新兴刊</v>
      </c>
      <c r="H42" s="7" t="str">
        <v>研究/方法/综合</v>
      </c>
      <c r="I42" s="10" t="n">
        <v>2025</v>
      </c>
      <c r="J42" s="2" t="str">
        <v>是</v>
      </c>
      <c r="K42" s="2" t="str">
        <v>1471-2229</v>
      </c>
      <c r="L42" s="2" t="str">
        <v>1471-2229</v>
      </c>
      <c r="M42" s="7" t="str">
        <v>PLANT SCIENCES(SCIE)</v>
      </c>
      <c r="N42" s="7" t="str">
        <v>两份公开汇编一致</v>
      </c>
      <c r="O42" s="7" t="str"/>
      <c r="P42" s="15" t="str">
        <v>JIF来源</v>
      </c>
      <c r="Q42" s="15" t="str">
        <v>分区来源</v>
      </c>
      <c r="R42" s="15" t="str"/>
      <c r="S42" s="14" t="str">
        <v>https://link.springer.com/journal/12870</v>
      </c>
      <c r="T42" s="7" t="str">
        <v>ISSN匹配公开元数据；未逐站复核</v>
      </c>
      <c r="U42" s="2" t="str">
        <v>官网来源</v>
      </c>
      <c r="V42" s="2" t="n">
        <v>2026</v>
      </c>
    </row>
    <row r="43" ht="34" customHeight="1">
      <c r="A43" s="7" t="str">
        <v>Frontiers in Plant Science</v>
      </c>
      <c r="B43" s="7" t="str">
        <v>植物科学与分子育种</v>
      </c>
      <c r="C43" s="11" t="n">
        <v>2</v>
      </c>
      <c r="D43" s="12" t="n">
        <v>5.9</v>
      </c>
      <c r="E43" s="13" t="n">
        <v>2025</v>
      </c>
      <c r="F43" s="7" t="str">
        <v>其他</v>
      </c>
      <c r="G43" s="7" t="str">
        <v>领域期刊/新兴刊</v>
      </c>
      <c r="H43" s="7" t="str">
        <v>研究/方法/综合</v>
      </c>
      <c r="I43" s="10" t="n">
        <v>2025</v>
      </c>
      <c r="J43" s="2" t="str">
        <v>否</v>
      </c>
      <c r="K43" s="2" t="str">
        <v>1664-462X</v>
      </c>
      <c r="L43" s="2" t="str">
        <v>1664-462X</v>
      </c>
      <c r="M43" s="7" t="str">
        <v>PLANT SCIENCES(SCIE)</v>
      </c>
      <c r="N43" s="7" t="str">
        <v>两份公开汇编一致</v>
      </c>
      <c r="O43" s="7" t="str"/>
      <c r="P43" s="15" t="str">
        <v>JIF来源</v>
      </c>
      <c r="Q43" s="15" t="str">
        <v>分区来源</v>
      </c>
      <c r="R43" s="15" t="str"/>
      <c r="S43" s="14" t="str">
        <v>http://journal.frontiersin.org/journal/plant-science</v>
      </c>
      <c r="T43" s="7" t="str">
        <v>ISSN匹配公开元数据；未逐站复核</v>
      </c>
      <c r="U43" s="2" t="str">
        <v>官网来源</v>
      </c>
      <c r="V43" s="2" t="n">
        <v>2026</v>
      </c>
    </row>
    <row r="44" ht="34" customHeight="1">
      <c r="A44" s="7" t="str">
        <v>ENVIRONMENTAL AND EXPERIMENTAL BOTANY</v>
      </c>
      <c r="B44" s="7" t="str">
        <v>植物科学与分子育种</v>
      </c>
      <c r="C44" s="11" t="n">
        <v>2</v>
      </c>
      <c r="D44" s="12" t="n">
        <v>5.1</v>
      </c>
      <c r="E44" s="13" t="n">
        <v>2025</v>
      </c>
      <c r="F44" s="7" t="str">
        <v>其他</v>
      </c>
      <c r="G44" s="7" t="str">
        <v>领域期刊/新兴刊</v>
      </c>
      <c r="H44" s="7" t="str">
        <v>研究/方法/综合</v>
      </c>
      <c r="I44" s="10" t="n">
        <v>2025</v>
      </c>
      <c r="J44" s="2" t="str">
        <v>否</v>
      </c>
      <c r="K44" s="2" t="str">
        <v>0098-8472</v>
      </c>
      <c r="L44" s="2" t="str">
        <v>1873-7307</v>
      </c>
      <c r="M44" s="7" t="str">
        <v>ENVIRONMENTAL SCIENCES(SCIE);PLANT SCIENCES(SCIE)</v>
      </c>
      <c r="N44" s="7" t="str">
        <v>两份公开汇编一致</v>
      </c>
      <c r="O44" s="7" t="str"/>
      <c r="P44" s="15" t="str">
        <v>JIF来源</v>
      </c>
      <c r="Q44" s="15" t="str">
        <v>分区来源</v>
      </c>
      <c r="R44" s="15" t="str"/>
      <c r="S44" s="14" t="str">
        <v>https://www.journals.elsevier.com/environmental-and-experimental-botany</v>
      </c>
      <c r="T44" s="7" t="str">
        <v>ISSN匹配公开元数据；未逐站复核</v>
      </c>
      <c r="U44" s="2" t="str">
        <v>官网来源</v>
      </c>
      <c r="V44" s="2" t="n">
        <v>2026</v>
      </c>
    </row>
    <row r="45" ht="34" customHeight="1">
      <c r="A45" s="7" t="str">
        <v>PLANT CELL REPORTS</v>
      </c>
      <c r="B45" s="7" t="str">
        <v>植物科学与分子育种</v>
      </c>
      <c r="C45" s="11" t="n">
        <v>2</v>
      </c>
      <c r="D45" s="12" t="n">
        <v>5.3</v>
      </c>
      <c r="E45" s="13" t="n">
        <v>2025</v>
      </c>
      <c r="F45" s="7" t="str">
        <v>其他</v>
      </c>
      <c r="G45" s="7" t="str">
        <v>领域期刊/新兴刊</v>
      </c>
      <c r="H45" s="7" t="str">
        <v>研究/方法/综合</v>
      </c>
      <c r="I45" s="10" t="n">
        <v>2025</v>
      </c>
      <c r="J45" s="2" t="str">
        <v>否</v>
      </c>
      <c r="K45" s="2" t="str">
        <v>0721-7714</v>
      </c>
      <c r="L45" s="2" t="str">
        <v>1432-203X</v>
      </c>
      <c r="M45" s="7" t="str">
        <v>PLANT SCIENCES(SCIE)</v>
      </c>
      <c r="N45" s="7" t="str">
        <v>两份公开汇编一致</v>
      </c>
      <c r="O45" s="7" t="str"/>
      <c r="P45" s="15" t="str">
        <v>JIF来源</v>
      </c>
      <c r="Q45" s="15" t="str">
        <v>分区来源</v>
      </c>
      <c r="R45" s="15" t="str"/>
      <c r="S45" s="14" t="str">
        <v>http://www.springer.com/life+sciences/cell+biology/journal/299</v>
      </c>
      <c r="T45" s="7" t="str">
        <v>ISSN匹配公开元数据；未逐站复核</v>
      </c>
      <c r="U45" s="2" t="str">
        <v>官网来源</v>
      </c>
      <c r="V45" s="2" t="n">
        <v>2026</v>
      </c>
    </row>
    <row r="46" ht="34" customHeight="1">
      <c r="A46" s="7" t="str">
        <v>Plant Methods</v>
      </c>
      <c r="B46" s="7" t="str">
        <v>植物科学与分子育种</v>
      </c>
      <c r="C46" s="11" t="n">
        <v>2</v>
      </c>
      <c r="D46" s="12" t="n">
        <v>5.2</v>
      </c>
      <c r="E46" s="13" t="n">
        <v>2025</v>
      </c>
      <c r="F46" s="7" t="str">
        <v>其他</v>
      </c>
      <c r="G46" s="7" t="str">
        <v>领域期刊/新兴刊</v>
      </c>
      <c r="H46" s="7" t="str">
        <v>研究/方法/综合</v>
      </c>
      <c r="I46" s="10" t="n">
        <v>2025</v>
      </c>
      <c r="J46" s="2" t="str">
        <v>否</v>
      </c>
      <c r="K46" s="2" t="str"/>
      <c r="L46" s="2" t="str">
        <v>1746-4811</v>
      </c>
      <c r="M46" s="7" t="str">
        <v>BIOCHEMICAL RESEARCH METHODS(SCIE);PLANT SCIENCES(SCIE)</v>
      </c>
      <c r="N46" s="7" t="str">
        <v>两份公开汇编一致</v>
      </c>
      <c r="O46" s="7" t="str"/>
      <c r="P46" s="15" t="str">
        <v>JIF来源</v>
      </c>
      <c r="Q46" s="15" t="str">
        <v>分区来源</v>
      </c>
      <c r="R46" s="15" t="str"/>
      <c r="S46" s="14" t="str">
        <v>https://plantmethods.biomedcentral.com/</v>
      </c>
      <c r="T46" s="7" t="str">
        <v>ISSN匹配公开元数据；未逐站复核</v>
      </c>
      <c r="U46" s="2" t="str">
        <v>官网来源</v>
      </c>
      <c r="V46" s="2" t="n">
        <v>2026</v>
      </c>
    </row>
    <row r="47" ht="34" customHeight="1">
      <c r="A47" s="7" t="str">
        <v>JOURNAL OF PLANT PHYSIOLOGY</v>
      </c>
      <c r="B47" s="7" t="str">
        <v>植物科学与分子育种</v>
      </c>
      <c r="C47" s="11" t="n">
        <v>2</v>
      </c>
      <c r="D47" s="12" t="n">
        <v>4.8</v>
      </c>
      <c r="E47" s="13" t="n">
        <v>2025</v>
      </c>
      <c r="F47" s="7" t="str">
        <v>其他</v>
      </c>
      <c r="G47" s="7" t="str">
        <v>领域期刊/新兴刊</v>
      </c>
      <c r="H47" s="7" t="str">
        <v>研究/方法/综合</v>
      </c>
      <c r="I47" s="10" t="n">
        <v>2025</v>
      </c>
      <c r="J47" s="2" t="str">
        <v>否</v>
      </c>
      <c r="K47" s="2" t="str">
        <v>0176-1617</v>
      </c>
      <c r="L47" s="2" t="str">
        <v>1618-1328</v>
      </c>
      <c r="M47" s="7" t="str">
        <v>PLANT SCIENCES(SCIE)</v>
      </c>
      <c r="N47" s="7" t="str">
        <v>两份公开汇编一致</v>
      </c>
      <c r="O47" s="7" t="str"/>
      <c r="P47" s="15" t="str">
        <v>JIF来源</v>
      </c>
      <c r="Q47" s="15" t="str">
        <v>分区来源</v>
      </c>
      <c r="R47" s="15" t="str"/>
      <c r="S47" s="14" t="str">
        <v>https://www.journals.elsevier.com/journal-of-plant-physiology</v>
      </c>
      <c r="T47" s="7" t="str">
        <v>ISSN匹配公开元数据；未逐站复核</v>
      </c>
      <c r="U47" s="2" t="str">
        <v>官网来源</v>
      </c>
      <c r="V47" s="2" t="n">
        <v>2026</v>
      </c>
    </row>
    <row r="48" ht="34" customHeight="1">
      <c r="A48" s="7" t="str">
        <v>PLANT SCIENCE</v>
      </c>
      <c r="B48" s="7" t="str">
        <v>植物科学与分子育种</v>
      </c>
      <c r="C48" s="11" t="n">
        <v>2</v>
      </c>
      <c r="D48" s="12" t="n">
        <v>4.6</v>
      </c>
      <c r="E48" s="13" t="n">
        <v>2025</v>
      </c>
      <c r="F48" s="7" t="str">
        <v>其他</v>
      </c>
      <c r="G48" s="7" t="str">
        <v>经典专业刊</v>
      </c>
      <c r="H48" s="7" t="str">
        <v>研究/方法/综合</v>
      </c>
      <c r="I48" s="10" t="n">
        <v>2025</v>
      </c>
      <c r="J48" s="2" t="str">
        <v>否</v>
      </c>
      <c r="K48" s="2" t="str">
        <v>0168-9452</v>
      </c>
      <c r="L48" s="2" t="str">
        <v>1873-2259</v>
      </c>
      <c r="M48" s="7" t="str">
        <v>BIOCHEMISTRY &amp; MOLECULAR BIOLOGY(SCIE);PLANT SCIENCES(SCIE)</v>
      </c>
      <c r="N48" s="7" t="str">
        <v>两份公开汇编一致</v>
      </c>
      <c r="O48" s="7" t="str"/>
      <c r="P48" s="15" t="str">
        <v>JIF来源</v>
      </c>
      <c r="Q48" s="15" t="str">
        <v>分区来源</v>
      </c>
      <c r="R48" s="15" t="str"/>
      <c r="S48" s="14" t="str">
        <v>https://www.journals.elsevier.com/plant-science</v>
      </c>
      <c r="T48" s="7" t="str">
        <v>ISSN匹配公开元数据；未逐站复核</v>
      </c>
      <c r="U48" s="2" t="str">
        <v>官网来源</v>
      </c>
      <c r="V48" s="2" t="n">
        <v>2026</v>
      </c>
    </row>
    <row r="49" ht="34" customHeight="1">
      <c r="A49" s="7" t="str">
        <v>Plants-Basel</v>
      </c>
      <c r="B49" s="7" t="str">
        <v>植物科学与分子育种</v>
      </c>
      <c r="C49" s="11" t="n">
        <v>2</v>
      </c>
      <c r="D49" s="12" t="n">
        <v>4.7</v>
      </c>
      <c r="E49" s="13" t="n">
        <v>2025</v>
      </c>
      <c r="F49" s="7" t="str">
        <v>其他</v>
      </c>
      <c r="G49" s="7" t="str">
        <v>领域期刊/新兴刊</v>
      </c>
      <c r="H49" s="7" t="str">
        <v>研究/方法/综合</v>
      </c>
      <c r="I49" s="10" t="n">
        <v>2025</v>
      </c>
      <c r="J49" s="2" t="str">
        <v>否</v>
      </c>
      <c r="K49" s="2" t="str">
        <v>2223-7747</v>
      </c>
      <c r="L49" s="2" t="str">
        <v>2223-7747</v>
      </c>
      <c r="M49" s="7" t="str">
        <v>PLANT SCIENCES(SCIE)</v>
      </c>
      <c r="N49" s="7" t="str">
        <v>两份公开汇编一致</v>
      </c>
      <c r="O49" s="7" t="str"/>
      <c r="P49" s="15" t="str">
        <v>JIF来源</v>
      </c>
      <c r="Q49" s="15" t="str">
        <v>分区来源</v>
      </c>
      <c r="R49" s="15" t="str"/>
      <c r="S49" s="14" t="str">
        <v>http://www.mdpi.com/journal/plants</v>
      </c>
      <c r="T49" s="7" t="str">
        <v>ISSN匹配公开元数据；未逐站复核</v>
      </c>
      <c r="U49" s="2" t="str">
        <v>官网来源</v>
      </c>
      <c r="V49" s="2" t="n">
        <v>2026</v>
      </c>
    </row>
    <row r="50" ht="34" customHeight="1">
      <c r="A50" s="7" t="str">
        <v>PLANT AND CELL PHYSIOLOGY</v>
      </c>
      <c r="B50" s="7" t="str">
        <v>植物科学与分子育种</v>
      </c>
      <c r="C50" s="11" t="n">
        <v>2</v>
      </c>
      <c r="D50" s="12" t="n">
        <v>4.7</v>
      </c>
      <c r="E50" s="13" t="n">
        <v>2025</v>
      </c>
      <c r="F50" s="7" t="str">
        <v>其他</v>
      </c>
      <c r="G50" s="7" t="str">
        <v>经典专业刊</v>
      </c>
      <c r="H50" s="7" t="str">
        <v>研究/方法/综合</v>
      </c>
      <c r="I50" s="10" t="n">
        <v>2025</v>
      </c>
      <c r="J50" s="2" t="str">
        <v>否</v>
      </c>
      <c r="K50" s="2" t="str">
        <v>0032-0781</v>
      </c>
      <c r="L50" s="2" t="str">
        <v>1471-9053</v>
      </c>
      <c r="M50" s="7" t="str">
        <v>CELL BIOLOGY(SCIE);PLANT SCIENCES(SCIE)</v>
      </c>
      <c r="N50" s="7" t="str">
        <v>两份公开汇编一致</v>
      </c>
      <c r="O50" s="7" t="str"/>
      <c r="P50" s="15" t="str">
        <v>JIF来源</v>
      </c>
      <c r="Q50" s="15" t="str">
        <v>分区来源</v>
      </c>
      <c r="R50" s="15" t="str"/>
      <c r="S50" s="14" t="str">
        <v>http://pcp.oxfordjournals.org</v>
      </c>
      <c r="T50" s="7" t="str">
        <v>ISSN匹配公开元数据；未逐站复核</v>
      </c>
      <c r="U50" s="2" t="str">
        <v>官网来源</v>
      </c>
      <c r="V50" s="2" t="n">
        <v>2026</v>
      </c>
    </row>
    <row r="51" ht="34" customHeight="1">
      <c r="A51" s="7" t="str">
        <v>ANNALS OF BOTANY</v>
      </c>
      <c r="B51" s="7" t="str">
        <v>植物科学与分子育种</v>
      </c>
      <c r="C51" s="11" t="n">
        <v>2</v>
      </c>
      <c r="D51" s="12" t="n">
        <v>4.1</v>
      </c>
      <c r="E51" s="13" t="n">
        <v>2025</v>
      </c>
      <c r="F51" s="7" t="str">
        <v>其他</v>
      </c>
      <c r="G51" s="7" t="str">
        <v>经典专业刊</v>
      </c>
      <c r="H51" s="7" t="str">
        <v>研究/方法/综合</v>
      </c>
      <c r="I51" s="10" t="n">
        <v>2025</v>
      </c>
      <c r="J51" s="2" t="str">
        <v>是</v>
      </c>
      <c r="K51" s="2" t="str">
        <v>0305-7364</v>
      </c>
      <c r="L51" s="2" t="str">
        <v>1095-8290</v>
      </c>
      <c r="M51" s="7" t="str">
        <v>PLANT SCIENCES(SCIE)</v>
      </c>
      <c r="N51" s="7" t="str">
        <v>两份公开汇编一致</v>
      </c>
      <c r="O51" s="7" t="str"/>
      <c r="P51" s="15" t="str">
        <v>JIF来源</v>
      </c>
      <c r="Q51" s="15" t="str">
        <v>分区来源</v>
      </c>
      <c r="R51" s="15" t="str"/>
      <c r="S51" s="14" t="str">
        <v>http://aob.oxfordjournals.org/</v>
      </c>
      <c r="T51" s="7" t="str">
        <v>ISSN匹配公开元数据；未逐站复核</v>
      </c>
      <c r="U51" s="2" t="str">
        <v>官网来源</v>
      </c>
      <c r="V51" s="2" t="n">
        <v>2026</v>
      </c>
    </row>
    <row r="52" ht="34" customHeight="1">
      <c r="A52" s="7" t="str">
        <v>PHYSIOLOGIA PLANTARUM</v>
      </c>
      <c r="B52" s="7" t="str">
        <v>植物科学与分子育种</v>
      </c>
      <c r="C52" s="11" t="n">
        <v>2</v>
      </c>
      <c r="D52" s="12" t="n">
        <v>4</v>
      </c>
      <c r="E52" s="13" t="n">
        <v>2025</v>
      </c>
      <c r="F52" s="7" t="str">
        <v>其他</v>
      </c>
      <c r="G52" s="7" t="str">
        <v>经典专业刊</v>
      </c>
      <c r="H52" s="7" t="str">
        <v>研究/方法/综合</v>
      </c>
      <c r="I52" s="10" t="n">
        <v>2025</v>
      </c>
      <c r="J52" s="2" t="str">
        <v>否</v>
      </c>
      <c r="K52" s="2" t="str">
        <v>0031-9317</v>
      </c>
      <c r="L52" s="2" t="str">
        <v>1399-3054</v>
      </c>
      <c r="M52" s="7" t="str">
        <v>PLANT SCIENCES(SCIE)</v>
      </c>
      <c r="N52" s="7" t="str">
        <v>两份公开汇编一致</v>
      </c>
      <c r="O52" s="7" t="str"/>
      <c r="P52" s="15" t="str">
        <v>JIF来源</v>
      </c>
      <c r="Q52" s="15" t="str">
        <v>分区来源</v>
      </c>
      <c r="R52" s="15" t="str"/>
      <c r="S52" s="14" t="str">
        <v>http://onlinelibrary.wiley.com/journal/10.1111/(ISSN)1399-3054</v>
      </c>
      <c r="T52" s="7" t="str">
        <v>ISSN匹配公开元数据；未逐站复核</v>
      </c>
      <c r="U52" s="2" t="str">
        <v>官网来源</v>
      </c>
      <c r="V52" s="2" t="n">
        <v>2026</v>
      </c>
    </row>
    <row r="53" ht="34" customHeight="1">
      <c r="A53" s="7" t="str">
        <v>PLANT BIOLOGY</v>
      </c>
      <c r="B53" s="7" t="str">
        <v>植物科学与分子育种</v>
      </c>
      <c r="C53" s="11" t="n">
        <v>2</v>
      </c>
      <c r="D53" s="12" t="n">
        <v>3.4</v>
      </c>
      <c r="E53" s="13" t="n">
        <v>2025</v>
      </c>
      <c r="F53" s="7" t="str">
        <v>其他</v>
      </c>
      <c r="G53" s="7" t="str">
        <v>领域期刊/新兴刊</v>
      </c>
      <c r="H53" s="7" t="str">
        <v>研究/方法/综合</v>
      </c>
      <c r="I53" s="10" t="n">
        <v>2025</v>
      </c>
      <c r="J53" s="2" t="str">
        <v>否</v>
      </c>
      <c r="K53" s="2" t="str">
        <v>1435-8603</v>
      </c>
      <c r="L53" s="2" t="str">
        <v>1438-8677</v>
      </c>
      <c r="M53" s="7" t="str">
        <v>PLANT SCIENCES(SCIE)</v>
      </c>
      <c r="N53" s="7" t="str">
        <v>两份公开汇编一致</v>
      </c>
      <c r="O53" s="7" t="str"/>
      <c r="P53" s="15" t="str">
        <v>JIF来源</v>
      </c>
      <c r="Q53" s="15" t="str">
        <v>分区来源</v>
      </c>
      <c r="R53" s="15" t="str"/>
      <c r="S53" s="14" t="str">
        <v>https://onlinelibrary.wiley.com/journal/14388677</v>
      </c>
      <c r="T53" s="7" t="str">
        <v>ISSN匹配公开元数据；未逐站复核</v>
      </c>
      <c r="U53" s="2" t="str">
        <v>官网来源</v>
      </c>
      <c r="V53" s="2" t="n">
        <v>2026</v>
      </c>
    </row>
    <row r="54" ht="34" customHeight="1">
      <c r="A54" s="7" t="str">
        <v>Botanical Studies</v>
      </c>
      <c r="B54" s="7" t="str">
        <v>植物科学与分子育种</v>
      </c>
      <c r="C54" s="11" t="n">
        <v>2</v>
      </c>
      <c r="D54" s="12" t="n">
        <v>3.3</v>
      </c>
      <c r="E54" s="13" t="n">
        <v>2025</v>
      </c>
      <c r="F54" s="7" t="str">
        <v>其他</v>
      </c>
      <c r="G54" s="7" t="str">
        <v>领域期刊/新兴刊</v>
      </c>
      <c r="H54" s="7" t="str">
        <v>研究/方法/综合</v>
      </c>
      <c r="I54" s="10" t="n">
        <v>2025</v>
      </c>
      <c r="J54" s="2" t="str">
        <v>否</v>
      </c>
      <c r="K54" s="2" t="str"/>
      <c r="L54" s="2" t="str">
        <v>1999-3110</v>
      </c>
      <c r="M54" s="7" t="str">
        <v>PLANT SCIENCES(SCIE)</v>
      </c>
      <c r="N54" s="7" t="str">
        <v>两份公开汇编一致</v>
      </c>
      <c r="O54" s="7" t="str"/>
      <c r="P54" s="15" t="str">
        <v>JIF来源</v>
      </c>
      <c r="Q54" s="15" t="str">
        <v>分区来源</v>
      </c>
      <c r="R54" s="15" t="str"/>
      <c r="S54" s="14" t="str">
        <v>https://as-botanicalstudies.springeropen.com/</v>
      </c>
      <c r="T54" s="7" t="str">
        <v>ISSN匹配公开元数据；未逐站复核</v>
      </c>
      <c r="U54" s="2" t="str">
        <v>官网来源</v>
      </c>
      <c r="V54" s="2" t="n">
        <v>2026</v>
      </c>
    </row>
    <row r="55" ht="34" customHeight="1">
      <c r="A55" s="7" t="str">
        <v>BOTANICAL REVIEW</v>
      </c>
      <c r="B55" s="7" t="str">
        <v>植物科学与分子育种</v>
      </c>
      <c r="C55" s="11" t="n">
        <v>2</v>
      </c>
      <c r="D55" s="12" t="n">
        <v>5.4</v>
      </c>
      <c r="E55" s="13" t="n">
        <v>2025</v>
      </c>
      <c r="F55" s="7" t="str">
        <v>其他</v>
      </c>
      <c r="G55" s="7" t="str">
        <v>领域期刊/新兴刊</v>
      </c>
      <c r="H55" s="7" t="str">
        <v>综述为主</v>
      </c>
      <c r="I55" s="10" t="n">
        <v>2025</v>
      </c>
      <c r="J55" s="2" t="str">
        <v>否</v>
      </c>
      <c r="K55" s="2" t="str">
        <v>0006-8101</v>
      </c>
      <c r="L55" s="2" t="str">
        <v>1874-9372</v>
      </c>
      <c r="M55" s="7" t="str">
        <v>PLANT SCIENCES(SCIE)</v>
      </c>
      <c r="N55" s="7" t="str">
        <v>两份公开汇编一致</v>
      </c>
      <c r="O55" s="7" t="str"/>
      <c r="P55" s="15" t="str">
        <v>JIF来源</v>
      </c>
      <c r="Q55" s="15" t="str">
        <v>分区来源</v>
      </c>
      <c r="R55" s="15" t="str"/>
      <c r="S55" s="14" t="str">
        <v>https://www.springer.com/journal/12229</v>
      </c>
      <c r="T55" s="7" t="str">
        <v>ISSN匹配公开元数据；未逐站复核</v>
      </c>
      <c r="U55" s="2" t="str">
        <v>官网来源</v>
      </c>
      <c r="V55" s="2" t="n">
        <v>2026</v>
      </c>
    </row>
    <row r="56" ht="34" customHeight="1">
      <c r="A56" s="7" t="str">
        <v>Journal of Systematics and Evolution</v>
      </c>
      <c r="B56" s="7" t="str">
        <v>植物科学与分子育种</v>
      </c>
      <c r="C56" s="11" t="n">
        <v>2</v>
      </c>
      <c r="D56" s="12" t="n">
        <v>3.2</v>
      </c>
      <c r="E56" s="13" t="n">
        <v>2025</v>
      </c>
      <c r="F56" s="7" t="str">
        <v>其他</v>
      </c>
      <c r="G56" s="7" t="str">
        <v>领域期刊/新兴刊</v>
      </c>
      <c r="H56" s="7" t="str">
        <v>研究/方法/综合</v>
      </c>
      <c r="I56" s="10" t="n">
        <v>2025</v>
      </c>
      <c r="J56" s="2" t="str">
        <v>否</v>
      </c>
      <c r="K56" s="2" t="str">
        <v>1674-4918</v>
      </c>
      <c r="L56" s="2" t="str">
        <v>1759-6831</v>
      </c>
      <c r="M56" s="7" t="str">
        <v>PLANT SCIENCES(SCIE)</v>
      </c>
      <c r="N56" s="7" t="str">
        <v>两份公开汇编一致</v>
      </c>
      <c r="O56" s="7" t="str"/>
      <c r="P56" s="15" t="str">
        <v>JIF来源</v>
      </c>
      <c r="Q56" s="15" t="str">
        <v>分区来源</v>
      </c>
      <c r="R56" s="15" t="str"/>
      <c r="S56" s="14" t="str">
        <v>https://onlinelibrary.wiley.com/journal/17596831</v>
      </c>
      <c r="T56" s="7" t="str">
        <v>ISSN匹配公开元数据；未逐站复核</v>
      </c>
      <c r="U56" s="2" t="str">
        <v>官网来源</v>
      </c>
      <c r="V56" s="2" t="n">
        <v>2026</v>
      </c>
    </row>
    <row r="57" ht="34" customHeight="1">
      <c r="A57" s="7" t="str">
        <v>AMERICAN JOURNAL OF BOTANY</v>
      </c>
      <c r="B57" s="7" t="str">
        <v>植物科学与分子育种</v>
      </c>
      <c r="C57" s="11" t="n">
        <v>2</v>
      </c>
      <c r="D57" s="12" t="n">
        <v>2.8</v>
      </c>
      <c r="E57" s="13" t="n">
        <v>2025</v>
      </c>
      <c r="F57" s="7" t="str">
        <v>其他</v>
      </c>
      <c r="G57" s="7" t="str">
        <v>经典专业刊</v>
      </c>
      <c r="H57" s="7" t="str">
        <v>研究/方法/综合</v>
      </c>
      <c r="I57" s="10" t="n">
        <v>2025</v>
      </c>
      <c r="J57" s="2" t="str">
        <v>否</v>
      </c>
      <c r="K57" s="2" t="str">
        <v>0002-9122</v>
      </c>
      <c r="L57" s="2" t="str">
        <v>1537-2197</v>
      </c>
      <c r="M57" s="7" t="str">
        <v>PLANT SCIENCES(SCIE)</v>
      </c>
      <c r="N57" s="7" t="str">
        <v>两份公开汇编一致</v>
      </c>
      <c r="O57" s="7" t="str"/>
      <c r="P57" s="15" t="str">
        <v>JIF来源</v>
      </c>
      <c r="Q57" s="15" t="str">
        <v>分区来源</v>
      </c>
      <c r="R57" s="15" t="str"/>
      <c r="S57" s="14" t="str">
        <v>https://bsapubs.onlinelibrary.wiley.com/journal/15372197</v>
      </c>
      <c r="T57" s="7" t="str">
        <v>ISSN匹配公开元数据；未逐站复核</v>
      </c>
      <c r="U57" s="2" t="str">
        <v>官网来源</v>
      </c>
      <c r="V57" s="2" t="n">
        <v>2026</v>
      </c>
    </row>
    <row r="58" ht="34" customHeight="1">
      <c r="A58" s="7" t="str">
        <v>BOTANICAL JOURNAL OF THE LINNEAN SOCIETY</v>
      </c>
      <c r="B58" s="7" t="str">
        <v>植物科学与分子育种</v>
      </c>
      <c r="C58" s="11" t="n">
        <v>2</v>
      </c>
      <c r="D58" s="12" t="n">
        <v>2.1</v>
      </c>
      <c r="E58" s="13" t="n">
        <v>2025</v>
      </c>
      <c r="F58" s="7" t="str">
        <v>其他</v>
      </c>
      <c r="G58" s="7" t="str">
        <v>领域期刊/新兴刊</v>
      </c>
      <c r="H58" s="7" t="str">
        <v>研究/方法/综合</v>
      </c>
      <c r="I58" s="10" t="n">
        <v>2025</v>
      </c>
      <c r="J58" s="2" t="str">
        <v>否</v>
      </c>
      <c r="K58" s="2" t="str">
        <v>0024-4074</v>
      </c>
      <c r="L58" s="2" t="str">
        <v>1095-8339</v>
      </c>
      <c r="M58" s="7" t="str">
        <v>PLANT SCIENCES(SCIE)</v>
      </c>
      <c r="N58" s="7" t="str">
        <v>公开汇编已匹配</v>
      </c>
      <c r="O58" s="7" t="str"/>
      <c r="P58" s="15" t="str">
        <v>JIF来源</v>
      </c>
      <c r="Q58" s="15" t="str">
        <v>分区来源</v>
      </c>
      <c r="R58" s="15" t="str"/>
      <c r="S58" s="14" t="str">
        <v>https://academic.oup.com/botlinnean</v>
      </c>
      <c r="T58" s="7" t="str">
        <v>ISSN匹配公开元数据；未逐站复核</v>
      </c>
      <c r="U58" s="2" t="str">
        <v>官网来源</v>
      </c>
      <c r="V58" s="2" t="n">
        <v>2026</v>
      </c>
    </row>
    <row r="59" ht="34" customHeight="1">
      <c r="A59" s="7" t="str">
        <v>TAXON</v>
      </c>
      <c r="B59" s="7" t="str">
        <v>植物科学与分子育种</v>
      </c>
      <c r="C59" s="11" t="n">
        <v>2</v>
      </c>
      <c r="D59" s="12" t="n">
        <v>1.9</v>
      </c>
      <c r="E59" s="13" t="n">
        <v>2025</v>
      </c>
      <c r="F59" s="7" t="str">
        <v>其他</v>
      </c>
      <c r="G59" s="7" t="str">
        <v>领域期刊/新兴刊</v>
      </c>
      <c r="H59" s="7" t="str">
        <v>研究/方法/综合</v>
      </c>
      <c r="I59" s="10" t="n">
        <v>2025</v>
      </c>
      <c r="J59" s="2" t="str">
        <v>否</v>
      </c>
      <c r="K59" s="2" t="str">
        <v>0040-0262</v>
      </c>
      <c r="L59" s="2" t="str">
        <v>1996-8175</v>
      </c>
      <c r="M59" s="7" t="str">
        <v>EVOLUTIONARY BIOLOGY(SCIE);PLANT SCIENCES(SCIE)</v>
      </c>
      <c r="N59" s="7" t="str">
        <v>公开汇编已匹配</v>
      </c>
      <c r="O59" s="7" t="str"/>
      <c r="P59" s="15" t="str">
        <v>JIF来源</v>
      </c>
      <c r="Q59" s="15" t="str">
        <v>分区来源</v>
      </c>
      <c r="R59" s="15" t="str"/>
      <c r="S59" s="14" t="str">
        <v>https://onlinelibrary.wiley.com/journal/19968175</v>
      </c>
      <c r="T59" s="7" t="str">
        <v>ISSN匹配公开元数据；未逐站复核</v>
      </c>
      <c r="U59" s="2" t="str">
        <v>官网来源</v>
      </c>
      <c r="V59" s="2" t="n">
        <v>2026</v>
      </c>
    </row>
    <row r="60" ht="34" customHeight="1">
      <c r="A60" s="7" t="str">
        <v>Current Plant Biology</v>
      </c>
      <c r="B60" s="7" t="str">
        <v>植物科学与分子育种</v>
      </c>
      <c r="C60" s="11" t="n">
        <v>3</v>
      </c>
      <c r="D60" s="12" t="n">
        <v>5.1</v>
      </c>
      <c r="E60" s="13" t="n">
        <v>2025</v>
      </c>
      <c r="F60" s="7" t="str">
        <v>其他</v>
      </c>
      <c r="G60" s="7" t="str">
        <v>领域期刊/新兴刊</v>
      </c>
      <c r="H60" s="7" t="str">
        <v>研究/方法/综合</v>
      </c>
      <c r="I60" s="10" t="n">
        <v>2025</v>
      </c>
      <c r="J60" s="2" t="str">
        <v>否</v>
      </c>
      <c r="K60" s="2" t="str"/>
      <c r="L60" s="2" t="str">
        <v>2214-6628</v>
      </c>
      <c r="M60" s="7" t="str">
        <v>PLANT SCIENCES(ESCI)</v>
      </c>
      <c r="N60" s="7" t="str">
        <v>两份公开汇编一致</v>
      </c>
      <c r="O60" s="7" t="str"/>
      <c r="P60" s="15" t="str">
        <v>JIF来源</v>
      </c>
      <c r="Q60" s="15" t="str">
        <v>分区来源</v>
      </c>
      <c r="R60" s="15" t="str"/>
      <c r="S60" s="14" t="str">
        <v>https://www.journals.elsevier.com/current-plant-biology</v>
      </c>
      <c r="T60" s="7" t="str">
        <v>ISSN匹配公开元数据；未逐站复核</v>
      </c>
      <c r="U60" s="2" t="str">
        <v>官网来源</v>
      </c>
      <c r="V60" s="2" t="n">
        <v>2026</v>
      </c>
    </row>
    <row r="61" ht="34" customHeight="1">
      <c r="A61" s="7" t="str">
        <v>PLANT GROWTH REGULATION</v>
      </c>
      <c r="B61" s="7" t="str">
        <v>植物科学与分子育种</v>
      </c>
      <c r="C61" s="11" t="n">
        <v>3</v>
      </c>
      <c r="D61" s="12" t="n">
        <v>4</v>
      </c>
      <c r="E61" s="13" t="n">
        <v>2025</v>
      </c>
      <c r="F61" s="7" t="str">
        <v>其他</v>
      </c>
      <c r="G61" s="7" t="str">
        <v>领域期刊/新兴刊</v>
      </c>
      <c r="H61" s="7" t="str">
        <v>研究/方法/综合</v>
      </c>
      <c r="I61" s="10" t="n">
        <v>2025</v>
      </c>
      <c r="J61" s="2" t="str">
        <v>否</v>
      </c>
      <c r="K61" s="2" t="str">
        <v>0167-6903</v>
      </c>
      <c r="L61" s="2" t="str">
        <v>1573-5087</v>
      </c>
      <c r="M61" s="7" t="str">
        <v>PLANT SCIENCES(SCIE)</v>
      </c>
      <c r="N61" s="7" t="str">
        <v>两份公开汇编一致</v>
      </c>
      <c r="O61" s="7" t="str"/>
      <c r="P61" s="15" t="str">
        <v>JIF来源</v>
      </c>
      <c r="Q61" s="15" t="str">
        <v>分区来源</v>
      </c>
      <c r="R61" s="15" t="str"/>
      <c r="S61" s="14" t="str">
        <v>https://link.springer.com/journal/10725</v>
      </c>
      <c r="T61" s="7" t="str">
        <v>ISSN匹配公开元数据；未逐站复核</v>
      </c>
      <c r="U61" s="2" t="str">
        <v>官网来源</v>
      </c>
      <c r="V61" s="2" t="n">
        <v>2026</v>
      </c>
    </row>
    <row r="62" ht="34" customHeight="1">
      <c r="A62" s="7" t="str">
        <v>PLANT MOLECULAR BIOLOGY</v>
      </c>
      <c r="B62" s="7" t="str">
        <v>植物科学与分子育种</v>
      </c>
      <c r="C62" s="11" t="n">
        <v>3</v>
      </c>
      <c r="D62" s="12" t="n">
        <v>3.7</v>
      </c>
      <c r="E62" s="13" t="n">
        <v>2025</v>
      </c>
      <c r="F62" s="7" t="str">
        <v>其他</v>
      </c>
      <c r="G62" s="7" t="str">
        <v>经典专业刊</v>
      </c>
      <c r="H62" s="7" t="str">
        <v>研究/方法/综合</v>
      </c>
      <c r="I62" s="10" t="n">
        <v>2025</v>
      </c>
      <c r="J62" s="2" t="str">
        <v>否</v>
      </c>
      <c r="K62" s="2" t="str">
        <v>0167-4412</v>
      </c>
      <c r="L62" s="2" t="str">
        <v>1573-5028</v>
      </c>
      <c r="M62" s="7" t="str">
        <v>BIOCHEMISTRY &amp; MOLECULAR BIOLOGY(SCIE);PLANT SCIENCES(SCIE)</v>
      </c>
      <c r="N62" s="7" t="str">
        <v>两份公开汇编一致</v>
      </c>
      <c r="O62" s="7" t="str"/>
      <c r="P62" s="15" t="str">
        <v>JIF来源</v>
      </c>
      <c r="Q62" s="15" t="str">
        <v>分区来源</v>
      </c>
      <c r="R62" s="15" t="str"/>
      <c r="S62" s="14" t="str">
        <v>https://www.springer.com/journal/11103</v>
      </c>
      <c r="T62" s="7" t="str">
        <v>ISSN匹配公开元数据；未逐站复核</v>
      </c>
      <c r="U62" s="2" t="str">
        <v>官网来源</v>
      </c>
      <c r="V62" s="2" t="n">
        <v>2026</v>
      </c>
    </row>
    <row r="63" ht="34" customHeight="1">
      <c r="A63" s="7" t="str">
        <v>PLANTA</v>
      </c>
      <c r="B63" s="7" t="str">
        <v>植物科学与分子育种</v>
      </c>
      <c r="C63" s="11" t="n">
        <v>3</v>
      </c>
      <c r="D63" s="12" t="n">
        <v>4.4</v>
      </c>
      <c r="E63" s="13" t="n">
        <v>2025</v>
      </c>
      <c r="F63" s="7" t="str">
        <v>其他</v>
      </c>
      <c r="G63" s="7" t="str">
        <v>经典专业刊</v>
      </c>
      <c r="H63" s="7" t="str">
        <v>研究/方法/综合</v>
      </c>
      <c r="I63" s="10" t="n">
        <v>2025</v>
      </c>
      <c r="J63" s="2" t="str">
        <v>否</v>
      </c>
      <c r="K63" s="2" t="str">
        <v>0032-0935</v>
      </c>
      <c r="L63" s="2" t="str">
        <v>1432-2048</v>
      </c>
      <c r="M63" s="7" t="str">
        <v>PLANT SCIENCES(SCIE)</v>
      </c>
      <c r="N63" s="7" t="str">
        <v>两份公开汇编一致</v>
      </c>
      <c r="O63" s="7" t="str"/>
      <c r="P63" s="15" t="str">
        <v>JIF来源</v>
      </c>
      <c r="Q63" s="15" t="str">
        <v>分区来源</v>
      </c>
      <c r="R63" s="15" t="str"/>
      <c r="S63" s="14" t="str">
        <v>http://www.springer.com/life+sciences/plant+sciences/journal/425</v>
      </c>
      <c r="T63" s="7" t="str">
        <v>ISSN匹配公开元数据；未逐站复核</v>
      </c>
      <c r="U63" s="2" t="str">
        <v>官网来源</v>
      </c>
      <c r="V63" s="2" t="n">
        <v>2026</v>
      </c>
    </row>
    <row r="64" ht="34" customHeight="1">
      <c r="A64" s="7" t="str">
        <v>PHOTOSYNTHESIS RESEARCH</v>
      </c>
      <c r="B64" s="7" t="str">
        <v>植物科学与分子育种</v>
      </c>
      <c r="C64" s="11" t="n">
        <v>3</v>
      </c>
      <c r="D64" s="12" t="n">
        <v>3.8</v>
      </c>
      <c r="E64" s="13" t="n">
        <v>2025</v>
      </c>
      <c r="F64" s="7" t="str">
        <v>其他</v>
      </c>
      <c r="G64" s="7" t="str">
        <v>领域期刊/新兴刊</v>
      </c>
      <c r="H64" s="7" t="str">
        <v>研究/方法/综合</v>
      </c>
      <c r="I64" s="10" t="n">
        <v>2025</v>
      </c>
      <c r="J64" s="2" t="str">
        <v>否</v>
      </c>
      <c r="K64" s="2" t="str">
        <v>0166-8595</v>
      </c>
      <c r="L64" s="2" t="str">
        <v>1573-5079</v>
      </c>
      <c r="M64" s="7" t="str">
        <v>PLANT SCIENCES(SCIE)</v>
      </c>
      <c r="N64" s="7" t="str">
        <v>两份公开汇编一致</v>
      </c>
      <c r="O64" s="7" t="str"/>
      <c r="P64" s="15" t="str">
        <v>JIF来源</v>
      </c>
      <c r="Q64" s="15" t="str">
        <v>分区来源</v>
      </c>
      <c r="R64" s="15" t="str"/>
      <c r="S64" s="14" t="str">
        <v>https://www.springer.com/journal/11120</v>
      </c>
      <c r="T64" s="7" t="str">
        <v>ISSN匹配公开元数据；未逐站复核</v>
      </c>
      <c r="U64" s="2" t="str">
        <v>官网来源</v>
      </c>
      <c r="V64" s="2" t="n">
        <v>2026</v>
      </c>
    </row>
    <row r="65" ht="34" customHeight="1">
      <c r="A65" s="7" t="str">
        <v>SOUTH AFRICAN JOURNAL OF BOTANY</v>
      </c>
      <c r="B65" s="7" t="str">
        <v>植物科学与分子育种</v>
      </c>
      <c r="C65" s="11" t="n">
        <v>3</v>
      </c>
      <c r="D65" s="12" t="n">
        <v>3.1</v>
      </c>
      <c r="E65" s="13" t="n">
        <v>2025</v>
      </c>
      <c r="F65" s="7" t="str">
        <v>其他</v>
      </c>
      <c r="G65" s="7" t="str">
        <v>领域期刊/新兴刊</v>
      </c>
      <c r="H65" s="7" t="str">
        <v>研究/方法/综合</v>
      </c>
      <c r="I65" s="10" t="n">
        <v>2025</v>
      </c>
      <c r="J65" s="2" t="str">
        <v>否</v>
      </c>
      <c r="K65" s="2" t="str">
        <v>0254-6299</v>
      </c>
      <c r="L65" s="2" t="str">
        <v>1727-9321</v>
      </c>
      <c r="M65" s="7" t="str">
        <v>PLANT SCIENCES(SCIE)</v>
      </c>
      <c r="N65" s="7" t="str">
        <v>两份公开汇编一致</v>
      </c>
      <c r="O65" s="7" t="str"/>
      <c r="P65" s="15" t="str">
        <v>JIF来源</v>
      </c>
      <c r="Q65" s="15" t="str">
        <v>分区来源</v>
      </c>
      <c r="R65" s="15" t="str"/>
      <c r="S65" s="14" t="str">
        <v>https://www.journals.elsevier.com/south-african-journal-of-botany</v>
      </c>
      <c r="T65" s="7" t="str">
        <v>ISSN匹配公开元数据；未逐站复核</v>
      </c>
      <c r="U65" s="2" t="str">
        <v>官网来源</v>
      </c>
      <c r="V65" s="2" t="n">
        <v>2026</v>
      </c>
    </row>
    <row r="66" ht="34" customHeight="1">
      <c r="A66" s="7" t="str">
        <v>PROTOPLASMA</v>
      </c>
      <c r="B66" s="7" t="str">
        <v>植物科学与分子育种</v>
      </c>
      <c r="C66" s="11" t="n">
        <v>3</v>
      </c>
      <c r="D66" s="12" t="n">
        <v>2.7</v>
      </c>
      <c r="E66" s="13" t="n">
        <v>2025</v>
      </c>
      <c r="F66" s="7" t="str">
        <v>其他</v>
      </c>
      <c r="G66" s="7" t="str">
        <v>领域期刊/新兴刊</v>
      </c>
      <c r="H66" s="7" t="str">
        <v>研究/方法/综合</v>
      </c>
      <c r="I66" s="10" t="n">
        <v>2025</v>
      </c>
      <c r="J66" s="2" t="str">
        <v>否</v>
      </c>
      <c r="K66" s="2" t="str">
        <v>0033-183X</v>
      </c>
      <c r="L66" s="2" t="str">
        <v>1615-6102</v>
      </c>
      <c r="M66" s="7" t="str">
        <v>CELL BIOLOGY(SCIE);PLANT SCIENCES(SCIE)</v>
      </c>
      <c r="N66" s="7" t="str">
        <v>公开汇编已匹配</v>
      </c>
      <c r="O66" s="7" t="str"/>
      <c r="P66" s="15" t="str">
        <v>JIF来源</v>
      </c>
      <c r="Q66" s="15" t="str">
        <v>分区来源</v>
      </c>
      <c r="R66" s="15" t="str"/>
      <c r="S66" s="14" t="str">
        <v>https://link.springer.com/journal/709</v>
      </c>
      <c r="T66" s="7" t="str">
        <v>ISSN匹配公开元数据；未逐站复核</v>
      </c>
      <c r="U66" s="2" t="str">
        <v>官网来源</v>
      </c>
      <c r="V66" s="2" t="n">
        <v>2026</v>
      </c>
    </row>
    <row r="67" ht="34" customHeight="1">
      <c r="A67" s="7" t="str">
        <v>AoB Plants</v>
      </c>
      <c r="B67" s="7" t="str">
        <v>植物科学与分子育种</v>
      </c>
      <c r="C67" s="11" t="n">
        <v>3</v>
      </c>
      <c r="D67" s="12" t="n">
        <v>3.1</v>
      </c>
      <c r="E67" s="13" t="n">
        <v>2025</v>
      </c>
      <c r="F67" s="7" t="str">
        <v>其他</v>
      </c>
      <c r="G67" s="7" t="str">
        <v>领域期刊/新兴刊</v>
      </c>
      <c r="H67" s="7" t="str">
        <v>研究/方法/综合</v>
      </c>
      <c r="I67" s="10" t="n">
        <v>2025</v>
      </c>
      <c r="J67" s="2" t="str">
        <v>否</v>
      </c>
      <c r="K67" s="2" t="str">
        <v>2041-2851</v>
      </c>
      <c r="L67" s="2" t="str">
        <v>2041-2851</v>
      </c>
      <c r="M67" s="7" t="str">
        <v>ECOLOGY(SCIE);PLANT SCIENCES(SCIE)</v>
      </c>
      <c r="N67" s="7" t="str">
        <v>两份公开汇编一致</v>
      </c>
      <c r="O67" s="7" t="str"/>
      <c r="P67" s="15" t="str">
        <v>JIF来源</v>
      </c>
      <c r="Q67" s="15" t="str">
        <v>分区来源</v>
      </c>
      <c r="R67" s="15" t="str"/>
      <c r="S67" s="14" t="str">
        <v>https://academic.oup.com/aobpla</v>
      </c>
      <c r="T67" s="7" t="str">
        <v>ISSN匹配公开元数据；未逐站复核</v>
      </c>
      <c r="U67" s="2" t="str">
        <v>官网来源</v>
      </c>
      <c r="V67" s="2" t="n">
        <v>2026</v>
      </c>
    </row>
    <row r="68" ht="34" customHeight="1">
      <c r="A68" s="7" t="str">
        <v>JOURNAL OF PLANT RESEARCH</v>
      </c>
      <c r="B68" s="7" t="str">
        <v>植物科学与分子育种</v>
      </c>
      <c r="C68" s="11" t="n">
        <v>3</v>
      </c>
      <c r="D68" s="12" t="n">
        <v>2.2</v>
      </c>
      <c r="E68" s="13" t="n">
        <v>2025</v>
      </c>
      <c r="F68" s="7" t="str">
        <v>其他</v>
      </c>
      <c r="G68" s="7" t="str">
        <v>领域期刊/新兴刊</v>
      </c>
      <c r="H68" s="7" t="str">
        <v>研究/方法/综合</v>
      </c>
      <c r="I68" s="10" t="n">
        <v>2025</v>
      </c>
      <c r="J68" s="2" t="str">
        <v>否</v>
      </c>
      <c r="K68" s="2" t="str">
        <v>0918-9440</v>
      </c>
      <c r="L68" s="2" t="str">
        <v>1618-0860</v>
      </c>
      <c r="M68" s="7" t="str">
        <v>PLANT SCIENCES(SCIE)</v>
      </c>
      <c r="N68" s="7" t="str">
        <v>两份公开汇编一致</v>
      </c>
      <c r="O68" s="7" t="str"/>
      <c r="P68" s="15" t="str">
        <v>JIF来源</v>
      </c>
      <c r="Q68" s="15" t="str">
        <v>分区来源</v>
      </c>
      <c r="R68" s="15" t="str"/>
      <c r="S68" s="14" t="str">
        <v>https://link.springer.com/journal/10265</v>
      </c>
      <c r="T68" s="7" t="str">
        <v>ISSN匹配公开元数据；未逐站复核</v>
      </c>
      <c r="U68" s="2" t="str">
        <v>官网来源</v>
      </c>
      <c r="V68" s="2" t="n">
        <v>2026</v>
      </c>
    </row>
    <row r="69" ht="34" customHeight="1">
      <c r="A69" s="7" t="str">
        <v>Plant Direct</v>
      </c>
      <c r="B69" s="7" t="str">
        <v>植物科学与分子育种</v>
      </c>
      <c r="C69" s="11" t="n">
        <v>3</v>
      </c>
      <c r="D69" s="12" t="n">
        <v>2.8</v>
      </c>
      <c r="E69" s="13" t="n">
        <v>2025</v>
      </c>
      <c r="F69" s="7" t="str">
        <v>其他</v>
      </c>
      <c r="G69" s="7" t="str">
        <v>领域期刊/新兴刊</v>
      </c>
      <c r="H69" s="7" t="str">
        <v>研究/方法/综合</v>
      </c>
      <c r="I69" s="10" t="n">
        <v>2025</v>
      </c>
      <c r="J69" s="2" t="str">
        <v>否</v>
      </c>
      <c r="K69" s="2" t="str"/>
      <c r="L69" s="2" t="str">
        <v>2475-4455</v>
      </c>
      <c r="M69" s="7" t="str">
        <v>PLANT SCIENCES(SCIE)</v>
      </c>
      <c r="N69" s="7" t="str">
        <v>两份公开汇编一致</v>
      </c>
      <c r="O69" s="7" t="str"/>
      <c r="P69" s="15" t="str">
        <v>JIF来源</v>
      </c>
      <c r="Q69" s="15" t="str">
        <v>分区来源</v>
      </c>
      <c r="R69" s="15" t="str"/>
      <c r="S69" s="14" t="str">
        <v>https://onlinelibrary.wiley.com/journal/24754455</v>
      </c>
      <c r="T69" s="7" t="str">
        <v>ISSN匹配公开元数据；未逐站复核</v>
      </c>
      <c r="U69" s="2" t="str">
        <v>官网来源</v>
      </c>
      <c r="V69" s="2" t="n">
        <v>2026</v>
      </c>
    </row>
    <row r="70" ht="34" customHeight="1">
      <c r="A70" s="7" t="str">
        <v>TREES-STRUCTURE AND FUNCTION</v>
      </c>
      <c r="B70" s="7" t="str">
        <v>植物科学与分子育种</v>
      </c>
      <c r="C70" s="11" t="n">
        <v>3</v>
      </c>
      <c r="D70" s="12" t="n">
        <v>2.3</v>
      </c>
      <c r="E70" s="13" t="n">
        <v>2025</v>
      </c>
      <c r="F70" s="7" t="str">
        <v>其他</v>
      </c>
      <c r="G70" s="7" t="str">
        <v>领域期刊/新兴刊</v>
      </c>
      <c r="H70" s="7" t="str">
        <v>研究/方法/综合</v>
      </c>
      <c r="I70" s="10" t="n">
        <v>2025</v>
      </c>
      <c r="J70" s="2" t="str">
        <v>否</v>
      </c>
      <c r="K70" s="2" t="str">
        <v>0931-1890</v>
      </c>
      <c r="L70" s="2" t="str">
        <v>1432-2285</v>
      </c>
      <c r="M70" s="7" t="str">
        <v>FORESTRY(SCIE)</v>
      </c>
      <c r="N70" s="7" t="str">
        <v>两份公开汇编一致</v>
      </c>
      <c r="O70" s="7" t="str"/>
      <c r="P70" s="15" t="str">
        <v>JIF来源</v>
      </c>
      <c r="Q70" s="15" t="str">
        <v>分区来源</v>
      </c>
      <c r="R70" s="15" t="str"/>
      <c r="S70" s="14" t="str">
        <v>https://www.springer.com/journal/468</v>
      </c>
      <c r="T70" s="7" t="str">
        <v>ISSN匹配公开元数据；未逐站复核</v>
      </c>
      <c r="U70" s="2" t="str">
        <v>官网来源</v>
      </c>
      <c r="V70" s="2" t="n">
        <v>2026</v>
      </c>
    </row>
    <row r="71" ht="34" customHeight="1">
      <c r="A71" s="7" t="str">
        <v>IN VITRO CELLULAR &amp; DEVELOPMENTAL BIOLOGY-PLANT</v>
      </c>
      <c r="B71" s="7" t="str">
        <v>植物科学与分子育种</v>
      </c>
      <c r="C71" s="11" t="n">
        <v>3</v>
      </c>
      <c r="D71" s="12" t="n">
        <v>2.2</v>
      </c>
      <c r="E71" s="13" t="n">
        <v>2025</v>
      </c>
      <c r="F71" s="7" t="str">
        <v>其他</v>
      </c>
      <c r="G71" s="7" t="str">
        <v>领域期刊/新兴刊</v>
      </c>
      <c r="H71" s="7" t="str">
        <v>研究/方法/综合</v>
      </c>
      <c r="I71" s="10" t="n">
        <v>2025</v>
      </c>
      <c r="J71" s="2" t="str">
        <v>否</v>
      </c>
      <c r="K71" s="2" t="str">
        <v>1054-5476</v>
      </c>
      <c r="L71" s="2" t="str">
        <v>1475-2689</v>
      </c>
      <c r="M71" s="7" t="str">
        <v>CELL BIOLOGY(SCIE);DEVELOPMENTAL BIOLOGY(SCIE);PLANT SCIENCES(SCIE)</v>
      </c>
      <c r="N71" s="7" t="str">
        <v>公开汇编已匹配</v>
      </c>
      <c r="O71" s="7" t="str"/>
      <c r="P71" s="15" t="str">
        <v>JIF来源</v>
      </c>
      <c r="Q71" s="15" t="str">
        <v>分区来源</v>
      </c>
      <c r="R71" s="15" t="str"/>
      <c r="S71" s="14" t="str">
        <v>http://www.springer.com/journal/11627/</v>
      </c>
      <c r="T71" s="7" t="str">
        <v>ISSN匹配公开元数据；未逐站复核</v>
      </c>
      <c r="U71" s="2" t="str">
        <v>官网来源</v>
      </c>
      <c r="V71" s="2" t="n">
        <v>2026</v>
      </c>
    </row>
    <row r="72" ht="34" customHeight="1">
      <c r="A72" s="7" t="str">
        <v>PLANT SYSTEMATICS AND EVOLUTION</v>
      </c>
      <c r="B72" s="7" t="str">
        <v>植物科学与分子育种</v>
      </c>
      <c r="C72" s="11" t="n">
        <v>3</v>
      </c>
      <c r="D72" s="12" t="n">
        <v>1.7</v>
      </c>
      <c r="E72" s="13" t="n">
        <v>2025</v>
      </c>
      <c r="F72" s="7" t="str">
        <v>其他</v>
      </c>
      <c r="G72" s="7" t="str">
        <v>领域期刊/新兴刊</v>
      </c>
      <c r="H72" s="7" t="str">
        <v>研究/方法/综合</v>
      </c>
      <c r="I72" s="10" t="n">
        <v>2025</v>
      </c>
      <c r="J72" s="2" t="str">
        <v>否</v>
      </c>
      <c r="K72" s="2" t="str">
        <v>0378-2697</v>
      </c>
      <c r="L72" s="2" t="str">
        <v>1615-6110</v>
      </c>
      <c r="M72" s="7" t="str">
        <v>EVOLUTIONARY BIOLOGY(SCIE);PLANT SCIENCES(SCIE)</v>
      </c>
      <c r="N72" s="7" t="str">
        <v>公开汇编已匹配</v>
      </c>
      <c r="O72" s="7" t="str"/>
      <c r="P72" s="15" t="str">
        <v>JIF来源</v>
      </c>
      <c r="Q72" s="15" t="str">
        <v>分区来源</v>
      </c>
      <c r="R72" s="15" t="str"/>
      <c r="S72" s="14" t="str">
        <v>https://link.springer.com/journal/606</v>
      </c>
      <c r="T72" s="7" t="str">
        <v>ISSN匹配公开元数据；未逐站复核</v>
      </c>
      <c r="U72" s="2" t="str">
        <v>官网来源</v>
      </c>
      <c r="V72" s="2" t="n">
        <v>2026</v>
      </c>
    </row>
    <row r="73" ht="34" customHeight="1">
      <c r="A73" s="7" t="str">
        <v>Plant Signaling &amp; Behavior</v>
      </c>
      <c r="B73" s="7" t="str">
        <v>植物科学与分子育种</v>
      </c>
      <c r="C73" s="11" t="n">
        <v>4</v>
      </c>
      <c r="D73" s="12" t="n">
        <v>4.1</v>
      </c>
      <c r="E73" s="13" t="n">
        <v>2025</v>
      </c>
      <c r="F73" s="7" t="str">
        <v>其他</v>
      </c>
      <c r="G73" s="7" t="str">
        <v>领域期刊/新兴刊</v>
      </c>
      <c r="H73" s="7" t="str">
        <v>研究/方法/综合</v>
      </c>
      <c r="I73" s="10" t="n">
        <v>2025</v>
      </c>
      <c r="J73" s="2" t="str">
        <v>否</v>
      </c>
      <c r="K73" s="2" t="str">
        <v>1559-2316</v>
      </c>
      <c r="L73" s="2" t="str">
        <v>1559-2324</v>
      </c>
      <c r="M73" s="7" t="str">
        <v>BIOCHEMISTRY &amp; MOLECULAR BIOLOGY(SCIE);PLANT SCIENCES(SCIE)</v>
      </c>
      <c r="N73" s="7" t="str">
        <v>两份公开汇编一致</v>
      </c>
      <c r="O73" s="7" t="str"/>
      <c r="P73" s="15" t="str">
        <v>JIF来源</v>
      </c>
      <c r="Q73" s="15" t="str">
        <v>分区来源</v>
      </c>
      <c r="R73" s="15" t="str"/>
      <c r="S73" s="14" t="str">
        <v>https://www.tandfonline.com/journals/kpsb20</v>
      </c>
      <c r="T73" s="7" t="str">
        <v>出版社/期刊主页匹配</v>
      </c>
      <c r="U73" s="2" t="str">
        <v>官网来源</v>
      </c>
      <c r="V73" s="2" t="n">
        <v>2026</v>
      </c>
    </row>
    <row r="74" ht="34" customHeight="1">
      <c r="A74" s="7" t="str">
        <v>FUNCTIONAL PLANT BIOLOGY</v>
      </c>
      <c r="B74" s="7" t="str">
        <v>植物科学与分子育种</v>
      </c>
      <c r="C74" s="11" t="n">
        <v>4</v>
      </c>
      <c r="D74" s="12" t="n">
        <v>2.9</v>
      </c>
      <c r="E74" s="13" t="n">
        <v>2025</v>
      </c>
      <c r="F74" s="7" t="str">
        <v>其他</v>
      </c>
      <c r="G74" s="7" t="str">
        <v>领域期刊/新兴刊</v>
      </c>
      <c r="H74" s="7" t="str">
        <v>研究/方法/综合</v>
      </c>
      <c r="I74" s="10" t="n">
        <v>2025</v>
      </c>
      <c r="J74" s="2" t="str">
        <v>否</v>
      </c>
      <c r="K74" s="2" t="str">
        <v>1445-4408</v>
      </c>
      <c r="L74" s="2" t="str">
        <v>1445-4416</v>
      </c>
      <c r="M74" s="7" t="str">
        <v>PLANT SCIENCES(SCIE)</v>
      </c>
      <c r="N74" s="7" t="str">
        <v>两份公开汇编一致</v>
      </c>
      <c r="O74" s="7" t="str"/>
      <c r="P74" s="15" t="str">
        <v>JIF来源</v>
      </c>
      <c r="Q74" s="15" t="str">
        <v>分区来源</v>
      </c>
      <c r="R74" s="15" t="str"/>
      <c r="S74" s="14" t="str">
        <v>http://www.publish.csiro.au/fp</v>
      </c>
      <c r="T74" s="7" t="str">
        <v>ISSN匹配公开元数据；未逐站复核</v>
      </c>
      <c r="U74" s="2" t="str">
        <v>官网来源</v>
      </c>
      <c r="V74" s="2" t="n">
        <v>2026</v>
      </c>
    </row>
    <row r="75" ht="34" customHeight="1">
      <c r="A75" s="7" t="str">
        <v>ACTA PHYSIOLOGIAE PLANTARUM</v>
      </c>
      <c r="B75" s="7" t="str">
        <v>植物科学与分子育种</v>
      </c>
      <c r="C75" s="11" t="n">
        <v>4</v>
      </c>
      <c r="D75" s="12" t="n">
        <v>2.3</v>
      </c>
      <c r="E75" s="13" t="n">
        <v>2025</v>
      </c>
      <c r="F75" s="7" t="str">
        <v>其他</v>
      </c>
      <c r="G75" s="7" t="str">
        <v>领域期刊/新兴刊</v>
      </c>
      <c r="H75" s="7" t="str">
        <v>研究/方法/综合</v>
      </c>
      <c r="I75" s="10" t="n">
        <v>2025</v>
      </c>
      <c r="J75" s="2" t="str">
        <v>否</v>
      </c>
      <c r="K75" s="2" t="str">
        <v>0137-5881</v>
      </c>
      <c r="L75" s="2" t="str">
        <v>1861-1664</v>
      </c>
      <c r="M75" s="7" t="str">
        <v>PLANT SCIENCES(SCIE)</v>
      </c>
      <c r="N75" s="7" t="str">
        <v>公开汇编已匹配</v>
      </c>
      <c r="O75" s="7" t="str"/>
      <c r="P75" s="15" t="str">
        <v>JIF来源</v>
      </c>
      <c r="Q75" s="15" t="str">
        <v>分区来源</v>
      </c>
      <c r="R75" s="15" t="str"/>
      <c r="S75" s="14" t="str">
        <v>https://www.springer.com/journal/11738</v>
      </c>
      <c r="T75" s="7" t="str">
        <v>ISSN匹配公开元数据；未逐站复核</v>
      </c>
      <c r="U75" s="2" t="str">
        <v>官网来源</v>
      </c>
      <c r="V75" s="2" t="n">
        <v>2026</v>
      </c>
    </row>
    <row r="76" ht="34" customHeight="1">
      <c r="A76" s="7" t="str">
        <v>PHOTOSYNTHETICA</v>
      </c>
      <c r="B76" s="7" t="str">
        <v>植物科学与分子育种</v>
      </c>
      <c r="C76" s="11" t="n">
        <v>4</v>
      </c>
      <c r="D76" s="12" t="n">
        <v>2</v>
      </c>
      <c r="E76" s="13" t="n">
        <v>2025</v>
      </c>
      <c r="F76" s="7" t="str">
        <v>其他</v>
      </c>
      <c r="G76" s="7" t="str">
        <v>领域期刊/新兴刊</v>
      </c>
      <c r="H76" s="7" t="str">
        <v>研究/方法/综合</v>
      </c>
      <c r="I76" s="10" t="n">
        <v>2025</v>
      </c>
      <c r="J76" s="2" t="str">
        <v>否</v>
      </c>
      <c r="K76" s="2" t="str">
        <v>0300-3604</v>
      </c>
      <c r="L76" s="2" t="str">
        <v>1573-9058</v>
      </c>
      <c r="M76" s="7" t="str">
        <v>PLANT SCIENCES(SCIE)</v>
      </c>
      <c r="N76" s="7" t="str">
        <v>公开汇编已匹配</v>
      </c>
      <c r="O76" s="7" t="str"/>
      <c r="P76" s="15" t="str">
        <v>JIF来源</v>
      </c>
      <c r="Q76" s="15" t="str">
        <v>分区来源</v>
      </c>
      <c r="R76" s="15" t="str"/>
      <c r="S76" s="14" t="str">
        <v>https://ps.ueb.cas.cz/</v>
      </c>
      <c r="T76" s="7" t="str">
        <v>ISSN匹配公开元数据；未逐站复核</v>
      </c>
      <c r="U76" s="2" t="str">
        <v>官网来源</v>
      </c>
      <c r="V76" s="2" t="n">
        <v>2026</v>
      </c>
    </row>
    <row r="77" ht="34" customHeight="1">
      <c r="A77" s="7" t="str">
        <v>Plant Biotechnology Reports</v>
      </c>
      <c r="B77" s="7" t="str">
        <v>植物科学与分子育种</v>
      </c>
      <c r="C77" s="11" t="n">
        <v>4</v>
      </c>
      <c r="D77" s="12" t="n">
        <v>1.8</v>
      </c>
      <c r="E77" s="13" t="n">
        <v>2025</v>
      </c>
      <c r="F77" s="7" t="str">
        <v>其他</v>
      </c>
      <c r="G77" s="7" t="str">
        <v>领域期刊/新兴刊</v>
      </c>
      <c r="H77" s="7" t="str">
        <v>研究/方法/综合</v>
      </c>
      <c r="I77" s="10" t="n">
        <v>2025</v>
      </c>
      <c r="J77" s="2" t="str">
        <v>否</v>
      </c>
      <c r="K77" s="2" t="str">
        <v>1863-5466</v>
      </c>
      <c r="L77" s="2" t="str">
        <v>1863-5474</v>
      </c>
      <c r="M77" s="7" t="str">
        <v>BIOTECHNOLOGY &amp; APPLIED MICROBIOLOGY(SCIE);PLANT SCIENCES(SCIE)</v>
      </c>
      <c r="N77" s="7" t="str">
        <v>公开汇编已匹配</v>
      </c>
      <c r="O77" s="7" t="str"/>
      <c r="P77" s="15" t="str">
        <v>JIF来源</v>
      </c>
      <c r="Q77" s="15" t="str">
        <v>分区来源</v>
      </c>
      <c r="R77" s="15" t="str"/>
      <c r="S77" s="14" t="str">
        <v>https://www.springer.com/journal/11816</v>
      </c>
      <c r="T77" s="7" t="str">
        <v>ISSN匹配公开元数据；未逐站复核</v>
      </c>
      <c r="U77" s="2" t="str">
        <v>官网来源</v>
      </c>
      <c r="V77" s="2" t="n">
        <v>2026</v>
      </c>
    </row>
    <row r="78" ht="34" customHeight="1">
      <c r="A78" s="7" t="str">
        <v>NORDIC JOURNAL OF BOTANY</v>
      </c>
      <c r="B78" s="7" t="str">
        <v>植物科学与分子育种</v>
      </c>
      <c r="C78" s="11" t="n">
        <v>4</v>
      </c>
      <c r="D78" s="12" t="n">
        <v>1.1</v>
      </c>
      <c r="E78" s="13" t="n">
        <v>2025</v>
      </c>
      <c r="F78" s="7" t="str">
        <v>其他</v>
      </c>
      <c r="G78" s="7" t="str">
        <v>领域期刊/新兴刊</v>
      </c>
      <c r="H78" s="7" t="str">
        <v>研究/方法/综合</v>
      </c>
      <c r="I78" s="10" t="n">
        <v>2025</v>
      </c>
      <c r="J78" s="2" t="str">
        <v>否</v>
      </c>
      <c r="K78" s="2" t="str">
        <v>0107-055X</v>
      </c>
      <c r="L78" s="2" t="str">
        <v>1756-1051</v>
      </c>
      <c r="M78" s="7" t="str">
        <v>PLANT SCIENCES(SCIE)</v>
      </c>
      <c r="N78" s="7" t="str">
        <v>公开汇编已匹配</v>
      </c>
      <c r="O78" s="7" t="str"/>
      <c r="P78" s="15" t="str">
        <v>JIF来源</v>
      </c>
      <c r="Q78" s="15" t="str">
        <v>分区来源</v>
      </c>
      <c r="R78" s="15" t="str"/>
      <c r="S78" s="14" t="str">
        <v>http://onlinelibrary.wiley.com/journal/10.1111/(ISSN)1756-1051</v>
      </c>
      <c r="T78" s="7" t="str">
        <v>ISSN匹配公开元数据；未逐站复核</v>
      </c>
      <c r="U78" s="2" t="str">
        <v>官网来源</v>
      </c>
      <c r="V78" s="2" t="n">
        <v>2026</v>
      </c>
    </row>
    <row r="79" ht="34" customHeight="1">
      <c r="A79" s="7" t="str">
        <v>Phytotaxa</v>
      </c>
      <c r="B79" s="7" t="str">
        <v>植物科学与分子育种</v>
      </c>
      <c r="C79" s="11" t="n">
        <v>4</v>
      </c>
      <c r="D79" s="12" t="n">
        <v>1.2</v>
      </c>
      <c r="E79" s="13" t="n">
        <v>2025</v>
      </c>
      <c r="F79" s="7" t="str">
        <v>其他</v>
      </c>
      <c r="G79" s="7" t="str">
        <v>领域期刊/新兴刊</v>
      </c>
      <c r="H79" s="7" t="str">
        <v>研究/方法/综合</v>
      </c>
      <c r="I79" s="10" t="n">
        <v>2025</v>
      </c>
      <c r="J79" s="2" t="str">
        <v>否</v>
      </c>
      <c r="K79" s="2" t="str">
        <v>1179-3155</v>
      </c>
      <c r="L79" s="2" t="str">
        <v>1179-3163</v>
      </c>
      <c r="M79" s="7" t="str">
        <v>PLANT SCIENCES(SCIE)</v>
      </c>
      <c r="N79" s="7" t="str">
        <v>公开汇编已匹配</v>
      </c>
      <c r="O79" s="7" t="str"/>
      <c r="P79" s="15" t="str">
        <v>JIF来源</v>
      </c>
      <c r="Q79" s="15" t="str">
        <v>分区来源</v>
      </c>
      <c r="R79" s="15" t="str"/>
      <c r="S79" s="14" t="str">
        <v>http://www.mapress.com/phytotaxa/</v>
      </c>
      <c r="T79" s="7" t="str">
        <v>ISSN匹配公开元数据；未逐站复核</v>
      </c>
      <c r="U79" s="2" t="str">
        <v>官网来源</v>
      </c>
      <c r="V79" s="2" t="n">
        <v>2026</v>
      </c>
    </row>
    <row r="80" ht="34" customHeight="1">
      <c r="A80" s="7" t="str">
        <v>BIOLOGIA PLANTARUM</v>
      </c>
      <c r="B80" s="7" t="str">
        <v>植物科学与分子育种</v>
      </c>
      <c r="C80" s="11" t="n">
        <v>4</v>
      </c>
      <c r="D80" s="12" t="n">
        <v>0.9</v>
      </c>
      <c r="E80" s="13" t="n">
        <v>2025</v>
      </c>
      <c r="F80" s="7" t="str">
        <v>其他</v>
      </c>
      <c r="G80" s="7" t="str">
        <v>领域期刊/新兴刊</v>
      </c>
      <c r="H80" s="7" t="str">
        <v>研究/方法/综合</v>
      </c>
      <c r="I80" s="10" t="n">
        <v>2025</v>
      </c>
      <c r="J80" s="2" t="str">
        <v>否</v>
      </c>
      <c r="K80" s="2" t="str">
        <v>0006-3134</v>
      </c>
      <c r="L80" s="2" t="str">
        <v>1573-8264</v>
      </c>
      <c r="M80" s="7" t="str">
        <v>PLANT SCIENCES(SCIE)</v>
      </c>
      <c r="N80" s="7" t="str">
        <v>公开汇编已匹配</v>
      </c>
      <c r="O80" s="7" t="str"/>
      <c r="P80" s="15" t="str">
        <v>JIF来源</v>
      </c>
      <c r="Q80" s="15" t="str">
        <v>分区来源</v>
      </c>
      <c r="R80" s="15" t="str"/>
      <c r="S80" s="14" t="str">
        <v>https://www.bp.ueb.cas.cz/</v>
      </c>
      <c r="T80" s="7" t="str">
        <v>出版社/期刊主页匹配</v>
      </c>
      <c r="U80" s="2" t="str">
        <v>官网来源</v>
      </c>
      <c r="V80" s="2" t="n">
        <v>2026</v>
      </c>
    </row>
    <row r="81" ht="34" customHeight="1">
      <c r="A81" s="7" t="str">
        <v>SYSTEMATIC BOTANY</v>
      </c>
      <c r="B81" s="7" t="str">
        <v>植物科学与分子育种</v>
      </c>
      <c r="C81" s="11" t="n">
        <v>4</v>
      </c>
      <c r="D81" s="12" t="n">
        <v>0.9</v>
      </c>
      <c r="E81" s="13" t="n">
        <v>2025</v>
      </c>
      <c r="F81" s="7" t="str">
        <v>其他</v>
      </c>
      <c r="G81" s="7" t="str">
        <v>领域期刊/新兴刊</v>
      </c>
      <c r="H81" s="7" t="str">
        <v>研究/方法/综合</v>
      </c>
      <c r="I81" s="10" t="n">
        <v>2025</v>
      </c>
      <c r="J81" s="2" t="str">
        <v>否</v>
      </c>
      <c r="K81" s="2" t="str">
        <v>0363-6445</v>
      </c>
      <c r="L81" s="2" t="str">
        <v>1548-2324</v>
      </c>
      <c r="M81" s="7" t="str">
        <v>EVOLUTIONARY BIOLOGY(SCIE);PLANT SCIENCES(SCIE)</v>
      </c>
      <c r="N81" s="7" t="str">
        <v>公开汇编已匹配</v>
      </c>
      <c r="O81" s="7" t="str"/>
      <c r="P81" s="15" t="str">
        <v>JIF来源</v>
      </c>
      <c r="Q81" s="15" t="str">
        <v>分区来源</v>
      </c>
      <c r="R81" s="15" t="str"/>
      <c r="S81" s="14" t="str">
        <v>http://www.aspt.net/publications/sysbot</v>
      </c>
      <c r="T81" s="7" t="str">
        <v>ISSN匹配公开元数据；未逐站复核</v>
      </c>
      <c r="U81" s="2" t="str">
        <v>官网来源</v>
      </c>
      <c r="V81" s="2" t="n">
        <v>2026</v>
      </c>
    </row>
    <row r="82" ht="34" customHeight="1">
      <c r="A82" s="7" t="str">
        <v>Stress Biology</v>
      </c>
      <c r="B82" s="7" t="str">
        <v>植物科学与分子育种</v>
      </c>
      <c r="C82" s="11"/>
      <c r="D82" s="12" t="n">
        <v>6.4</v>
      </c>
      <c r="E82" s="13" t="n">
        <v>2025</v>
      </c>
      <c r="F82" s="7" t="str">
        <v>其他</v>
      </c>
      <c r="G82" s="7" t="str">
        <v>领域期刊/新兴刊</v>
      </c>
      <c r="H82" s="7" t="str">
        <v>研究/方法/综合</v>
      </c>
      <c r="I82" s="10" t="n">
        <v>2025</v>
      </c>
      <c r="J82" s="2" t="str">
        <v>未检得</v>
      </c>
      <c r="K82" s="2" t="str"/>
      <c r="L82" s="2" t="str">
        <v>2731-0450</v>
      </c>
      <c r="M82" s="7" t="str">
        <v>BIOCHEMISTRY &amp; MOLECULAR BIOLOGY(ESCI)</v>
      </c>
      <c r="N82" s="7" t="str">
        <v>两份公开汇编一致</v>
      </c>
      <c r="O82" s="7" t="str"/>
      <c r="P82" s="15" t="str">
        <v>JIF来源</v>
      </c>
      <c r="Q82" s="15" t="str"/>
      <c r="R82" s="15" t="str"/>
      <c r="S82" s="14" t="str">
        <v>https://www.springer.com/journal/44154</v>
      </c>
      <c r="T82" s="7" t="str">
        <v>ISSN匹配公开元数据；未逐站复核</v>
      </c>
      <c r="U82" s="2" t="str">
        <v>官网来源</v>
      </c>
      <c r="V82" s="2" t="n">
        <v>2026</v>
      </c>
    </row>
    <row r="83" ht="34" customHeight="1">
      <c r="A83" s="7" t="str">
        <v>Artificial Intelligence in Agriculture</v>
      </c>
      <c r="B83" s="7" t="str">
        <v>农学作物与种质</v>
      </c>
      <c r="C83" s="11" t="n">
        <v>1</v>
      </c>
      <c r="D83" s="12" t="n">
        <v>16.1</v>
      </c>
      <c r="E83" s="13" t="n">
        <v>2025</v>
      </c>
      <c r="F83" s="7" t="str">
        <v>其他</v>
      </c>
      <c r="G83" s="7" t="str">
        <v>领域期刊/新兴刊</v>
      </c>
      <c r="H83" s="7" t="str">
        <v>研究/方法/综合</v>
      </c>
      <c r="I83" s="10" t="n">
        <v>2025</v>
      </c>
      <c r="J83" s="2" t="str">
        <v>是</v>
      </c>
      <c r="K83" s="2" t="str">
        <v>2097-2113</v>
      </c>
      <c r="L83" s="2" t="str">
        <v>2589-7217</v>
      </c>
      <c r="M83" s="7" t="str">
        <v>AGRICULTURE, MULTIDISCIPLINARY(SCIE);COMPUTER SCIENCE, ARTIFICIAL INTELLIGENCE(SCIE)</v>
      </c>
      <c r="N83" s="7" t="str">
        <v>两份公开汇编一致</v>
      </c>
      <c r="O83" s="7" t="str"/>
      <c r="P83" s="15" t="str">
        <v>JIF来源</v>
      </c>
      <c r="Q83" s="15" t="str">
        <v>分区来源</v>
      </c>
      <c r="R83" s="15" t="str"/>
      <c r="S83" s="14" t="str">
        <v>https://www.sciencedirect.com/journal/artificial-intelligence-in-agriculture</v>
      </c>
      <c r="T83" s="7" t="str">
        <v>ISSN匹配公开元数据；未逐站复核</v>
      </c>
      <c r="U83" s="2" t="str">
        <v>官网来源</v>
      </c>
      <c r="V83" s="2" t="n">
        <v>2026</v>
      </c>
    </row>
    <row r="84" ht="34" customHeight="1">
      <c r="A84" s="7" t="str">
        <v>ISPRS JOURNAL OF PHOTOGRAMMETRY AND REMOTE SENSING</v>
      </c>
      <c r="B84" s="7" t="str">
        <v>农学作物与种质</v>
      </c>
      <c r="C84" s="11" t="n">
        <v>1</v>
      </c>
      <c r="D84" s="12" t="n">
        <v>12.9</v>
      </c>
      <c r="E84" s="13" t="n">
        <v>2025</v>
      </c>
      <c r="F84" s="7" t="str">
        <v>其他</v>
      </c>
      <c r="G84" s="7" t="str">
        <v>领域期刊/新兴刊</v>
      </c>
      <c r="H84" s="7" t="str">
        <v>研究/方法/综合</v>
      </c>
      <c r="I84" s="10" t="n">
        <v>2025</v>
      </c>
      <c r="J84" s="2" t="str">
        <v>是</v>
      </c>
      <c r="K84" s="2" t="str">
        <v>0924-2716</v>
      </c>
      <c r="L84" s="2" t="str">
        <v>1872-8235</v>
      </c>
      <c r="M84" s="7" t="str">
        <v>GEOGRAPHY, PHYSICAL(SCIE);GEOSCIENCES, MULTIDISCIPLINARY(SCIE);IMAGING SCIENCE &amp; PHOTOGRAPHIC TECHNOLOGY(SCIE);REMOTE SENSING(SCIE)</v>
      </c>
      <c r="N84" s="7" t="str">
        <v>两份公开汇编一致</v>
      </c>
      <c r="O84" s="7" t="str"/>
      <c r="P84" s="15" t="str">
        <v>JIF来源</v>
      </c>
      <c r="Q84" s="15" t="str">
        <v>分区来源</v>
      </c>
      <c r="R84" s="15" t="str"/>
      <c r="S84" s="14" t="str">
        <v>https://www.journals.elsevier.com/isprs-journal-of-photogrammetry-and-remote-sensing</v>
      </c>
      <c r="T84" s="7" t="str">
        <v>ISSN匹配公开元数据；未逐站复核</v>
      </c>
      <c r="U84" s="2" t="str">
        <v>官网来源</v>
      </c>
      <c r="V84" s="2" t="n">
        <v>2026</v>
      </c>
    </row>
    <row r="85" ht="34" customHeight="1">
      <c r="A85" s="7" t="str">
        <v>REMOTE SENSING OF ENVIRONMENT</v>
      </c>
      <c r="B85" s="7" t="str">
        <v>农学作物与种质</v>
      </c>
      <c r="C85" s="11" t="n">
        <v>1</v>
      </c>
      <c r="D85" s="12" t="n">
        <v>12.3</v>
      </c>
      <c r="E85" s="13" t="n">
        <v>2025</v>
      </c>
      <c r="F85" s="7" t="str">
        <v>其他</v>
      </c>
      <c r="G85" s="7" t="str">
        <v>领域期刊/新兴刊</v>
      </c>
      <c r="H85" s="7" t="str">
        <v>研究/方法/综合</v>
      </c>
      <c r="I85" s="10" t="n">
        <v>2025</v>
      </c>
      <c r="J85" s="2" t="str">
        <v>是</v>
      </c>
      <c r="K85" s="2" t="str">
        <v>0034-4257</v>
      </c>
      <c r="L85" s="2" t="str">
        <v>1879-0704</v>
      </c>
      <c r="M85" s="7" t="str">
        <v>ENVIRONMENTAL SCIENCES(SCIE);IMAGING SCIENCE &amp; PHOTOGRAPHIC TECHNOLOGY(SCIE);REMOTE SENSING(SCIE)</v>
      </c>
      <c r="N85" s="7" t="str">
        <v>两份公开汇编一致</v>
      </c>
      <c r="O85" s="7" t="str"/>
      <c r="P85" s="15" t="str">
        <v>JIF来源</v>
      </c>
      <c r="Q85" s="15" t="str">
        <v>分区来源</v>
      </c>
      <c r="R85" s="15" t="str"/>
      <c r="S85" s="14" t="str">
        <v>https://www.journals.elsevier.com/remote-sensing-of-environment</v>
      </c>
      <c r="T85" s="7" t="str">
        <v>ISSN匹配公开元数据；未逐站复核</v>
      </c>
      <c r="U85" s="2" t="str">
        <v>官网来源</v>
      </c>
      <c r="V85" s="2" t="n">
        <v>2026</v>
      </c>
    </row>
    <row r="86" ht="34" customHeight="1">
      <c r="A86" s="7" t="str">
        <v>Global Food Security-Agriculture Policy Economics and Environment</v>
      </c>
      <c r="B86" s="7" t="str">
        <v>农学作物与种质</v>
      </c>
      <c r="C86" s="11" t="n">
        <v>1</v>
      </c>
      <c r="D86" s="12" t="n">
        <v>7.5</v>
      </c>
      <c r="E86" s="13" t="n">
        <v>2025</v>
      </c>
      <c r="F86" s="7" t="str">
        <v>其他</v>
      </c>
      <c r="G86" s="7" t="str">
        <v>领域期刊/新兴刊</v>
      </c>
      <c r="H86" s="7" t="str">
        <v>研究/方法/综合</v>
      </c>
      <c r="I86" s="10" t="n">
        <v>2025</v>
      </c>
      <c r="J86" s="2" t="str">
        <v>是</v>
      </c>
      <c r="K86" s="2" t="str">
        <v>2211-9124</v>
      </c>
      <c r="L86" s="2" t="str">
        <v>2211-9124</v>
      </c>
      <c r="M86" s="7" t="str">
        <v>FOOD SCIENCE &amp; TECHNOLOGY(SCIE)</v>
      </c>
      <c r="N86" s="7" t="str">
        <v>两份公开汇编一致</v>
      </c>
      <c r="O86" s="7" t="str"/>
      <c r="P86" s="15" t="str">
        <v>JIF来源</v>
      </c>
      <c r="Q86" s="15" t="str">
        <v>分区来源</v>
      </c>
      <c r="R86" s="15" t="str"/>
      <c r="S86" s="14" t="str">
        <v>https://www.journals.elsevier.com/global-food-security</v>
      </c>
      <c r="T86" s="7" t="str">
        <v>ISSN匹配公开元数据；未逐站复核</v>
      </c>
      <c r="U86" s="2" t="str">
        <v>官网来源</v>
      </c>
      <c r="V86" s="2" t="n">
        <v>2026</v>
      </c>
    </row>
    <row r="87" ht="34" customHeight="1">
      <c r="A87" s="7" t="str">
        <v>COMPUTERS AND ELECTRONICS IN AGRICULTURE</v>
      </c>
      <c r="B87" s="7" t="str">
        <v>农学作物与种质</v>
      </c>
      <c r="C87" s="11" t="n">
        <v>1</v>
      </c>
      <c r="D87" s="12" t="n">
        <v>10.3</v>
      </c>
      <c r="E87" s="13" t="n">
        <v>2025</v>
      </c>
      <c r="F87" s="7" t="str">
        <v>其他</v>
      </c>
      <c r="G87" s="7" t="str">
        <v>领域期刊/新兴刊</v>
      </c>
      <c r="H87" s="7" t="str">
        <v>研究/方法/综合</v>
      </c>
      <c r="I87" s="10" t="n">
        <v>2025</v>
      </c>
      <c r="J87" s="2" t="str">
        <v>是</v>
      </c>
      <c r="K87" s="2" t="str">
        <v>0168-1699</v>
      </c>
      <c r="L87" s="2" t="str">
        <v>1872-7107</v>
      </c>
      <c r="M87" s="7" t="str">
        <v>AGRICULTURE, MULTIDISCIPLINARY(SCIE);COMPUTER SCIENCE, INTERDISCIPLINARY APPLICATIONS(SCIE)</v>
      </c>
      <c r="N87" s="7" t="str">
        <v>两份公开汇编一致</v>
      </c>
      <c r="O87" s="7" t="str"/>
      <c r="P87" s="15" t="str">
        <v>JIF来源</v>
      </c>
      <c r="Q87" s="15" t="str">
        <v>分区来源</v>
      </c>
      <c r="R87" s="15" t="str"/>
      <c r="S87" s="14" t="str">
        <v>https://www.journals.elsevier.com/computers-and-electronics-in-agriculture</v>
      </c>
      <c r="T87" s="7" t="str">
        <v>ISSN匹配公开元数据；未逐站复核</v>
      </c>
      <c r="U87" s="2" t="str">
        <v>官网来源</v>
      </c>
      <c r="V87" s="2" t="n">
        <v>2026</v>
      </c>
    </row>
    <row r="88" ht="34" customHeight="1">
      <c r="A88" s="7" t="str">
        <v>Agronomy for Sustainable Development</v>
      </c>
      <c r="B88" s="7" t="str">
        <v>农学作物与种质</v>
      </c>
      <c r="C88" s="11" t="n">
        <v>1</v>
      </c>
      <c r="D88" s="12" t="n">
        <v>8.2</v>
      </c>
      <c r="E88" s="13" t="n">
        <v>2025</v>
      </c>
      <c r="F88" s="7" t="str">
        <v>其他</v>
      </c>
      <c r="G88" s="7" t="str">
        <v>领域期刊/新兴刊</v>
      </c>
      <c r="H88" s="7" t="str">
        <v>研究/方法/综合</v>
      </c>
      <c r="I88" s="10" t="n">
        <v>2025</v>
      </c>
      <c r="J88" s="2" t="str">
        <v>是</v>
      </c>
      <c r="K88" s="2" t="str">
        <v>1774-0746</v>
      </c>
      <c r="L88" s="2" t="str">
        <v>1773-0155</v>
      </c>
      <c r="M88" s="7" t="str">
        <v>AGRONOMY(SCIE);GREEN &amp; SUSTAINABLE SCIENCE &amp; TECHNOLOGY(SCIE)</v>
      </c>
      <c r="N88" s="7" t="str">
        <v>两份公开汇编一致</v>
      </c>
      <c r="O88" s="7" t="str"/>
      <c r="P88" s="15" t="str">
        <v>JIF来源</v>
      </c>
      <c r="Q88" s="15" t="str">
        <v>分区来源</v>
      </c>
      <c r="R88" s="15" t="str"/>
      <c r="S88" s="14" t="str">
        <v>http://www.springerlink.com/content/122168/</v>
      </c>
      <c r="T88" s="7" t="str">
        <v>ISSN匹配公开元数据；未逐站复核</v>
      </c>
      <c r="U88" s="2" t="str">
        <v>官网来源</v>
      </c>
      <c r="V88" s="2" t="n">
        <v>2026</v>
      </c>
    </row>
    <row r="89" ht="34" customHeight="1">
      <c r="A89" s="7" t="str">
        <v>Agricultural Water Management</v>
      </c>
      <c r="B89" s="7" t="str">
        <v>农学作物与种质</v>
      </c>
      <c r="C89" s="11" t="n">
        <v>1</v>
      </c>
      <c r="D89" s="12" t="n">
        <v>7.8</v>
      </c>
      <c r="E89" s="13" t="n">
        <v>2025</v>
      </c>
      <c r="F89" s="7" t="str">
        <v>其他</v>
      </c>
      <c r="G89" s="7" t="str">
        <v>领域期刊/新兴刊</v>
      </c>
      <c r="H89" s="7" t="str">
        <v>研究/方法/综合</v>
      </c>
      <c r="I89" s="10" t="n">
        <v>2025</v>
      </c>
      <c r="J89" s="2" t="str">
        <v>是</v>
      </c>
      <c r="K89" s="2" t="str">
        <v>0378-3774</v>
      </c>
      <c r="L89" s="2" t="str">
        <v>1873-2283</v>
      </c>
      <c r="M89" s="7" t="str">
        <v>AGRONOMY(SCIE);WATER RESOURCES(SCIE)</v>
      </c>
      <c r="N89" s="7" t="str">
        <v>两份公开汇编一致</v>
      </c>
      <c r="O89" s="7" t="str"/>
      <c r="P89" s="15" t="str">
        <v>JIF来源</v>
      </c>
      <c r="Q89" s="15" t="str">
        <v>分区来源</v>
      </c>
      <c r="R89" s="15" t="str"/>
      <c r="S89" s="14" t="str">
        <v>https://www.journals.elsevier.com/agricultural-water-management</v>
      </c>
      <c r="T89" s="7" t="str">
        <v>ISSN匹配公开元数据；未逐站复核</v>
      </c>
      <c r="U89" s="2" t="str">
        <v>官网来源</v>
      </c>
      <c r="V89" s="2" t="n">
        <v>2026</v>
      </c>
    </row>
    <row r="90" ht="34" customHeight="1">
      <c r="A90" s="7" t="str">
        <v>AGRICULTURE ECOSYSTEMS &amp; ENVIRONMENT</v>
      </c>
      <c r="B90" s="7" t="str">
        <v>农学作物与种质</v>
      </c>
      <c r="C90" s="11" t="n">
        <v>1</v>
      </c>
      <c r="D90" s="12" t="n">
        <v>7.7</v>
      </c>
      <c r="E90" s="13" t="n">
        <v>2025</v>
      </c>
      <c r="F90" s="7" t="str">
        <v>其他</v>
      </c>
      <c r="G90" s="7" t="str">
        <v>领域期刊/新兴刊</v>
      </c>
      <c r="H90" s="7" t="str">
        <v>研究/方法/综合</v>
      </c>
      <c r="I90" s="10" t="n">
        <v>2025</v>
      </c>
      <c r="J90" s="2" t="str">
        <v>是</v>
      </c>
      <c r="K90" s="2" t="str">
        <v>0167-8809</v>
      </c>
      <c r="L90" s="2" t="str">
        <v>1873-2305</v>
      </c>
      <c r="M90" s="7" t="str">
        <v>AGRICULTURE, MULTIDISCIPLINARY(SCIE);ECOLOGY(SCIE);ENVIRONMENTAL SCIENCES(SCIE)</v>
      </c>
      <c r="N90" s="7" t="str">
        <v>两份公开汇编一致</v>
      </c>
      <c r="O90" s="7" t="str"/>
      <c r="P90" s="15" t="str">
        <v>JIF来源</v>
      </c>
      <c r="Q90" s="15" t="str">
        <v>分区来源</v>
      </c>
      <c r="R90" s="15" t="str"/>
      <c r="S90" s="14" t="str">
        <v>http://www.journals.elsevier.com/agriculture-ecosystems-and-environment/</v>
      </c>
      <c r="T90" s="7" t="str">
        <v>ISSN匹配公开元数据；未逐站复核</v>
      </c>
      <c r="U90" s="2" t="str">
        <v>官网来源</v>
      </c>
      <c r="V90" s="2" t="n">
        <v>2026</v>
      </c>
    </row>
    <row r="91" ht="34" customHeight="1">
      <c r="A91" s="7" t="str">
        <v>FIELD CROPS RESEARCH</v>
      </c>
      <c r="B91" s="7" t="str">
        <v>农学作物与种质</v>
      </c>
      <c r="C91" s="11" t="n">
        <v>1</v>
      </c>
      <c r="D91" s="12" t="n">
        <v>7.9</v>
      </c>
      <c r="E91" s="13" t="n">
        <v>2025</v>
      </c>
      <c r="F91" s="7" t="str">
        <v>其他</v>
      </c>
      <c r="G91" s="7" t="str">
        <v>经典专业刊</v>
      </c>
      <c r="H91" s="7" t="str">
        <v>研究/方法/综合</v>
      </c>
      <c r="I91" s="10" t="n">
        <v>2025</v>
      </c>
      <c r="J91" s="2" t="str">
        <v>是</v>
      </c>
      <c r="K91" s="2" t="str">
        <v>0378-4290</v>
      </c>
      <c r="L91" s="2" t="str">
        <v>1872-6852</v>
      </c>
      <c r="M91" s="7" t="str">
        <v>AGRONOMY(SCIE)</v>
      </c>
      <c r="N91" s="7" t="str">
        <v>两份公开汇编一致</v>
      </c>
      <c r="O91" s="7" t="str"/>
      <c r="P91" s="15" t="str">
        <v>JIF来源</v>
      </c>
      <c r="Q91" s="15" t="str">
        <v>分区来源</v>
      </c>
      <c r="R91" s="15" t="str"/>
      <c r="S91" s="14" t="str">
        <v>https://www.journals.elsevier.com/field-crops-research</v>
      </c>
      <c r="T91" s="7" t="str">
        <v>ISSN匹配公开元数据；未逐站复核</v>
      </c>
      <c r="U91" s="2" t="str">
        <v>官网来源</v>
      </c>
      <c r="V91" s="2" t="n">
        <v>2026</v>
      </c>
    </row>
    <row r="92" ht="34" customHeight="1">
      <c r="A92" s="7" t="str">
        <v>INDUSTRIAL CROPS AND PRODUCTS</v>
      </c>
      <c r="B92" s="7" t="str">
        <v>农学作物与种质</v>
      </c>
      <c r="C92" s="11" t="n">
        <v>1</v>
      </c>
      <c r="D92" s="12" t="n">
        <v>6.4</v>
      </c>
      <c r="E92" s="13" t="n">
        <v>2025</v>
      </c>
      <c r="F92" s="7" t="str">
        <v>其他</v>
      </c>
      <c r="G92" s="7" t="str">
        <v>领域期刊/新兴刊</v>
      </c>
      <c r="H92" s="7" t="str">
        <v>研究/方法/综合</v>
      </c>
      <c r="I92" s="10" t="n">
        <v>2025</v>
      </c>
      <c r="J92" s="2" t="str">
        <v>是</v>
      </c>
      <c r="K92" s="2" t="str">
        <v>0926-6690</v>
      </c>
      <c r="L92" s="2" t="str">
        <v>1872-633X</v>
      </c>
      <c r="M92" s="7" t="str">
        <v>AGRICULTURAL ENGINEERING(SCIE);AGRONOMY(SCIE)</v>
      </c>
      <c r="N92" s="7" t="str">
        <v>两份公开汇编一致</v>
      </c>
      <c r="O92" s="7" t="str"/>
      <c r="P92" s="15" t="str">
        <v>JIF来源</v>
      </c>
      <c r="Q92" s="15" t="str">
        <v>分区来源</v>
      </c>
      <c r="R92" s="15" t="str"/>
      <c r="S92" s="14" t="str">
        <v>https://www.journals.elsevier.com/industrial-crops-and-products</v>
      </c>
      <c r="T92" s="7" t="str">
        <v>ISSN匹配公开元数据；未逐站复核</v>
      </c>
      <c r="U92" s="2" t="str">
        <v>官网来源</v>
      </c>
      <c r="V92" s="2" t="n">
        <v>2026</v>
      </c>
    </row>
    <row r="93" ht="34" customHeight="1">
      <c r="A93" s="7" t="str">
        <v>AGRICULTURAL SYSTEMS</v>
      </c>
      <c r="B93" s="7" t="str">
        <v>农学作物与种质</v>
      </c>
      <c r="C93" s="11" t="n">
        <v>1</v>
      </c>
      <c r="D93" s="12" t="n">
        <v>6.2</v>
      </c>
      <c r="E93" s="13" t="n">
        <v>2025</v>
      </c>
      <c r="F93" s="7" t="str">
        <v>其他</v>
      </c>
      <c r="G93" s="7" t="str">
        <v>领域期刊/新兴刊</v>
      </c>
      <c r="H93" s="7" t="str">
        <v>研究/方法/综合</v>
      </c>
      <c r="I93" s="10" t="n">
        <v>2025</v>
      </c>
      <c r="J93" s="2" t="str">
        <v>是</v>
      </c>
      <c r="K93" s="2" t="str">
        <v>0308-521X</v>
      </c>
      <c r="L93" s="2" t="str">
        <v>1873-2267</v>
      </c>
      <c r="M93" s="7" t="str">
        <v>AGRICULTURE, MULTIDISCIPLINARY(SCIE)</v>
      </c>
      <c r="N93" s="7" t="str">
        <v>两份公开汇编一致</v>
      </c>
      <c r="O93" s="7" t="str"/>
      <c r="P93" s="15" t="str">
        <v>JIF来源</v>
      </c>
      <c r="Q93" s="15" t="str">
        <v>分区来源</v>
      </c>
      <c r="R93" s="15" t="str"/>
      <c r="S93" s="14" t="str">
        <v>https://www.journals.elsevier.com/agricultural-systems</v>
      </c>
      <c r="T93" s="7" t="str">
        <v>ISSN匹配公开元数据；未逐站复核</v>
      </c>
      <c r="U93" s="2" t="str">
        <v>官网来源</v>
      </c>
      <c r="V93" s="2" t="n">
        <v>2026</v>
      </c>
    </row>
    <row r="94" ht="34" customHeight="1">
      <c r="A94" s="7" t="str">
        <v>FOOD POLICY</v>
      </c>
      <c r="B94" s="7" t="str">
        <v>农学作物与种质</v>
      </c>
      <c r="C94" s="11" t="n">
        <v>1</v>
      </c>
      <c r="D94" s="12" t="n">
        <v>6.8</v>
      </c>
      <c r="E94" s="13" t="n">
        <v>2025</v>
      </c>
      <c r="F94" s="7" t="str">
        <v>其他</v>
      </c>
      <c r="G94" s="7" t="str">
        <v>领域期刊/新兴刊</v>
      </c>
      <c r="H94" s="7" t="str">
        <v>研究/方法/综合</v>
      </c>
      <c r="I94" s="10" t="n">
        <v>2025</v>
      </c>
      <c r="J94" s="2" t="str">
        <v>是</v>
      </c>
      <c r="K94" s="2" t="str">
        <v>0306-9192</v>
      </c>
      <c r="L94" s="2" t="str">
        <v>1873-5657</v>
      </c>
      <c r="M94" s="7" t="str">
        <v>AGRICULTURAL ECONOMICS &amp; POLICY(SCIE);ECONOMICS(SSCI);FOOD SCIENCE &amp; TECHNOLOGY(SCIE);NUTRITION &amp; DIETETICS(SCIE)</v>
      </c>
      <c r="N94" s="7" t="str">
        <v>两份公开汇编一致</v>
      </c>
      <c r="O94" s="7" t="str"/>
      <c r="P94" s="15" t="str">
        <v>JIF来源</v>
      </c>
      <c r="Q94" s="15" t="str">
        <v>分区来源</v>
      </c>
      <c r="R94" s="15" t="str"/>
      <c r="S94" s="14" t="str">
        <v>https://www.journals.elsevier.com/food-policy</v>
      </c>
      <c r="T94" s="7" t="str">
        <v>ISSN匹配公开元数据；未逐站复核</v>
      </c>
      <c r="U94" s="2" t="str">
        <v>官网来源</v>
      </c>
      <c r="V94" s="2" t="n">
        <v>2026</v>
      </c>
    </row>
    <row r="95" ht="34" customHeight="1">
      <c r="A95" s="7" t="str">
        <v>AGRICULTURAL AND FOREST METEOROLOGY</v>
      </c>
      <c r="B95" s="7" t="str">
        <v>农学作物与种质</v>
      </c>
      <c r="C95" s="11" t="n">
        <v>1</v>
      </c>
      <c r="D95" s="12" t="n">
        <v>6.6</v>
      </c>
      <c r="E95" s="13" t="n">
        <v>2025</v>
      </c>
      <c r="F95" s="7" t="str">
        <v>其他</v>
      </c>
      <c r="G95" s="7" t="str">
        <v>领域期刊/新兴刊</v>
      </c>
      <c r="H95" s="7" t="str">
        <v>研究/方法/综合</v>
      </c>
      <c r="I95" s="10" t="n">
        <v>2025</v>
      </c>
      <c r="J95" s="2" t="str">
        <v>是</v>
      </c>
      <c r="K95" s="2" t="str">
        <v>0168-1923</v>
      </c>
      <c r="L95" s="2" t="str">
        <v>1873-2240</v>
      </c>
      <c r="M95" s="7" t="str">
        <v>AGRONOMY(SCIE);FORESTRY(SCIE);METEOROLOGY &amp; ATMOSPHERIC SCIENCES(SCIE)</v>
      </c>
      <c r="N95" s="7" t="str">
        <v>两份公开汇编一致</v>
      </c>
      <c r="O95" s="7" t="str"/>
      <c r="P95" s="15" t="str">
        <v>JIF来源</v>
      </c>
      <c r="Q95" s="15" t="str">
        <v>分区来源</v>
      </c>
      <c r="R95" s="15" t="str"/>
      <c r="S95" s="14" t="str">
        <v>http://www.elsevier.com/wps/find/journaldescription.cws_home/503295/description</v>
      </c>
      <c r="T95" s="7" t="str">
        <v>ISSN匹配公开元数据；未逐站复核</v>
      </c>
      <c r="U95" s="2" t="str">
        <v>官网来源</v>
      </c>
      <c r="V95" s="2" t="n">
        <v>2026</v>
      </c>
    </row>
    <row r="96" ht="34" customHeight="1">
      <c r="A96" s="7" t="str">
        <v>Crop Journal</v>
      </c>
      <c r="B96" s="7" t="str">
        <v>农学作物与种质</v>
      </c>
      <c r="C96" s="11" t="n">
        <v>1</v>
      </c>
      <c r="D96" s="12" t="n">
        <v>6.7</v>
      </c>
      <c r="E96" s="13" t="n">
        <v>2025</v>
      </c>
      <c r="F96" s="7" t="str">
        <v>其他</v>
      </c>
      <c r="G96" s="7" t="str">
        <v>领域期刊/新兴刊</v>
      </c>
      <c r="H96" s="7" t="str">
        <v>研究/方法/综合</v>
      </c>
      <c r="I96" s="10" t="n">
        <v>2025</v>
      </c>
      <c r="J96" s="2" t="str">
        <v>是</v>
      </c>
      <c r="K96" s="2" t="str">
        <v>2095-5421</v>
      </c>
      <c r="L96" s="2" t="str">
        <v>2214-5141</v>
      </c>
      <c r="M96" s="7" t="str">
        <v>AGRONOMY(SCIE);PLANT SCIENCES(SCIE)</v>
      </c>
      <c r="N96" s="7" t="str">
        <v>两份公开汇编一致</v>
      </c>
      <c r="O96" s="7" t="str"/>
      <c r="P96" s="15" t="str">
        <v>JIF来源</v>
      </c>
      <c r="Q96" s="15" t="str">
        <v>分区来源</v>
      </c>
      <c r="R96" s="15" t="str"/>
      <c r="S96" s="14" t="str">
        <v>https://www.sciencedirect.com/journal/the-crop-journal</v>
      </c>
      <c r="T96" s="7" t="str">
        <v>ISSN匹配公开元数据；未逐站复核</v>
      </c>
      <c r="U96" s="2" t="str">
        <v>官网来源</v>
      </c>
      <c r="V96" s="2" t="n">
        <v>2026</v>
      </c>
    </row>
    <row r="97" ht="34" customHeight="1">
      <c r="A97" s="7" t="str">
        <v>EUROPEAN JOURNAL OF AGRONOMY</v>
      </c>
      <c r="B97" s="7" t="str">
        <v>农学作物与种质</v>
      </c>
      <c r="C97" s="11" t="n">
        <v>1</v>
      </c>
      <c r="D97" s="12" t="n">
        <v>6.7</v>
      </c>
      <c r="E97" s="13" t="n">
        <v>2025</v>
      </c>
      <c r="F97" s="7" t="str">
        <v>其他</v>
      </c>
      <c r="G97" s="7" t="str">
        <v>领域期刊/新兴刊</v>
      </c>
      <c r="H97" s="7" t="str">
        <v>研究/方法/综合</v>
      </c>
      <c r="I97" s="10" t="n">
        <v>2025</v>
      </c>
      <c r="J97" s="2" t="str">
        <v>是</v>
      </c>
      <c r="K97" s="2" t="str">
        <v>1161-0301</v>
      </c>
      <c r="L97" s="2" t="str">
        <v>1873-7331</v>
      </c>
      <c r="M97" s="7" t="str">
        <v>AGRONOMY(SCIE)</v>
      </c>
      <c r="N97" s="7" t="str">
        <v>两份公开汇编一致</v>
      </c>
      <c r="O97" s="7" t="str"/>
      <c r="P97" s="15" t="str">
        <v>JIF来源</v>
      </c>
      <c r="Q97" s="15" t="str">
        <v>分区来源</v>
      </c>
      <c r="R97" s="15" t="str"/>
      <c r="S97" s="14" t="str">
        <v>https://www.journals.elsevier.com/european-journal-of-agronomy</v>
      </c>
      <c r="T97" s="7" t="str">
        <v>ISSN匹配公开元数据；未逐站复核</v>
      </c>
      <c r="U97" s="2" t="str">
        <v>官网来源</v>
      </c>
      <c r="V97" s="2" t="n">
        <v>2026</v>
      </c>
    </row>
    <row r="98" ht="34" customHeight="1">
      <c r="A98" s="7" t="str">
        <v>Rice</v>
      </c>
      <c r="B98" s="7" t="str">
        <v>农学作物与种质</v>
      </c>
      <c r="C98" s="11" t="n">
        <v>1</v>
      </c>
      <c r="D98" s="12" t="n">
        <v>5.8</v>
      </c>
      <c r="E98" s="13" t="n">
        <v>2025</v>
      </c>
      <c r="F98" s="7" t="str">
        <v>其他</v>
      </c>
      <c r="G98" s="7" t="str">
        <v>领域期刊/新兴刊</v>
      </c>
      <c r="H98" s="7" t="str">
        <v>研究/方法/综合</v>
      </c>
      <c r="I98" s="10" t="n">
        <v>2025</v>
      </c>
      <c r="J98" s="2" t="str">
        <v>是</v>
      </c>
      <c r="K98" s="2" t="str">
        <v>1939-8425</v>
      </c>
      <c r="L98" s="2" t="str">
        <v>1939-8433</v>
      </c>
      <c r="M98" s="7" t="str">
        <v>AGRONOMY(SCIE)</v>
      </c>
      <c r="N98" s="7" t="str">
        <v>两份公开汇编一致</v>
      </c>
      <c r="O98" s="7" t="str"/>
      <c r="P98" s="15" t="str">
        <v>JIF来源</v>
      </c>
      <c r="Q98" s="15" t="str">
        <v>分区来源</v>
      </c>
      <c r="R98" s="15" t="str"/>
      <c r="S98" s="14" t="str">
        <v>https://thericejournal.springeropen.com/</v>
      </c>
      <c r="T98" s="7" t="str">
        <v>ISSN匹配公开元数据；未逐站复核</v>
      </c>
      <c r="U98" s="2" t="str">
        <v>官网来源</v>
      </c>
      <c r="V98" s="2" t="n">
        <v>2026</v>
      </c>
    </row>
    <row r="99" ht="34" customHeight="1">
      <c r="A99" s="7" t="str">
        <v>Journal of Integrative Agriculture</v>
      </c>
      <c r="B99" s="7" t="str">
        <v>农学作物与种质</v>
      </c>
      <c r="C99" s="11" t="n">
        <v>1</v>
      </c>
      <c r="D99" s="12" t="n">
        <v>5.7</v>
      </c>
      <c r="E99" s="13" t="n">
        <v>2025</v>
      </c>
      <c r="F99" s="7" t="str">
        <v>其他</v>
      </c>
      <c r="G99" s="7" t="str">
        <v>领域期刊/新兴刊</v>
      </c>
      <c r="H99" s="7" t="str">
        <v>研究/方法/综合</v>
      </c>
      <c r="I99" s="10" t="n">
        <v>2025</v>
      </c>
      <c r="J99" s="2" t="str">
        <v>是</v>
      </c>
      <c r="K99" s="2" t="str">
        <v>2095-3119</v>
      </c>
      <c r="L99" s="2" t="str">
        <v>2352-3425</v>
      </c>
      <c r="M99" s="7" t="str">
        <v>AGRICULTURE, MULTIDISCIPLINARY(SCIE)</v>
      </c>
      <c r="N99" s="7" t="str">
        <v>两份公开汇编一致</v>
      </c>
      <c r="O99" s="7" t="str"/>
      <c r="P99" s="15" t="str">
        <v>JIF来源</v>
      </c>
      <c r="Q99" s="15" t="str">
        <v>分区来源</v>
      </c>
      <c r="R99" s="15" t="str"/>
      <c r="S99" s="14" t="str">
        <v>https://www.journals.elsevier.com/journal-of-integrative-agriculture</v>
      </c>
      <c r="T99" s="7" t="str">
        <v>ISSN匹配公开元数据；未逐站复核</v>
      </c>
      <c r="U99" s="2" t="str">
        <v>官网来源</v>
      </c>
      <c r="V99" s="2" t="n">
        <v>2026</v>
      </c>
    </row>
    <row r="100" ht="34" customHeight="1">
      <c r="A100" s="7" t="str">
        <v>THEORETICAL AND APPLIED GENETICS</v>
      </c>
      <c r="B100" s="7" t="str">
        <v>农学作物与种质</v>
      </c>
      <c r="C100" s="11" t="n">
        <v>1</v>
      </c>
      <c r="D100" s="12" t="n">
        <v>4.1</v>
      </c>
      <c r="E100" s="13" t="n">
        <v>2025</v>
      </c>
      <c r="F100" s="7" t="str">
        <v>其他</v>
      </c>
      <c r="G100" s="7" t="str">
        <v>经典专业刊</v>
      </c>
      <c r="H100" s="7" t="str">
        <v>研究/方法/综合</v>
      </c>
      <c r="I100" s="10" t="n">
        <v>2025</v>
      </c>
      <c r="J100" s="2" t="str">
        <v>是</v>
      </c>
      <c r="K100" s="2" t="str">
        <v>0040-5752</v>
      </c>
      <c r="L100" s="2" t="str">
        <v>1432-2242</v>
      </c>
      <c r="M100" s="7" t="str">
        <v>AGRONOMY(SCIE);GENETICS &amp; HEREDITY(SCIE);HORTICULTURE(SCIE);PLANT SCIENCES(SCIE)</v>
      </c>
      <c r="N100" s="7" t="str">
        <v>两份公开汇编一致</v>
      </c>
      <c r="O100" s="7" t="str"/>
      <c r="P100" s="15" t="str">
        <v>JIF来源</v>
      </c>
      <c r="Q100" s="15" t="str">
        <v>分区来源</v>
      </c>
      <c r="R100" s="15" t="str"/>
      <c r="S100" s="14" t="str">
        <v>http://www.springer.com/new+%26+forthcoming+titles+%28default%29/journal/122</v>
      </c>
      <c r="T100" s="7" t="str">
        <v>ISSN匹配公开元数据；未逐站复核</v>
      </c>
      <c r="U100" s="2" t="str">
        <v>官网来源</v>
      </c>
      <c r="V100" s="2" t="n">
        <v>2026</v>
      </c>
    </row>
    <row r="101" ht="34" customHeight="1">
      <c r="A101" s="7" t="str">
        <v>PRECISION AGRICULTURE</v>
      </c>
      <c r="B101" s="7" t="str">
        <v>农学作物与种质</v>
      </c>
      <c r="C101" s="11" t="n">
        <v>2</v>
      </c>
      <c r="D101" s="12" t="n">
        <v>7.6</v>
      </c>
      <c r="E101" s="13" t="n">
        <v>2025</v>
      </c>
      <c r="F101" s="7" t="str">
        <v>其他</v>
      </c>
      <c r="G101" s="7" t="str">
        <v>领域期刊/新兴刊</v>
      </c>
      <c r="H101" s="7" t="str">
        <v>研究/方法/综合</v>
      </c>
      <c r="I101" s="10" t="n">
        <v>2025</v>
      </c>
      <c r="J101" s="2" t="str">
        <v>否</v>
      </c>
      <c r="K101" s="2" t="str">
        <v>1385-2256</v>
      </c>
      <c r="L101" s="2" t="str">
        <v>1573-1618</v>
      </c>
      <c r="M101" s="7" t="str">
        <v>AGRICULTURE, MULTIDISCIPLINARY(SCIE)</v>
      </c>
      <c r="N101" s="7" t="str">
        <v>两份公开汇编一致</v>
      </c>
      <c r="O101" s="7" t="str"/>
      <c r="P101" s="15" t="str">
        <v>JIF来源</v>
      </c>
      <c r="Q101" s="15" t="str">
        <v>分区来源</v>
      </c>
      <c r="R101" s="15" t="str"/>
      <c r="S101" s="14" t="str">
        <v>https://link.springer.com/journal/11119</v>
      </c>
      <c r="T101" s="7" t="str">
        <v>ISSN匹配公开元数据；未逐站复核</v>
      </c>
      <c r="U101" s="2" t="str">
        <v>官网来源</v>
      </c>
      <c r="V101" s="2" t="n">
        <v>2026</v>
      </c>
    </row>
    <row r="102" ht="34" customHeight="1">
      <c r="A102" s="7" t="str">
        <v>Food Security</v>
      </c>
      <c r="B102" s="7" t="str">
        <v>农学作物与种质</v>
      </c>
      <c r="C102" s="11" t="n">
        <v>2</v>
      </c>
      <c r="D102" s="12" t="n">
        <v>4.5</v>
      </c>
      <c r="E102" s="13" t="n">
        <v>2025</v>
      </c>
      <c r="F102" s="7" t="str">
        <v>其他</v>
      </c>
      <c r="G102" s="7" t="str">
        <v>领域期刊/新兴刊</v>
      </c>
      <c r="H102" s="7" t="str">
        <v>研究/方法/综合</v>
      </c>
      <c r="I102" s="10" t="n">
        <v>2025</v>
      </c>
      <c r="J102" s="2" t="str">
        <v>否</v>
      </c>
      <c r="K102" s="2" t="str">
        <v>1876-4517</v>
      </c>
      <c r="L102" s="2" t="str">
        <v>1876-4525</v>
      </c>
      <c r="M102" s="7" t="str">
        <v>FOOD SCIENCE &amp; TECHNOLOGY(SCIE)</v>
      </c>
      <c r="N102" s="7" t="str">
        <v>两份公开汇编一致</v>
      </c>
      <c r="O102" s="7" t="str"/>
      <c r="P102" s="15" t="str">
        <v>JIF来源</v>
      </c>
      <c r="Q102" s="15" t="str">
        <v>分区来源</v>
      </c>
      <c r="R102" s="15" t="str"/>
      <c r="S102" s="14" t="str">
        <v>https://www.springer.com/journal/12571</v>
      </c>
      <c r="T102" s="7" t="str">
        <v>ISSN匹配公开元数据；未逐站复核</v>
      </c>
      <c r="U102" s="2" t="str">
        <v>官网来源</v>
      </c>
      <c r="V102" s="2" t="n">
        <v>2026</v>
      </c>
    </row>
    <row r="103" ht="34" customHeight="1">
      <c r="A103" s="7" t="str">
        <v>Rice Science</v>
      </c>
      <c r="B103" s="7" t="str">
        <v>农学作物与种质</v>
      </c>
      <c r="C103" s="11" t="n">
        <v>2</v>
      </c>
      <c r="D103" s="12" t="n">
        <v>7.4</v>
      </c>
      <c r="E103" s="13" t="n">
        <v>2025</v>
      </c>
      <c r="F103" s="7" t="str">
        <v>其他</v>
      </c>
      <c r="G103" s="7" t="str">
        <v>领域期刊/新兴刊</v>
      </c>
      <c r="H103" s="7" t="str">
        <v>研究/方法/综合</v>
      </c>
      <c r="I103" s="10" t="n">
        <v>2025</v>
      </c>
      <c r="J103" s="2" t="str">
        <v>否</v>
      </c>
      <c r="K103" s="2" t="str">
        <v>1672-6308</v>
      </c>
      <c r="L103" s="2" t="str">
        <v>1876-4762</v>
      </c>
      <c r="M103" s="7" t="str">
        <v>AGRONOMY(SCIE);PLANT SCIENCES(SCIE)</v>
      </c>
      <c r="N103" s="7" t="str">
        <v>两份公开汇编一致</v>
      </c>
      <c r="O103" s="7" t="str"/>
      <c r="P103" s="15" t="str">
        <v>JIF来源</v>
      </c>
      <c r="Q103" s="15" t="str">
        <v>分区来源</v>
      </c>
      <c r="R103" s="15" t="str"/>
      <c r="S103" s="14" t="str">
        <v>https://www.journals.elsevier.com/rice-science</v>
      </c>
      <c r="T103" s="7" t="str">
        <v>ISSN匹配公开元数据；未逐站复核</v>
      </c>
      <c r="U103" s="2" t="str">
        <v>官网来源</v>
      </c>
      <c r="V103" s="2" t="n">
        <v>2026</v>
      </c>
    </row>
    <row r="104" ht="34" customHeight="1">
      <c r="A104" s="7" t="str">
        <v>Smart Agricultural Technology</v>
      </c>
      <c r="B104" s="7" t="str">
        <v>农学作物与种质</v>
      </c>
      <c r="C104" s="11" t="n">
        <v>2</v>
      </c>
      <c r="D104" s="12" t="n">
        <v>7.1</v>
      </c>
      <c r="E104" s="13" t="n">
        <v>2025</v>
      </c>
      <c r="F104" s="7" t="str">
        <v>其他</v>
      </c>
      <c r="G104" s="7" t="str">
        <v>领域期刊/新兴刊</v>
      </c>
      <c r="H104" s="7" t="str">
        <v>研究/方法/综合</v>
      </c>
      <c r="I104" s="10" t="n">
        <v>2025</v>
      </c>
      <c r="J104" s="2" t="str">
        <v>否</v>
      </c>
      <c r="K104" s="2" t="str">
        <v>2772-3755</v>
      </c>
      <c r="L104" s="2" t="str">
        <v>2772-3755</v>
      </c>
      <c r="M104" s="7" t="str">
        <v>AGRICULTURAL ENGINEERING(ESCI);AGRICULTURE, MULTIDISCIPLINARY(ESCI);AGRONOMY(ESCI)</v>
      </c>
      <c r="N104" s="7" t="str">
        <v>两份公开汇编一致</v>
      </c>
      <c r="O104" s="7" t="str"/>
      <c r="P104" s="15" t="str">
        <v>JIF来源</v>
      </c>
      <c r="Q104" s="15" t="str">
        <v>分区来源</v>
      </c>
      <c r="R104" s="15" t="str"/>
      <c r="S104" s="14" t="str">
        <v>https://www.journals.elsevier.com/smart-agricultural-technology</v>
      </c>
      <c r="T104" s="7" t="str">
        <v>ISSN匹配公开元数据；未逐站复核</v>
      </c>
      <c r="U104" s="2" t="str">
        <v>官网来源</v>
      </c>
      <c r="V104" s="2" t="n">
        <v>2026</v>
      </c>
    </row>
    <row r="105" ht="34" customHeight="1">
      <c r="A105" s="7" t="str">
        <v>BIOSYSTEMS ENGINEERING</v>
      </c>
      <c r="B105" s="7" t="str">
        <v>农学作物与种质</v>
      </c>
      <c r="C105" s="11" t="n">
        <v>2</v>
      </c>
      <c r="D105" s="12" t="n">
        <v>7.8</v>
      </c>
      <c r="E105" s="13" t="n">
        <v>2025</v>
      </c>
      <c r="F105" s="7" t="str">
        <v>其他</v>
      </c>
      <c r="G105" s="7" t="str">
        <v>领域期刊/新兴刊</v>
      </c>
      <c r="H105" s="7" t="str">
        <v>研究/方法/综合</v>
      </c>
      <c r="I105" s="10" t="n">
        <v>2025</v>
      </c>
      <c r="J105" s="2" t="str">
        <v>是</v>
      </c>
      <c r="K105" s="2" t="str">
        <v>1537-5110</v>
      </c>
      <c r="L105" s="2" t="str">
        <v>1537-5129</v>
      </c>
      <c r="M105" s="7" t="str">
        <v>AGRICULTURAL ENGINEERING(SCIE);AGRICULTURE, MULTIDISCIPLINARY(SCIE)</v>
      </c>
      <c r="N105" s="7" t="str">
        <v>两份公开汇编一致</v>
      </c>
      <c r="O105" s="7" t="str"/>
      <c r="P105" s="15" t="str">
        <v>JIF来源</v>
      </c>
      <c r="Q105" s="15" t="str">
        <v>分区来源</v>
      </c>
      <c r="R105" s="15" t="str"/>
      <c r="S105" s="14" t="str">
        <v>https://www.journals.elsevier.com/biosystems-engineering</v>
      </c>
      <c r="T105" s="7" t="str">
        <v>ISSN匹配公开元数据；未逐站复核</v>
      </c>
      <c r="U105" s="2" t="str">
        <v>官网来源</v>
      </c>
      <c r="V105" s="2" t="n">
        <v>2026</v>
      </c>
    </row>
    <row r="106" ht="34" customHeight="1">
      <c r="A106" s="7" t="str">
        <v>Remote Sensing</v>
      </c>
      <c r="B106" s="7" t="str">
        <v>农学作物与种质</v>
      </c>
      <c r="C106" s="11" t="n">
        <v>2</v>
      </c>
      <c r="D106" s="12" t="n">
        <v>4.3</v>
      </c>
      <c r="E106" s="13" t="n">
        <v>2025</v>
      </c>
      <c r="F106" s="7" t="str">
        <v>其他</v>
      </c>
      <c r="G106" s="7" t="str">
        <v>领域期刊/新兴刊</v>
      </c>
      <c r="H106" s="7" t="str">
        <v>研究/方法/综合</v>
      </c>
      <c r="I106" s="10" t="n">
        <v>2025</v>
      </c>
      <c r="J106" s="2" t="str">
        <v>否</v>
      </c>
      <c r="K106" s="2" t="str"/>
      <c r="L106" s="2" t="str">
        <v>2072-4292</v>
      </c>
      <c r="M106" s="7" t="str">
        <v>ENVIRONMENTAL SCIENCES(SCIE);GEOSCIENCES, MULTIDISCIPLINARY(SCIE);IMAGING SCIENCE &amp; PHOTOGRAPHIC TECHNOLOGY(SCIE);REMOTE SENSING(SCIE)</v>
      </c>
      <c r="N106" s="7" t="str">
        <v>两份公开汇编一致</v>
      </c>
      <c r="O106" s="7" t="str"/>
      <c r="P106" s="15" t="str">
        <v>JIF来源</v>
      </c>
      <c r="Q106" s="15" t="str">
        <v>分区来源</v>
      </c>
      <c r="R106" s="15" t="str"/>
      <c r="S106" s="14" t="str">
        <v>http://www.mdpi.com/journal/remotesensing</v>
      </c>
      <c r="T106" s="7" t="str">
        <v>ISSN匹配公开元数据；未逐站复核</v>
      </c>
      <c r="U106" s="2" t="str">
        <v>官网来源</v>
      </c>
      <c r="V106" s="2" t="n">
        <v>2026</v>
      </c>
    </row>
    <row r="107" ht="34" customHeight="1">
      <c r="A107" s="7" t="str">
        <v>AGRICULTURAL ECONOMICS</v>
      </c>
      <c r="B107" s="7" t="str">
        <v>农学作物与种质</v>
      </c>
      <c r="C107" s="11" t="n">
        <v>2</v>
      </c>
      <c r="D107" s="12" t="n">
        <v>4.7</v>
      </c>
      <c r="E107" s="13" t="n">
        <v>2025</v>
      </c>
      <c r="F107" s="7" t="str">
        <v>其他</v>
      </c>
      <c r="G107" s="7" t="str">
        <v>领域期刊/新兴刊</v>
      </c>
      <c r="H107" s="7" t="str">
        <v>研究/方法/综合</v>
      </c>
      <c r="I107" s="10" t="n">
        <v>2025</v>
      </c>
      <c r="J107" s="2" t="str">
        <v>否</v>
      </c>
      <c r="K107" s="2" t="str">
        <v>0169-5150</v>
      </c>
      <c r="L107" s="2" t="str">
        <v>1574-0862</v>
      </c>
      <c r="M107" s="7" t="str">
        <v>AGRICULTURAL ECONOMICS &amp; POLICY(SCIE);ECONOMICS(SSCI)</v>
      </c>
      <c r="N107" s="7" t="str">
        <v>两份公开汇编一致</v>
      </c>
      <c r="O107" s="7" t="str"/>
      <c r="P107" s="15" t="str">
        <v>JIF来源</v>
      </c>
      <c r="Q107" s="15" t="str">
        <v>分区来源</v>
      </c>
      <c r="R107" s="15" t="str"/>
      <c r="S107" s="14" t="str">
        <v>http://onlinelibrary.wiley.com/journal/10.1111/(ISSN)1574-0862</v>
      </c>
      <c r="T107" s="7" t="str">
        <v>ISSN匹配公开元数据；未逐站复核</v>
      </c>
      <c r="U107" s="2" t="str">
        <v>官网来源</v>
      </c>
      <c r="V107" s="2" t="n">
        <v>2026</v>
      </c>
    </row>
    <row r="108" ht="34" customHeight="1">
      <c r="A108" s="7" t="str">
        <v>Plant Genome</v>
      </c>
      <c r="B108" s="7" t="str">
        <v>农学作物与种质</v>
      </c>
      <c r="C108" s="11" t="n">
        <v>2</v>
      </c>
      <c r="D108" s="12" t="n">
        <v>4.3</v>
      </c>
      <c r="E108" s="13" t="n">
        <v>2025</v>
      </c>
      <c r="F108" s="7" t="str">
        <v>其他</v>
      </c>
      <c r="G108" s="7" t="str">
        <v>领域期刊/新兴刊</v>
      </c>
      <c r="H108" s="7" t="str">
        <v>研究/方法/综合</v>
      </c>
      <c r="I108" s="10" t="n">
        <v>2025</v>
      </c>
      <c r="J108" s="2" t="str">
        <v>否</v>
      </c>
      <c r="K108" s="2" t="str"/>
      <c r="L108" s="2" t="str">
        <v>1940-3372</v>
      </c>
      <c r="M108" s="7" t="str">
        <v>GENETICS &amp; HEREDITY(SCIE);PLANT SCIENCES(SCIE)</v>
      </c>
      <c r="N108" s="7" t="str">
        <v>两份公开汇编一致</v>
      </c>
      <c r="O108" s="7" t="str"/>
      <c r="P108" s="15" t="str">
        <v>JIF来源</v>
      </c>
      <c r="Q108" s="15" t="str">
        <v>分区来源</v>
      </c>
      <c r="R108" s="15" t="str"/>
      <c r="S108" s="14" t="str">
        <v>https://acsess.onlinelibrary.wiley.com/journal/19403372</v>
      </c>
      <c r="T108" s="7" t="str">
        <v>ISSN匹配公开元数据；未逐站复核</v>
      </c>
      <c r="U108" s="2" t="str">
        <v>官网来源</v>
      </c>
      <c r="V108" s="2" t="n">
        <v>2026</v>
      </c>
    </row>
    <row r="109" ht="34" customHeight="1">
      <c r="A109" s="7" t="str">
        <v>Journal of Cereal Science</v>
      </c>
      <c r="B109" s="7" t="str">
        <v>农学作物与种质</v>
      </c>
      <c r="C109" s="11" t="n">
        <v>2</v>
      </c>
      <c r="D109" s="12" t="n">
        <v>4.3</v>
      </c>
      <c r="E109" s="13" t="n">
        <v>2025</v>
      </c>
      <c r="F109" s="7" t="str">
        <v>其他</v>
      </c>
      <c r="G109" s="7" t="str">
        <v>领域期刊/新兴刊</v>
      </c>
      <c r="H109" s="7" t="str">
        <v>研究/方法/综合</v>
      </c>
      <c r="I109" s="10" t="n">
        <v>2025</v>
      </c>
      <c r="J109" s="2" t="str">
        <v>否</v>
      </c>
      <c r="K109" s="2" t="str">
        <v>0733-5210</v>
      </c>
      <c r="L109" s="2" t="str">
        <v>1095-9963</v>
      </c>
      <c r="M109" s="7" t="str">
        <v>FOOD SCIENCE &amp; TECHNOLOGY(SCIE)</v>
      </c>
      <c r="N109" s="7" t="str">
        <v>两份公开汇编一致</v>
      </c>
      <c r="O109" s="7" t="str"/>
      <c r="P109" s="15" t="str">
        <v>JIF来源</v>
      </c>
      <c r="Q109" s="15" t="str">
        <v>分区来源</v>
      </c>
      <c r="R109" s="15" t="str"/>
      <c r="S109" s="14" t="str">
        <v>https://www.sciencedirect.com/journal/journal-of-cereal-science</v>
      </c>
      <c r="T109" s="7" t="str">
        <v>ISSN匹配公开元数据；未逐站复核</v>
      </c>
      <c r="U109" s="2" t="str">
        <v>官网来源</v>
      </c>
      <c r="V109" s="2" t="n">
        <v>2026</v>
      </c>
    </row>
    <row r="110" ht="34" customHeight="1">
      <c r="A110" s="7" t="str">
        <v>Agriculture-Basel</v>
      </c>
      <c r="B110" s="7" t="str">
        <v>农学作物与种质</v>
      </c>
      <c r="C110" s="11" t="n">
        <v>2</v>
      </c>
      <c r="D110" s="12" t="n">
        <v>4.5</v>
      </c>
      <c r="E110" s="13" t="n">
        <v>2025</v>
      </c>
      <c r="F110" s="7" t="str">
        <v>其他</v>
      </c>
      <c r="G110" s="7" t="str">
        <v>领域期刊/新兴刊</v>
      </c>
      <c r="H110" s="7" t="str">
        <v>研究/方法/综合</v>
      </c>
      <c r="I110" s="10" t="n">
        <v>2025</v>
      </c>
      <c r="J110" s="2" t="str">
        <v>否</v>
      </c>
      <c r="K110" s="2" t="str"/>
      <c r="L110" s="2" t="str">
        <v>2077-0472</v>
      </c>
      <c r="M110" s="7" t="str">
        <v>AGRONOMY(SCIE)</v>
      </c>
      <c r="N110" s="7" t="str">
        <v>两份公开汇编一致</v>
      </c>
      <c r="O110" s="7" t="str"/>
      <c r="P110" s="15" t="str">
        <v>JIF来源</v>
      </c>
      <c r="Q110" s="15" t="str">
        <v>分区来源</v>
      </c>
      <c r="R110" s="15" t="str"/>
      <c r="S110" s="14" t="str">
        <v>http://www.mdpi.com/journal/agriculture</v>
      </c>
      <c r="T110" s="7" t="str">
        <v>ISSN匹配公开元数据；未逐站复核</v>
      </c>
      <c r="U110" s="2" t="str">
        <v>官网来源</v>
      </c>
      <c r="V110" s="2" t="n">
        <v>2026</v>
      </c>
    </row>
    <row r="111" ht="34" customHeight="1">
      <c r="A111" s="7" t="str">
        <v>IRRIGATION SCIENCE</v>
      </c>
      <c r="B111" s="7" t="str">
        <v>农学作物与种质</v>
      </c>
      <c r="C111" s="11" t="n">
        <v>2</v>
      </c>
      <c r="D111" s="12" t="n">
        <v>3.4</v>
      </c>
      <c r="E111" s="13" t="n">
        <v>2025</v>
      </c>
      <c r="F111" s="7" t="str">
        <v>其他</v>
      </c>
      <c r="G111" s="7" t="str">
        <v>领域期刊/新兴刊</v>
      </c>
      <c r="H111" s="7" t="str">
        <v>研究/方法/综合</v>
      </c>
      <c r="I111" s="10" t="n">
        <v>2025</v>
      </c>
      <c r="J111" s="2" t="str">
        <v>否</v>
      </c>
      <c r="K111" s="2" t="str">
        <v>0342-7188</v>
      </c>
      <c r="L111" s="2" t="str">
        <v>1432-1319</v>
      </c>
      <c r="M111" s="7" t="str">
        <v>AGRONOMY(SCIE);WATER RESOURCES(SCIE)</v>
      </c>
      <c r="N111" s="7" t="str">
        <v>两份公开汇编一致</v>
      </c>
      <c r="O111" s="7" t="str"/>
      <c r="P111" s="15" t="str">
        <v>JIF来源</v>
      </c>
      <c r="Q111" s="15" t="str">
        <v>分区来源</v>
      </c>
      <c r="R111" s="15" t="str"/>
      <c r="S111" s="14" t="str">
        <v>https://link.springer.com/journal/271</v>
      </c>
      <c r="T111" s="7" t="str">
        <v>ISSN匹配公开元数据；未逐站复核</v>
      </c>
      <c r="U111" s="2" t="str">
        <v>官网来源</v>
      </c>
      <c r="V111" s="2" t="n">
        <v>2026</v>
      </c>
    </row>
    <row r="112" ht="34" customHeight="1">
      <c r="A112" s="7" t="str">
        <v>Agronomy-Basel</v>
      </c>
      <c r="B112" s="7" t="str">
        <v>农学作物与种质</v>
      </c>
      <c r="C112" s="11" t="n">
        <v>2</v>
      </c>
      <c r="D112" s="12" t="n">
        <v>4.1</v>
      </c>
      <c r="E112" s="13" t="n">
        <v>2025</v>
      </c>
      <c r="F112" s="7" t="str">
        <v>其他</v>
      </c>
      <c r="G112" s="7" t="str">
        <v>领域期刊/新兴刊</v>
      </c>
      <c r="H112" s="7" t="str">
        <v>研究/方法/综合</v>
      </c>
      <c r="I112" s="10" t="n">
        <v>2025</v>
      </c>
      <c r="J112" s="2" t="str">
        <v>否</v>
      </c>
      <c r="K112" s="2" t="str"/>
      <c r="L112" s="2" t="str">
        <v>2073-4395</v>
      </c>
      <c r="M112" s="7" t="str">
        <v>AGRONOMY(SCIE);PLANT SCIENCES(SCIE)</v>
      </c>
      <c r="N112" s="7" t="str">
        <v>两份公开汇编一致</v>
      </c>
      <c r="O112" s="7" t="str"/>
      <c r="P112" s="15" t="str">
        <v>JIF来源</v>
      </c>
      <c r="Q112" s="15" t="str">
        <v>分区来源</v>
      </c>
      <c r="R112" s="15" t="str"/>
      <c r="S112" s="14" t="str">
        <v>http://www.mdpi.com/journal/agronomy</v>
      </c>
      <c r="T112" s="7" t="str">
        <v>ISSN匹配公开元数据；未逐站复核</v>
      </c>
      <c r="U112" s="2" t="str">
        <v>官网来源</v>
      </c>
      <c r="V112" s="2" t="n">
        <v>2026</v>
      </c>
    </row>
    <row r="113" ht="34" customHeight="1">
      <c r="A113" s="7" t="str">
        <v>AMERICAN JOURNAL OF AGRICULTURAL ECONOMICS</v>
      </c>
      <c r="B113" s="7" t="str">
        <v>农学作物与种质</v>
      </c>
      <c r="C113" s="11" t="n">
        <v>2</v>
      </c>
      <c r="D113" s="12" t="n">
        <v>4.9</v>
      </c>
      <c r="E113" s="13" t="n">
        <v>2025</v>
      </c>
      <c r="F113" s="7" t="str">
        <v>其他</v>
      </c>
      <c r="G113" s="7" t="str">
        <v>领域期刊/新兴刊</v>
      </c>
      <c r="H113" s="7" t="str">
        <v>研究/方法/综合</v>
      </c>
      <c r="I113" s="10" t="n">
        <v>2025</v>
      </c>
      <c r="J113" s="2" t="str">
        <v>否</v>
      </c>
      <c r="K113" s="2" t="str">
        <v>0002-9092</v>
      </c>
      <c r="L113" s="2" t="str">
        <v>1467-8276</v>
      </c>
      <c r="M113" s="7" t="str">
        <v>AGRICULTURAL ECONOMICS &amp; POLICY(SCIE);ECONOMICS(SSCI)</v>
      </c>
      <c r="N113" s="7" t="str">
        <v>两份公开汇编一致</v>
      </c>
      <c r="O113" s="7" t="str"/>
      <c r="P113" s="15" t="str">
        <v>JIF来源</v>
      </c>
      <c r="Q113" s="15" t="str">
        <v>分区来源</v>
      </c>
      <c r="R113" s="15" t="str"/>
      <c r="S113" s="14" t="str">
        <v>https://onlinelibrary.wiley.com/journal/14678276</v>
      </c>
      <c r="T113" s="7" t="str">
        <v>ISSN匹配公开元数据；未逐站复核</v>
      </c>
      <c r="U113" s="2" t="str">
        <v>官网来源</v>
      </c>
      <c r="V113" s="2" t="n">
        <v>2026</v>
      </c>
    </row>
    <row r="114" ht="34" customHeight="1">
      <c r="A114" s="7" t="str">
        <v>JOURNAL OF AGRONOMY AND CROP SCIENCE</v>
      </c>
      <c r="B114" s="7" t="str">
        <v>农学作物与种质</v>
      </c>
      <c r="C114" s="11" t="n">
        <v>2</v>
      </c>
      <c r="D114" s="12" t="n">
        <v>3.2</v>
      </c>
      <c r="E114" s="13" t="n">
        <v>2025</v>
      </c>
      <c r="F114" s="7" t="str">
        <v>其他</v>
      </c>
      <c r="G114" s="7" t="str">
        <v>领域期刊/新兴刊</v>
      </c>
      <c r="H114" s="7" t="str">
        <v>研究/方法/综合</v>
      </c>
      <c r="I114" s="10" t="n">
        <v>2025</v>
      </c>
      <c r="J114" s="2" t="str">
        <v>否</v>
      </c>
      <c r="K114" s="2" t="str">
        <v>0931-2250</v>
      </c>
      <c r="L114" s="2" t="str">
        <v>1439-037X</v>
      </c>
      <c r="M114" s="7" t="str">
        <v>AGRONOMY(SCIE)</v>
      </c>
      <c r="N114" s="7" t="str">
        <v>两份公开汇编一致</v>
      </c>
      <c r="O114" s="7" t="str"/>
      <c r="P114" s="15" t="str">
        <v>JIF来源</v>
      </c>
      <c r="Q114" s="15" t="str">
        <v>分区来源</v>
      </c>
      <c r="R114" s="15" t="str"/>
      <c r="S114" s="14" t="str">
        <v>https://onlinelibrary.wiley.com/journal/1439037X</v>
      </c>
      <c r="T114" s="7" t="str">
        <v>ISSN匹配公开元数据；未逐站复核</v>
      </c>
      <c r="U114" s="2" t="str">
        <v>官网来源</v>
      </c>
      <c r="V114" s="2" t="n">
        <v>2026</v>
      </c>
    </row>
    <row r="115" ht="34" customHeight="1">
      <c r="A115" s="7" t="str">
        <v>JOURNAL OF THE SCIENCE OF FOOD AND AGRICULTURE</v>
      </c>
      <c r="B115" s="7" t="str">
        <v>农学作物与种质</v>
      </c>
      <c r="C115" s="11" t="n">
        <v>3</v>
      </c>
      <c r="D115" s="12" t="n">
        <v>4</v>
      </c>
      <c r="E115" s="13" t="n">
        <v>2025</v>
      </c>
      <c r="F115" s="7" t="str">
        <v>其他</v>
      </c>
      <c r="G115" s="7" t="str">
        <v>领域期刊/新兴刊</v>
      </c>
      <c r="H115" s="7" t="str">
        <v>研究/方法/综合</v>
      </c>
      <c r="I115" s="10" t="n">
        <v>2025</v>
      </c>
      <c r="J115" s="2" t="str">
        <v>否</v>
      </c>
      <c r="K115" s="2" t="str">
        <v>0022-5142</v>
      </c>
      <c r="L115" s="2" t="str">
        <v>1097-0010</v>
      </c>
      <c r="M115" s="7" t="str">
        <v>AGRICULTURE, MULTIDISCIPLINARY(SCIE);CHEMISTRY, APPLIED(SCIE);FOOD SCIENCE &amp; TECHNOLOGY(SCIE)</v>
      </c>
      <c r="N115" s="7" t="str">
        <v>两份公开汇编一致</v>
      </c>
      <c r="O115" s="7" t="str"/>
      <c r="P115" s="15" t="str">
        <v>JIF来源</v>
      </c>
      <c r="Q115" s="15" t="str">
        <v>分区来源</v>
      </c>
      <c r="R115" s="15" t="str"/>
      <c r="S115" s="14" t="str">
        <v>http://onlinelibrary.wiley.com/journal/10.1002/(ISSN)1097-0010</v>
      </c>
      <c r="T115" s="7" t="str">
        <v>ISSN匹配公开元数据；未逐站复核</v>
      </c>
      <c r="U115" s="2" t="str">
        <v>官网来源</v>
      </c>
      <c r="V115" s="2" t="n">
        <v>2026</v>
      </c>
    </row>
    <row r="116" ht="34" customHeight="1">
      <c r="A116" s="7" t="str">
        <v>MOLECULAR BREEDING</v>
      </c>
      <c r="B116" s="7" t="str">
        <v>农学作物与种质</v>
      </c>
      <c r="C116" s="11" t="n">
        <v>3</v>
      </c>
      <c r="D116" s="12" t="n">
        <v>3.6</v>
      </c>
      <c r="E116" s="13" t="n">
        <v>2025</v>
      </c>
      <c r="F116" s="7" t="str">
        <v>其他</v>
      </c>
      <c r="G116" s="7" t="str">
        <v>领域期刊/新兴刊</v>
      </c>
      <c r="H116" s="7" t="str">
        <v>研究/方法/综合</v>
      </c>
      <c r="I116" s="10" t="n">
        <v>2025</v>
      </c>
      <c r="J116" s="2" t="str">
        <v>否</v>
      </c>
      <c r="K116" s="2" t="str">
        <v>1380-3743</v>
      </c>
      <c r="L116" s="2" t="str">
        <v>1572-9788</v>
      </c>
      <c r="M116" s="7" t="str">
        <v>AGRONOMY(SCIE);GENETICS &amp; HEREDITY(SCIE);HORTICULTURE(SCIE);PLANT SCIENCES(SCIE)</v>
      </c>
      <c r="N116" s="7" t="str">
        <v>两份公开汇编一致</v>
      </c>
      <c r="O116" s="7" t="str"/>
      <c r="P116" s="15" t="str">
        <v>JIF来源</v>
      </c>
      <c r="Q116" s="15" t="str">
        <v>分区来源</v>
      </c>
      <c r="R116" s="15" t="str"/>
      <c r="S116" s="14" t="str">
        <v>https://www.springer.com/journal/11032</v>
      </c>
      <c r="T116" s="7" t="str">
        <v>ISSN匹配公开元数据；未逐站复核</v>
      </c>
      <c r="U116" s="2" t="str">
        <v>官网来源</v>
      </c>
      <c r="V116" s="2" t="n">
        <v>2026</v>
      </c>
    </row>
    <row r="117" ht="34" customHeight="1">
      <c r="A117" s="7" t="str">
        <v>SEED SCIENCE AND TECHNOLOGY</v>
      </c>
      <c r="B117" s="7" t="str">
        <v>农学作物与种质</v>
      </c>
      <c r="C117" s="11" t="n">
        <v>3</v>
      </c>
      <c r="D117" s="12" t="n">
        <v>4.2</v>
      </c>
      <c r="E117" s="13" t="n">
        <v>2025</v>
      </c>
      <c r="F117" s="7" t="str">
        <v>其他</v>
      </c>
      <c r="G117" s="7" t="str">
        <v>领域期刊/新兴刊</v>
      </c>
      <c r="H117" s="7" t="str">
        <v>研究/方法/综合</v>
      </c>
      <c r="I117" s="10" t="n">
        <v>2025</v>
      </c>
      <c r="J117" s="2" t="str">
        <v>否</v>
      </c>
      <c r="K117" s="2" t="str">
        <v>0251-0952</v>
      </c>
      <c r="L117" s="2" t="str">
        <v>1819-5717</v>
      </c>
      <c r="M117" s="7" t="str">
        <v>AGRONOMY(SCIE);HORTICULTURE(SCIE);PLANT SCIENCES(SCIE)</v>
      </c>
      <c r="N117" s="7" t="str">
        <v>公开汇编已匹配</v>
      </c>
      <c r="O117" s="7" t="str"/>
      <c r="P117" s="15" t="str">
        <v>JIF来源</v>
      </c>
      <c r="Q117" s="15" t="str">
        <v>分区来源</v>
      </c>
      <c r="R117" s="15" t="str"/>
      <c r="S117" s="14" t="str">
        <v>http://www.seedtest.org/en/content---1--1084.html</v>
      </c>
      <c r="T117" s="7" t="str">
        <v>ISSN匹配公开元数据；未逐站复核</v>
      </c>
      <c r="U117" s="2" t="str">
        <v>官网来源</v>
      </c>
      <c r="V117" s="2" t="n">
        <v>2026</v>
      </c>
    </row>
    <row r="118" ht="34" customHeight="1">
      <c r="A118" s="7" t="str">
        <v>AGRONOMY JOURNAL</v>
      </c>
      <c r="B118" s="7" t="str">
        <v>农学作物与种质</v>
      </c>
      <c r="C118" s="11" t="n">
        <v>3</v>
      </c>
      <c r="D118" s="12" t="n">
        <v>2.5</v>
      </c>
      <c r="E118" s="13" t="n">
        <v>2025</v>
      </c>
      <c r="F118" s="7" t="str">
        <v>其他</v>
      </c>
      <c r="G118" s="7" t="str">
        <v>经典专业刊</v>
      </c>
      <c r="H118" s="7" t="str">
        <v>研究/方法/综合</v>
      </c>
      <c r="I118" s="10" t="n">
        <v>2025</v>
      </c>
      <c r="J118" s="2" t="str">
        <v>否</v>
      </c>
      <c r="K118" s="2" t="str">
        <v>0002-1962</v>
      </c>
      <c r="L118" s="2" t="str">
        <v>1435-0645</v>
      </c>
      <c r="M118" s="7" t="str">
        <v>AGRONOMY(SCIE)</v>
      </c>
      <c r="N118" s="7" t="str">
        <v>公开汇编已匹配</v>
      </c>
      <c r="O118" s="7" t="str"/>
      <c r="P118" s="15" t="str">
        <v>JIF来源</v>
      </c>
      <c r="Q118" s="15" t="str">
        <v>分区来源</v>
      </c>
      <c r="R118" s="15" t="str"/>
      <c r="S118" s="14" t="str">
        <v>https://acsess.onlinelibrary.wiley.com/journal/14350645</v>
      </c>
      <c r="T118" s="7" t="str">
        <v>ISSN匹配公开元数据；未逐站复核</v>
      </c>
      <c r="U118" s="2" t="str">
        <v>官网来源</v>
      </c>
      <c r="V118" s="2" t="n">
        <v>2026</v>
      </c>
    </row>
    <row r="119" ht="34" customHeight="1">
      <c r="A119" s="7" t="str">
        <v>CROP SCIENCE</v>
      </c>
      <c r="B119" s="7" t="str">
        <v>农学作物与种质</v>
      </c>
      <c r="C119" s="11" t="n">
        <v>3</v>
      </c>
      <c r="D119" s="12" t="n">
        <v>2.4</v>
      </c>
      <c r="E119" s="13" t="n">
        <v>2025</v>
      </c>
      <c r="F119" s="7" t="str">
        <v>其他</v>
      </c>
      <c r="G119" s="7" t="str">
        <v>经典专业刊</v>
      </c>
      <c r="H119" s="7" t="str">
        <v>研究/方法/综合</v>
      </c>
      <c r="I119" s="10" t="n">
        <v>2025</v>
      </c>
      <c r="J119" s="2" t="str">
        <v>否</v>
      </c>
      <c r="K119" s="2" t="str">
        <v>0011-183X</v>
      </c>
      <c r="L119" s="2" t="str">
        <v>1435-0653</v>
      </c>
      <c r="M119" s="7" t="str">
        <v>AGRONOMY(SCIE)</v>
      </c>
      <c r="N119" s="7" t="str">
        <v>公开汇编已匹配</v>
      </c>
      <c r="O119" s="7" t="str"/>
      <c r="P119" s="15" t="str">
        <v>JIF来源</v>
      </c>
      <c r="Q119" s="15" t="str">
        <v>分区来源</v>
      </c>
      <c r="R119" s="15" t="str"/>
      <c r="S119" s="14" t="str">
        <v>https://acsess.onlinelibrary.wiley.com/journal/14350653</v>
      </c>
      <c r="T119" s="7" t="str">
        <v>ISSN匹配公开元数据；未逐站复核</v>
      </c>
      <c r="U119" s="2" t="str">
        <v>官网来源</v>
      </c>
      <c r="V119" s="2" t="n">
        <v>2026</v>
      </c>
    </row>
    <row r="120" ht="34" customHeight="1">
      <c r="A120" s="7" t="str">
        <v>SEED SCIENCE RESEARCH</v>
      </c>
      <c r="B120" s="7" t="str">
        <v>农学作物与种质</v>
      </c>
      <c r="C120" s="11" t="n">
        <v>3</v>
      </c>
      <c r="D120" s="12" t="n">
        <v>2.1</v>
      </c>
      <c r="E120" s="13" t="n">
        <v>2025</v>
      </c>
      <c r="F120" s="7" t="str">
        <v>其他</v>
      </c>
      <c r="G120" s="7" t="str">
        <v>领域期刊/新兴刊</v>
      </c>
      <c r="H120" s="7" t="str">
        <v>研究/方法/综合</v>
      </c>
      <c r="I120" s="10" t="n">
        <v>2025</v>
      </c>
      <c r="J120" s="2" t="str">
        <v>否</v>
      </c>
      <c r="K120" s="2" t="str">
        <v>0960-2585</v>
      </c>
      <c r="L120" s="2" t="str">
        <v>1475-2735</v>
      </c>
      <c r="M120" s="7" t="str">
        <v>PLANT SCIENCES(SCIE)</v>
      </c>
      <c r="N120" s="7" t="str">
        <v>公开汇编已匹配</v>
      </c>
      <c r="O120" s="7" t="str"/>
      <c r="P120" s="15" t="str">
        <v>JIF来源</v>
      </c>
      <c r="Q120" s="15" t="str">
        <v>分区来源</v>
      </c>
      <c r="R120" s="15" t="str"/>
      <c r="S120" s="14" t="str">
        <v>http://journals.cambridge.org/SSR</v>
      </c>
      <c r="T120" s="7" t="str">
        <v>ISSN匹配公开元数据；未逐站复核</v>
      </c>
      <c r="U120" s="2" t="str">
        <v>官网来源</v>
      </c>
      <c r="V120" s="2" t="n">
        <v>2026</v>
      </c>
    </row>
    <row r="121" ht="34" customHeight="1">
      <c r="A121" s="7" t="str">
        <v>EUPHYTICA</v>
      </c>
      <c r="B121" s="7" t="str">
        <v>农学作物与种质</v>
      </c>
      <c r="C121" s="11" t="n">
        <v>3</v>
      </c>
      <c r="D121" s="12" t="n">
        <v>1.8</v>
      </c>
      <c r="E121" s="13" t="n">
        <v>2025</v>
      </c>
      <c r="F121" s="7" t="str">
        <v>其他</v>
      </c>
      <c r="G121" s="7" t="str">
        <v>经典专业刊</v>
      </c>
      <c r="H121" s="7" t="str">
        <v>研究/方法/综合</v>
      </c>
      <c r="I121" s="10" t="n">
        <v>2025</v>
      </c>
      <c r="J121" s="2" t="str">
        <v>否</v>
      </c>
      <c r="K121" s="2" t="str">
        <v>0014-2336</v>
      </c>
      <c r="L121" s="2" t="str">
        <v>1573-5060</v>
      </c>
      <c r="M121" s="7" t="str">
        <v>AGRONOMY(SCIE);HORTICULTURE(SCIE);PLANT SCIENCES(SCIE)</v>
      </c>
      <c r="N121" s="7" t="str">
        <v>公开汇编已匹配</v>
      </c>
      <c r="O121" s="7" t="str"/>
      <c r="P121" s="15" t="str">
        <v>JIF来源</v>
      </c>
      <c r="Q121" s="15" t="str">
        <v>分区来源</v>
      </c>
      <c r="R121" s="15" t="str"/>
      <c r="S121" s="14" t="str">
        <v>https://link.springer.com/journal/10681</v>
      </c>
      <c r="T121" s="7" t="str">
        <v>ISSN匹配公开元数据；未逐站复核</v>
      </c>
      <c r="U121" s="2" t="str">
        <v>官网来源</v>
      </c>
      <c r="V121" s="2" t="n">
        <v>2026</v>
      </c>
    </row>
    <row r="122" ht="34" customHeight="1">
      <c r="A122" s="7" t="str">
        <v>GENETIC RESOURCES AND CROP EVOLUTION</v>
      </c>
      <c r="B122" s="7" t="str">
        <v>农学作物与种质</v>
      </c>
      <c r="C122" s="11" t="n">
        <v>3</v>
      </c>
      <c r="D122" s="12" t="n">
        <v>1.9</v>
      </c>
      <c r="E122" s="13" t="n">
        <v>2025</v>
      </c>
      <c r="F122" s="7" t="str">
        <v>其他</v>
      </c>
      <c r="G122" s="7" t="str">
        <v>经典专业刊</v>
      </c>
      <c r="H122" s="7" t="str">
        <v>研究/方法/综合</v>
      </c>
      <c r="I122" s="10" t="n">
        <v>2025</v>
      </c>
      <c r="J122" s="2" t="str">
        <v>否</v>
      </c>
      <c r="K122" s="2" t="str">
        <v>0925-9864</v>
      </c>
      <c r="L122" s="2" t="str">
        <v>1573-5109</v>
      </c>
      <c r="M122" s="7" t="str">
        <v>AGRONOMY(SCIE);PLANT SCIENCES(SCIE)</v>
      </c>
      <c r="N122" s="7" t="str">
        <v>公开汇编已匹配</v>
      </c>
      <c r="O122" s="7" t="str"/>
      <c r="P122" s="15" t="str">
        <v>JIF来源</v>
      </c>
      <c r="Q122" s="15" t="str">
        <v>分区来源</v>
      </c>
      <c r="R122" s="15" t="str"/>
      <c r="S122" s="14" t="str">
        <v>https://link.springer.com/journal/10722</v>
      </c>
      <c r="T122" s="7" t="str">
        <v>ISSN匹配公开元数据；未逐站复核</v>
      </c>
      <c r="U122" s="2" t="str">
        <v>官网来源</v>
      </c>
      <c r="V122" s="2" t="n">
        <v>2026</v>
      </c>
    </row>
    <row r="123" ht="34" customHeight="1">
      <c r="A123" s="7" t="str">
        <v>CEREAL CHEMISTRY</v>
      </c>
      <c r="B123" s="7" t="str">
        <v>农学作物与种质</v>
      </c>
      <c r="C123" s="11" t="n">
        <v>4</v>
      </c>
      <c r="D123" s="12" t="n">
        <v>2.4</v>
      </c>
      <c r="E123" s="13" t="n">
        <v>2025</v>
      </c>
      <c r="F123" s="7" t="str">
        <v>其他</v>
      </c>
      <c r="G123" s="7" t="str">
        <v>领域期刊/新兴刊</v>
      </c>
      <c r="H123" s="7" t="str">
        <v>研究/方法/综合</v>
      </c>
      <c r="I123" s="10" t="n">
        <v>2025</v>
      </c>
      <c r="J123" s="2" t="str">
        <v>否</v>
      </c>
      <c r="K123" s="2" t="str">
        <v>0009-0352</v>
      </c>
      <c r="L123" s="2" t="str">
        <v>1943-3638</v>
      </c>
      <c r="M123" s="7" t="str">
        <v>CHEMISTRY, APPLIED(SCIE);FOOD SCIENCE &amp; TECHNOLOGY(SCIE)</v>
      </c>
      <c r="N123" s="7" t="str">
        <v>公开汇编已匹配</v>
      </c>
      <c r="O123" s="7" t="str"/>
      <c r="P123" s="15" t="str">
        <v>JIF来源</v>
      </c>
      <c r="Q123" s="15" t="str">
        <v>分区来源</v>
      </c>
      <c r="R123" s="15" t="str"/>
      <c r="S123" s="14" t="str">
        <v>https://onlinelibrary.wiley.com/journal/19433638</v>
      </c>
      <c r="T123" s="7" t="str">
        <v>ISSN匹配公开元数据；未逐站复核</v>
      </c>
      <c r="U123" s="2" t="str">
        <v>官网来源</v>
      </c>
      <c r="V123" s="2" t="n">
        <v>2026</v>
      </c>
    </row>
    <row r="124" ht="34" customHeight="1">
      <c r="A124" s="7" t="str">
        <v>BREEDING SCIENCE</v>
      </c>
      <c r="B124" s="7" t="str">
        <v>农学作物与种质</v>
      </c>
      <c r="C124" s="11" t="n">
        <v>4</v>
      </c>
      <c r="D124" s="12" t="n">
        <v>1.7</v>
      </c>
      <c r="E124" s="13" t="n">
        <v>2025</v>
      </c>
      <c r="F124" s="7" t="str">
        <v>其他</v>
      </c>
      <c r="G124" s="7" t="str">
        <v>领域期刊/新兴刊</v>
      </c>
      <c r="H124" s="7" t="str">
        <v>研究/方法/综合</v>
      </c>
      <c r="I124" s="10" t="n">
        <v>2025</v>
      </c>
      <c r="J124" s="2" t="str">
        <v>否</v>
      </c>
      <c r="K124" s="2" t="str">
        <v>1344-7610</v>
      </c>
      <c r="L124" s="2" t="str">
        <v>1347-3735</v>
      </c>
      <c r="M124" s="7" t="str">
        <v>AGRONOMY(SCIE);PLANT SCIENCES(SCIE)</v>
      </c>
      <c r="N124" s="7" t="str">
        <v>公开汇编已匹配</v>
      </c>
      <c r="O124" s="7" t="str"/>
      <c r="P124" s="15" t="str">
        <v>JIF来源</v>
      </c>
      <c r="Q124" s="15" t="str">
        <v>分区来源</v>
      </c>
      <c r="R124" s="15" t="str"/>
      <c r="S124" s="14" t="str">
        <v>https://www.jstage.jst.go.jp/browse/jsbbs/</v>
      </c>
      <c r="T124" s="7" t="str">
        <v>出版社/期刊主页匹配</v>
      </c>
      <c r="U124" s="2" t="str">
        <v>官网来源</v>
      </c>
      <c r="V124" s="2" t="n">
        <v>2026</v>
      </c>
    </row>
    <row r="125" ht="34" customHeight="1">
      <c r="A125" s="7" t="str">
        <v>G3-Genes Genomes Genetics</v>
      </c>
      <c r="B125" s="7" t="str">
        <v>农学作物与种质</v>
      </c>
      <c r="C125" s="11" t="n">
        <v>4</v>
      </c>
      <c r="D125" s="12" t="n">
        <v>2.4</v>
      </c>
      <c r="E125" s="13" t="n">
        <v>2025</v>
      </c>
      <c r="F125" s="7" t="str">
        <v>其他</v>
      </c>
      <c r="G125" s="7" t="str">
        <v>领域期刊/新兴刊</v>
      </c>
      <c r="H125" s="7" t="str">
        <v>研究/方法/综合</v>
      </c>
      <c r="I125" s="10" t="n">
        <v>2025</v>
      </c>
      <c r="J125" s="2" t="str">
        <v>否</v>
      </c>
      <c r="K125" s="2" t="str">
        <v>2160-1836</v>
      </c>
      <c r="L125" s="2" t="str">
        <v>2160-1836</v>
      </c>
      <c r="M125" s="7" t="str">
        <v>GENETICS &amp; HEREDITY(SCIE)</v>
      </c>
      <c r="N125" s="7" t="str">
        <v>两份公开汇编一致</v>
      </c>
      <c r="O125" s="7" t="str"/>
      <c r="P125" s="15" t="str">
        <v>JIF来源</v>
      </c>
      <c r="Q125" s="15" t="str">
        <v>分区来源</v>
      </c>
      <c r="R125" s="15" t="str"/>
      <c r="S125" s="14" t="str">
        <v>http://www.g3journal.org/</v>
      </c>
      <c r="T125" s="7" t="str">
        <v>ISSN匹配公开元数据；未逐站复核</v>
      </c>
      <c r="U125" s="2" t="str">
        <v>官网来源</v>
      </c>
      <c r="V125" s="2" t="n">
        <v>2026</v>
      </c>
    </row>
    <row r="126" ht="34" customHeight="1">
      <c r="A126" s="7" t="str">
        <v>JOURNAL OF AGRICULTURAL SCIENCE</v>
      </c>
      <c r="B126" s="7" t="str">
        <v>农学作物与种质</v>
      </c>
      <c r="C126" s="11" t="n">
        <v>4</v>
      </c>
      <c r="D126" s="12" t="n">
        <v>2.3</v>
      </c>
      <c r="E126" s="13" t="n">
        <v>2025</v>
      </c>
      <c r="F126" s="7" t="str">
        <v>其他</v>
      </c>
      <c r="G126" s="7" t="str">
        <v>经典专业刊</v>
      </c>
      <c r="H126" s="7" t="str">
        <v>研究/方法/综合</v>
      </c>
      <c r="I126" s="10" t="n">
        <v>2025</v>
      </c>
      <c r="J126" s="2" t="str">
        <v>否</v>
      </c>
      <c r="K126" s="2" t="str">
        <v>0021-8596</v>
      </c>
      <c r="L126" s="2" t="str">
        <v>1469-5146</v>
      </c>
      <c r="M126" s="7" t="str">
        <v>AGRICULTURE, MULTIDISCIPLINARY(SCIE)</v>
      </c>
      <c r="N126" s="7" t="str">
        <v>公开汇编已匹配</v>
      </c>
      <c r="O126" s="7" t="str"/>
      <c r="P126" s="15" t="str">
        <v>JIF来源</v>
      </c>
      <c r="Q126" s="15" t="str">
        <v>分区来源</v>
      </c>
      <c r="R126" s="15" t="str"/>
      <c r="S126" s="14" t="str">
        <v>http://journals.cambridge.org/action/displayJournal?jid=AGS</v>
      </c>
      <c r="T126" s="7" t="str">
        <v>ISSN匹配公开元数据；未逐站复核</v>
      </c>
      <c r="U126" s="2" t="str">
        <v>官网来源</v>
      </c>
      <c r="V126" s="2" t="n">
        <v>2026</v>
      </c>
    </row>
    <row r="127" ht="34" customHeight="1">
      <c r="A127" s="7" t="str">
        <v>Paddy and Water Environment</v>
      </c>
      <c r="B127" s="7" t="str">
        <v>农学作物与种质</v>
      </c>
      <c r="C127" s="11" t="n">
        <v>4</v>
      </c>
      <c r="D127" s="12" t="n">
        <v>2.1</v>
      </c>
      <c r="E127" s="13" t="n">
        <v>2025</v>
      </c>
      <c r="F127" s="7" t="str">
        <v>其他</v>
      </c>
      <c r="G127" s="7" t="str">
        <v>领域期刊/新兴刊</v>
      </c>
      <c r="H127" s="7" t="str">
        <v>研究/方法/综合</v>
      </c>
      <c r="I127" s="10" t="n">
        <v>2025</v>
      </c>
      <c r="J127" s="2" t="str">
        <v>否</v>
      </c>
      <c r="K127" s="2" t="str">
        <v>1611-2490</v>
      </c>
      <c r="L127" s="2" t="str">
        <v>1611-2504</v>
      </c>
      <c r="M127" s="7" t="str">
        <v>AGRICULTURAL ENGINEERING(SCIE);AGRONOMY(SCIE)</v>
      </c>
      <c r="N127" s="7" t="str">
        <v>公开汇编已匹配</v>
      </c>
      <c r="O127" s="7" t="str"/>
      <c r="P127" s="15" t="str">
        <v>JIF来源</v>
      </c>
      <c r="Q127" s="15" t="str">
        <v>分区来源</v>
      </c>
      <c r="R127" s="15" t="str"/>
      <c r="S127" s="14" t="str">
        <v>https://www.springer.com/journal/10333</v>
      </c>
      <c r="T127" s="7" t="str">
        <v>ISSN匹配公开元数据；未逐站复核</v>
      </c>
      <c r="U127" s="2" t="str">
        <v>官网来源</v>
      </c>
      <c r="V127" s="2" t="n">
        <v>2026</v>
      </c>
    </row>
    <row r="128" ht="34" customHeight="1">
      <c r="A128" s="7" t="str">
        <v>Crop &amp; Pasture Science</v>
      </c>
      <c r="B128" s="7" t="str">
        <v>农学作物与种质</v>
      </c>
      <c r="C128" s="11" t="n">
        <v>4</v>
      </c>
      <c r="D128" s="12" t="n">
        <v>1.8</v>
      </c>
      <c r="E128" s="13" t="n">
        <v>2025</v>
      </c>
      <c r="F128" s="7" t="str">
        <v>其他</v>
      </c>
      <c r="G128" s="7" t="str">
        <v>领域期刊/新兴刊</v>
      </c>
      <c r="H128" s="7" t="str">
        <v>研究/方法/综合</v>
      </c>
      <c r="I128" s="10" t="n">
        <v>2025</v>
      </c>
      <c r="J128" s="2" t="str">
        <v>否</v>
      </c>
      <c r="K128" s="2" t="str">
        <v>1836-0947</v>
      </c>
      <c r="L128" s="2" t="str">
        <v>1836-5795</v>
      </c>
      <c r="M128" s="7" t="str">
        <v>AGRICULTURE, MULTIDISCIPLINARY(SCIE)</v>
      </c>
      <c r="N128" s="7" t="str">
        <v>公开汇编已匹配</v>
      </c>
      <c r="O128" s="7" t="str"/>
      <c r="P128" s="15" t="str">
        <v>JIF来源</v>
      </c>
      <c r="Q128" s="15" t="str">
        <v>分区来源</v>
      </c>
      <c r="R128" s="15" t="str"/>
      <c r="S128" s="14" t="str">
        <v>https://www.publish.csiro.au/cp</v>
      </c>
      <c r="T128" s="7" t="str">
        <v>出版社/期刊主页匹配</v>
      </c>
      <c r="U128" s="2" t="str">
        <v>官网来源</v>
      </c>
      <c r="V128" s="2" t="n">
        <v>2026</v>
      </c>
    </row>
    <row r="129" ht="34" customHeight="1">
      <c r="A129" s="7" t="str">
        <v>EXPERIMENTAL AGRICULTURE</v>
      </c>
      <c r="B129" s="7" t="str">
        <v>农学作物与种质</v>
      </c>
      <c r="C129" s="11" t="n">
        <v>4</v>
      </c>
      <c r="D129" s="12" t="n">
        <v>2.6</v>
      </c>
      <c r="E129" s="13" t="n">
        <v>2025</v>
      </c>
      <c r="F129" s="7" t="str">
        <v>其他</v>
      </c>
      <c r="G129" s="7" t="str">
        <v>经典专业刊</v>
      </c>
      <c r="H129" s="7" t="str">
        <v>研究/方法/综合</v>
      </c>
      <c r="I129" s="10" t="n">
        <v>2025</v>
      </c>
      <c r="J129" s="2" t="str">
        <v>否</v>
      </c>
      <c r="K129" s="2" t="str">
        <v>0014-4797</v>
      </c>
      <c r="L129" s="2" t="str">
        <v>1469-4441</v>
      </c>
      <c r="M129" s="7" t="str">
        <v>AGRONOMY(SCIE)</v>
      </c>
      <c r="N129" s="7" t="str">
        <v>两份公开汇编一致</v>
      </c>
      <c r="O129" s="7" t="str"/>
      <c r="P129" s="15" t="str">
        <v>JIF来源</v>
      </c>
      <c r="Q129" s="15" t="str">
        <v>分区来源</v>
      </c>
      <c r="R129" s="15" t="str"/>
      <c r="S129" s="14" t="str">
        <v>http://journals.cambridge.org/action/displayJournal?jid=EAG</v>
      </c>
      <c r="T129" s="7" t="str">
        <v>ISSN匹配公开元数据；未逐站复核</v>
      </c>
      <c r="U129" s="2" t="str">
        <v>官网来源</v>
      </c>
      <c r="V129" s="2" t="n">
        <v>2026</v>
      </c>
    </row>
    <row r="130" ht="34" customHeight="1">
      <c r="A130" s="7" t="str">
        <v>Archives of Agronomy and Soil Science</v>
      </c>
      <c r="B130" s="7" t="str">
        <v>农学作物与种质</v>
      </c>
      <c r="C130" s="11" t="n">
        <v>4</v>
      </c>
      <c r="D130" s="12" t="n">
        <v>2.2</v>
      </c>
      <c r="E130" s="13" t="n">
        <v>2025</v>
      </c>
      <c r="F130" s="7" t="str">
        <v>其他</v>
      </c>
      <c r="G130" s="7" t="str">
        <v>领域期刊/新兴刊</v>
      </c>
      <c r="H130" s="7" t="str">
        <v>研究/方法/综合</v>
      </c>
      <c r="I130" s="10" t="n">
        <v>2025</v>
      </c>
      <c r="J130" s="2" t="str">
        <v>否</v>
      </c>
      <c r="K130" s="2" t="str">
        <v>0365-0340</v>
      </c>
      <c r="L130" s="2" t="str">
        <v>1476-3567</v>
      </c>
      <c r="M130" s="7" t="str">
        <v>AGRONOMY(SCIE);SOIL SCIENCE(SCIE)</v>
      </c>
      <c r="N130" s="7" t="str">
        <v>公开汇编已匹配</v>
      </c>
      <c r="O130" s="7" t="str"/>
      <c r="P130" s="15" t="str">
        <v>JIF来源</v>
      </c>
      <c r="Q130" s="15" t="str">
        <v>分区来源</v>
      </c>
      <c r="R130" s="15" t="str"/>
      <c r="S130" s="14" t="str">
        <v>http://www.tandf.co.uk/journals/titles/03650340.asp</v>
      </c>
      <c r="T130" s="7" t="str">
        <v>ISSN匹配公开元数据；未逐站复核</v>
      </c>
      <c r="U130" s="2" t="str">
        <v>官网来源</v>
      </c>
      <c r="V130" s="2" t="n">
        <v>2026</v>
      </c>
    </row>
    <row r="131" ht="34" customHeight="1">
      <c r="A131" s="7" t="str">
        <v>Chilean Journal of Agricultural Research</v>
      </c>
      <c r="B131" s="7" t="str">
        <v>农学作物与种质</v>
      </c>
      <c r="C131" s="11" t="n">
        <v>4</v>
      </c>
      <c r="D131" s="12" t="n">
        <v>1.7</v>
      </c>
      <c r="E131" s="13" t="n">
        <v>2025</v>
      </c>
      <c r="F131" s="7" t="str">
        <v>其他</v>
      </c>
      <c r="G131" s="7" t="str">
        <v>领域期刊/新兴刊</v>
      </c>
      <c r="H131" s="7" t="str">
        <v>研究/方法/综合</v>
      </c>
      <c r="I131" s="10" t="n">
        <v>2025</v>
      </c>
      <c r="J131" s="2" t="str">
        <v>否</v>
      </c>
      <c r="K131" s="2" t="str">
        <v>0718-5839</v>
      </c>
      <c r="L131" s="2" t="str">
        <v>0718-5839</v>
      </c>
      <c r="M131" s="7" t="str">
        <v>AGRICULTURE, MULTIDISCIPLINARY(SCIE);AGRONOMY(SCIE)</v>
      </c>
      <c r="N131" s="7" t="str">
        <v>公开汇编已匹配</v>
      </c>
      <c r="O131" s="7" t="str"/>
      <c r="P131" s="15" t="str">
        <v>JIF来源</v>
      </c>
      <c r="Q131" s="15" t="str">
        <v>分区来源</v>
      </c>
      <c r="R131" s="15" t="str"/>
      <c r="S131" s="14" t="str">
        <v>https://www.chileanjar.cl/online-journal.php</v>
      </c>
      <c r="T131" s="7" t="str">
        <v>出版社/期刊主页匹配</v>
      </c>
      <c r="U131" s="2" t="str">
        <v>官网来源</v>
      </c>
      <c r="V131" s="2" t="n">
        <v>2026</v>
      </c>
    </row>
    <row r="132" ht="34" customHeight="1">
      <c r="A132" s="7" t="str">
        <v>Czech Journal of Genetics and Plant Breeding</v>
      </c>
      <c r="B132" s="7" t="str">
        <v>农学作物与种质</v>
      </c>
      <c r="C132" s="11" t="n">
        <v>4</v>
      </c>
      <c r="D132" s="12" t="n">
        <v>2.1</v>
      </c>
      <c r="E132" s="13" t="n">
        <v>2025</v>
      </c>
      <c r="F132" s="7" t="str">
        <v>其他</v>
      </c>
      <c r="G132" s="7" t="str">
        <v>领域期刊/新兴刊</v>
      </c>
      <c r="H132" s="7" t="str">
        <v>研究/方法/综合</v>
      </c>
      <c r="I132" s="10" t="n">
        <v>2025</v>
      </c>
      <c r="J132" s="2" t="str">
        <v>否</v>
      </c>
      <c r="K132" s="2" t="str">
        <v>1212-1975</v>
      </c>
      <c r="L132" s="2" t="str">
        <v>1805-9325</v>
      </c>
      <c r="M132" s="7" t="str">
        <v>AGRONOMY(SCIE);PLANT SCIENCES(SCIE)</v>
      </c>
      <c r="N132" s="7" t="str">
        <v>公开汇编已匹配</v>
      </c>
      <c r="O132" s="7" t="str"/>
      <c r="P132" s="15" t="str">
        <v>JIF来源</v>
      </c>
      <c r="Q132" s="15" t="str">
        <v>分区来源</v>
      </c>
      <c r="R132" s="15" t="str"/>
      <c r="S132" s="14" t="str">
        <v>http://www.agriculturejournals.cz/web/cjgpb.htm</v>
      </c>
      <c r="T132" s="7" t="str">
        <v>ISSN匹配公开元数据；未逐站复核</v>
      </c>
      <c r="U132" s="2" t="str">
        <v>官网来源</v>
      </c>
      <c r="V132" s="2" t="n">
        <v>2026</v>
      </c>
    </row>
    <row r="133" ht="34" customHeight="1">
      <c r="A133" s="7" t="str">
        <v>PLANT BREEDING</v>
      </c>
      <c r="B133" s="7" t="str">
        <v>农学作物与种质</v>
      </c>
      <c r="C133" s="11" t="n">
        <v>4</v>
      </c>
      <c r="D133" s="12" t="n">
        <v>1.7</v>
      </c>
      <c r="E133" s="13" t="n">
        <v>2025</v>
      </c>
      <c r="F133" s="7" t="str">
        <v>其他</v>
      </c>
      <c r="G133" s="7" t="str">
        <v>经典专业刊</v>
      </c>
      <c r="H133" s="7" t="str">
        <v>研究/方法/综合</v>
      </c>
      <c r="I133" s="10" t="n">
        <v>2025</v>
      </c>
      <c r="J133" s="2" t="str">
        <v>否</v>
      </c>
      <c r="K133" s="2" t="str">
        <v>0179-9541</v>
      </c>
      <c r="L133" s="2" t="str">
        <v>1439-0523</v>
      </c>
      <c r="M133" s="7" t="str">
        <v>AGRONOMY(SCIE);BIOTECHNOLOGY &amp; APPLIED MICROBIOLOGY(SCIE);PLANT SCIENCES(SCIE)</v>
      </c>
      <c r="N133" s="7" t="str">
        <v>公开汇编已匹配</v>
      </c>
      <c r="O133" s="7" t="str"/>
      <c r="P133" s="15" t="str">
        <v>JIF来源</v>
      </c>
      <c r="Q133" s="15" t="str">
        <v>分区来源</v>
      </c>
      <c r="R133" s="15" t="str"/>
      <c r="S133" s="14" t="str">
        <v>https://onlinelibrary.wiley.com/journal/14390523</v>
      </c>
      <c r="T133" s="7" t="str">
        <v>ISSN匹配公开元数据；未逐站复核</v>
      </c>
      <c r="U133" s="2" t="str">
        <v>官网来源</v>
      </c>
      <c r="V133" s="2" t="n">
        <v>2026</v>
      </c>
    </row>
    <row r="134" ht="34" customHeight="1">
      <c r="A134" s="7" t="str">
        <v>IRRIGATION AND DRAINAGE</v>
      </c>
      <c r="B134" s="7" t="str">
        <v>农学作物与种质</v>
      </c>
      <c r="C134" s="11" t="n">
        <v>4</v>
      </c>
      <c r="D134" s="12" t="n">
        <v>1.9</v>
      </c>
      <c r="E134" s="13" t="n">
        <v>2025</v>
      </c>
      <c r="F134" s="7" t="str">
        <v>其他</v>
      </c>
      <c r="G134" s="7" t="str">
        <v>领域期刊/新兴刊</v>
      </c>
      <c r="H134" s="7" t="str">
        <v>研究/方法/综合</v>
      </c>
      <c r="I134" s="10" t="n">
        <v>2025</v>
      </c>
      <c r="J134" s="2" t="str">
        <v>否</v>
      </c>
      <c r="K134" s="2" t="str">
        <v>1531-0353</v>
      </c>
      <c r="L134" s="2" t="str">
        <v>1531-0361</v>
      </c>
      <c r="M134" s="7" t="str">
        <v>AGRONOMY(SCIE);WATER RESOURCES(SCIE)</v>
      </c>
      <c r="N134" s="7" t="str">
        <v>公开汇编已匹配</v>
      </c>
      <c r="O134" s="7" t="str"/>
      <c r="P134" s="15" t="str">
        <v>JIF来源</v>
      </c>
      <c r="Q134" s="15" t="str">
        <v>分区来源</v>
      </c>
      <c r="R134" s="15" t="str"/>
      <c r="S134" s="14" t="str">
        <v>https://onlinelibrary.wiley.com/journal/15310361</v>
      </c>
      <c r="T134" s="7" t="str">
        <v>ISSN匹配公开元数据；未逐站复核</v>
      </c>
      <c r="U134" s="2" t="str">
        <v>官网来源</v>
      </c>
      <c r="V134" s="2" t="n">
        <v>2026</v>
      </c>
    </row>
    <row r="135" ht="34" customHeight="1">
      <c r="A135" s="7" t="str">
        <v>SABRAO Journal of Breeding and Genetics</v>
      </c>
      <c r="B135" s="7" t="str">
        <v>农学作物与种质</v>
      </c>
      <c r="C135" s="11" t="n">
        <v>4</v>
      </c>
      <c r="D135" s="12" t="n">
        <v>1.2</v>
      </c>
      <c r="E135" s="13" t="n">
        <v>2025</v>
      </c>
      <c r="F135" s="7" t="str">
        <v>其他</v>
      </c>
      <c r="G135" s="7" t="str">
        <v>领域期刊/新兴刊</v>
      </c>
      <c r="H135" s="7" t="str">
        <v>研究/方法/综合</v>
      </c>
      <c r="I135" s="10" t="n">
        <v>2025</v>
      </c>
      <c r="J135" s="2" t="str">
        <v>否</v>
      </c>
      <c r="K135" s="2" t="str">
        <v>1029-7073</v>
      </c>
      <c r="L135" s="2" t="str">
        <v>2224-8978</v>
      </c>
      <c r="M135" s="7" t="str">
        <v>PLANT SCIENCES(ESCI)</v>
      </c>
      <c r="N135" s="7" t="str">
        <v>公开汇编已匹配</v>
      </c>
      <c r="O135" s="7" t="str"/>
      <c r="P135" s="15" t="str">
        <v>JIF来源</v>
      </c>
      <c r="Q135" s="15" t="str">
        <v>分区来源</v>
      </c>
      <c r="R135" s="15" t="str"/>
      <c r="S135" s="14" t="str">
        <v>https://sabraojournal.org/</v>
      </c>
      <c r="T135" s="7" t="str">
        <v>出版社/期刊主页匹配</v>
      </c>
      <c r="U135" s="2" t="str">
        <v>官网来源</v>
      </c>
      <c r="V135" s="2" t="n">
        <v>2026</v>
      </c>
    </row>
    <row r="136" ht="34" customHeight="1">
      <c r="A136" s="7" t="str">
        <v>Journal of Crop Improvement</v>
      </c>
      <c r="B136" s="7" t="str">
        <v>农学作物与种质</v>
      </c>
      <c r="C136" s="11" t="n">
        <v>4</v>
      </c>
      <c r="D136" s="12" t="n">
        <v>1</v>
      </c>
      <c r="E136" s="13" t="n">
        <v>2025</v>
      </c>
      <c r="F136" s="7" t="str">
        <v>其他</v>
      </c>
      <c r="G136" s="7" t="str">
        <v>领域期刊/新兴刊</v>
      </c>
      <c r="H136" s="7" t="str">
        <v>研究/方法/综合</v>
      </c>
      <c r="I136" s="10" t="n">
        <v>2025</v>
      </c>
      <c r="J136" s="2" t="str">
        <v>否</v>
      </c>
      <c r="K136" s="2" t="str">
        <v>1542-7528</v>
      </c>
      <c r="L136" s="2" t="str">
        <v>1542-7536</v>
      </c>
      <c r="M136" s="7" t="str">
        <v>AGRONOMY(ESCI);PLANT SCIENCES(ESCI)</v>
      </c>
      <c r="N136" s="7" t="str">
        <v>公开汇编已匹配</v>
      </c>
      <c r="O136" s="7" t="str"/>
      <c r="P136" s="15" t="str">
        <v>JIF来源</v>
      </c>
      <c r="Q136" s="15" t="str">
        <v>分区来源</v>
      </c>
      <c r="R136" s="15" t="str"/>
      <c r="S136" s="14" t="str">
        <v>https://www.tandfonline.com/toc/wcim20/current</v>
      </c>
      <c r="T136" s="7" t="str">
        <v>ISSN匹配公开元数据；未逐站复核</v>
      </c>
      <c r="U136" s="2" t="str">
        <v>官网来源</v>
      </c>
      <c r="V136" s="2" t="n">
        <v>2026</v>
      </c>
    </row>
    <row r="137" ht="34" customHeight="1">
      <c r="A137" s="7" t="str">
        <v>NEW ZEALAND JOURNAL OF AGRICULTURAL RESEARCH</v>
      </c>
      <c r="B137" s="7" t="str">
        <v>农学作物与种质</v>
      </c>
      <c r="C137" s="11" t="n">
        <v>4</v>
      </c>
      <c r="D137" s="12" t="n">
        <v>1.3</v>
      </c>
      <c r="E137" s="13" t="n">
        <v>2025</v>
      </c>
      <c r="F137" s="7" t="str">
        <v>其他</v>
      </c>
      <c r="G137" s="7" t="str">
        <v>领域期刊/新兴刊</v>
      </c>
      <c r="H137" s="7" t="str">
        <v>研究/方法/综合</v>
      </c>
      <c r="I137" s="10" t="n">
        <v>2025</v>
      </c>
      <c r="J137" s="2" t="str">
        <v>否</v>
      </c>
      <c r="K137" s="2" t="str">
        <v>0028-8233</v>
      </c>
      <c r="L137" s="2" t="str">
        <v>1175-8775</v>
      </c>
      <c r="M137" s="7" t="str">
        <v>AGRICULTURE, MULTIDISCIPLINARY(SCIE)</v>
      </c>
      <c r="N137" s="7" t="str">
        <v>公开汇编已匹配</v>
      </c>
      <c r="O137" s="7" t="str"/>
      <c r="P137" s="15" t="str">
        <v>JIF来源</v>
      </c>
      <c r="Q137" s="15" t="str">
        <v>分区来源</v>
      </c>
      <c r="R137" s="15" t="str"/>
      <c r="S137" s="14" t="str">
        <v>https://www.tandfonline.com/toc/tnza20/current</v>
      </c>
      <c r="T137" s="7" t="str">
        <v>ISSN匹配公开元数据；未逐站复核</v>
      </c>
      <c r="U137" s="2" t="str">
        <v>官网来源</v>
      </c>
      <c r="V137" s="2" t="n">
        <v>2026</v>
      </c>
    </row>
    <row r="138" ht="34" customHeight="1">
      <c r="A138" s="7" t="str">
        <v>CANADIAN JOURNAL OF PLANT SCIENCE</v>
      </c>
      <c r="B138" s="7" t="str">
        <v>农学作物与种质</v>
      </c>
      <c r="C138" s="11" t="n">
        <v>4</v>
      </c>
      <c r="D138" s="12" t="n">
        <v>1.7</v>
      </c>
      <c r="E138" s="13" t="n">
        <v>2025</v>
      </c>
      <c r="F138" s="7" t="str">
        <v>其他</v>
      </c>
      <c r="G138" s="7" t="str">
        <v>领域期刊/新兴刊</v>
      </c>
      <c r="H138" s="7" t="str">
        <v>研究/方法/综合</v>
      </c>
      <c r="I138" s="10" t="n">
        <v>2025</v>
      </c>
      <c r="J138" s="2" t="str">
        <v>否</v>
      </c>
      <c r="K138" s="2" t="str">
        <v>0008-4220</v>
      </c>
      <c r="L138" s="2" t="str">
        <v>1918-1833</v>
      </c>
      <c r="M138" s="7" t="str">
        <v>AGRONOMY(SCIE);PLANT SCIENCES(SCIE)</v>
      </c>
      <c r="N138" s="7" t="str">
        <v>公开汇编已匹配</v>
      </c>
      <c r="O138" s="7" t="str"/>
      <c r="P138" s="15" t="str">
        <v>JIF来源</v>
      </c>
      <c r="Q138" s="15" t="str">
        <v>分区来源</v>
      </c>
      <c r="R138" s="15" t="str"/>
      <c r="S138" s="14" t="str">
        <v>http://pubs.aic.ca/journal/cjps</v>
      </c>
      <c r="T138" s="7" t="str">
        <v>ISSN匹配公开元数据；未逐站复核</v>
      </c>
      <c r="U138" s="2" t="str">
        <v>官网来源</v>
      </c>
      <c r="V138" s="2" t="n">
        <v>2026</v>
      </c>
    </row>
    <row r="139" ht="34" customHeight="1">
      <c r="A139" s="7" t="str">
        <v>PLANT PRODUCTION SCIENCE</v>
      </c>
      <c r="B139" s="7" t="str">
        <v>农学作物与种质</v>
      </c>
      <c r="C139" s="11" t="n">
        <v>4</v>
      </c>
      <c r="D139" s="12" t="n">
        <v>2.1</v>
      </c>
      <c r="E139" s="13" t="n">
        <v>2025</v>
      </c>
      <c r="F139" s="7" t="str">
        <v>其他</v>
      </c>
      <c r="G139" s="7" t="str">
        <v>领域期刊/新兴刊</v>
      </c>
      <c r="H139" s="7" t="str">
        <v>研究/方法/综合</v>
      </c>
      <c r="I139" s="10" t="n">
        <v>2025</v>
      </c>
      <c r="J139" s="2" t="str">
        <v>否</v>
      </c>
      <c r="K139" s="2" t="str">
        <v>1343-943X</v>
      </c>
      <c r="L139" s="2" t="str">
        <v>1349-1008</v>
      </c>
      <c r="M139" s="7" t="str">
        <v>AGRONOMY(SCIE)</v>
      </c>
      <c r="N139" s="7" t="str">
        <v>公开汇编已匹配</v>
      </c>
      <c r="O139" s="7" t="str"/>
      <c r="P139" s="15" t="str">
        <v>JIF来源</v>
      </c>
      <c r="Q139" s="15" t="str">
        <v>分区来源</v>
      </c>
      <c r="R139" s="15" t="str"/>
      <c r="S139" s="14" t="str">
        <v>https://www.tandfonline.com/toc/tpps20/current</v>
      </c>
      <c r="T139" s="7" t="str">
        <v>ISSN匹配公开元数据；未逐站复核</v>
      </c>
      <c r="U139" s="2" t="str">
        <v>官网来源</v>
      </c>
      <c r="V139" s="2" t="n">
        <v>2026</v>
      </c>
    </row>
    <row r="140" ht="34" customHeight="1">
      <c r="A140" s="7" t="str">
        <v>AGRICULTURAL AND FOOD SCIENCE</v>
      </c>
      <c r="B140" s="7" t="str">
        <v>农学作物与种质</v>
      </c>
      <c r="C140" s="11" t="n">
        <v>4</v>
      </c>
      <c r="D140" s="12" t="n">
        <v>1</v>
      </c>
      <c r="E140" s="13" t="n">
        <v>2025</v>
      </c>
      <c r="F140" s="7" t="str">
        <v>其他</v>
      </c>
      <c r="G140" s="7" t="str">
        <v>领域期刊/新兴刊</v>
      </c>
      <c r="H140" s="7" t="str">
        <v>研究/方法/综合</v>
      </c>
      <c r="I140" s="10" t="n">
        <v>2025</v>
      </c>
      <c r="J140" s="2" t="str">
        <v>否</v>
      </c>
      <c r="K140" s="2" t="str">
        <v>1459-6067</v>
      </c>
      <c r="L140" s="2" t="str">
        <v>1795-1895</v>
      </c>
      <c r="M140" s="7" t="str">
        <v>AGRICULTURE, MULTIDISCIPLINARY(SCIE);FOOD SCIENCE &amp; TECHNOLOGY(SCIE)</v>
      </c>
      <c r="N140" s="7" t="str">
        <v>公开汇编已匹配</v>
      </c>
      <c r="O140" s="7" t="str"/>
      <c r="P140" s="15" t="str">
        <v>JIF来源</v>
      </c>
      <c r="Q140" s="15" t="str">
        <v>分区来源</v>
      </c>
      <c r="R140" s="15" t="str"/>
      <c r="S140" s="14" t="str">
        <v>http://ojs.tsv.fi/index.php/AFS/index</v>
      </c>
      <c r="T140" s="7" t="str">
        <v>ISSN匹配公开元数据；未逐站复核</v>
      </c>
      <c r="U140" s="2" t="str">
        <v>官网来源</v>
      </c>
      <c r="V140" s="2" t="n">
        <v>2026</v>
      </c>
    </row>
    <row r="141" ht="34" customHeight="1">
      <c r="A141" s="7" t="str">
        <v>Plant Genetic Resources-Characterization and Utilization</v>
      </c>
      <c r="B141" s="7" t="str">
        <v>农学作物与种质</v>
      </c>
      <c r="C141" s="11" t="n">
        <v>4</v>
      </c>
      <c r="D141" s="12" t="n">
        <v>1</v>
      </c>
      <c r="E141" s="13" t="n">
        <v>2025</v>
      </c>
      <c r="F141" s="7" t="str">
        <v>其他</v>
      </c>
      <c r="G141" s="7" t="str">
        <v>领域期刊/新兴刊</v>
      </c>
      <c r="H141" s="7" t="str">
        <v>研究/方法/综合</v>
      </c>
      <c r="I141" s="10" t="n">
        <v>2025</v>
      </c>
      <c r="J141" s="2" t="str">
        <v>否</v>
      </c>
      <c r="K141" s="2" t="str">
        <v>1479-2621</v>
      </c>
      <c r="L141" s="2" t="str">
        <v>1479-263X</v>
      </c>
      <c r="M141" s="7" t="str">
        <v>PLANT SCIENCES(SCIE)</v>
      </c>
      <c r="N141" s="7" t="str">
        <v>公开汇编已匹配</v>
      </c>
      <c r="O141" s="7" t="str"/>
      <c r="P141" s="15" t="str">
        <v>JIF来源</v>
      </c>
      <c r="Q141" s="15" t="str">
        <v>分区来源</v>
      </c>
      <c r="R141" s="15" t="str"/>
      <c r="S141" s="14" t="str">
        <v>http://journals.cambridge.org/PGR</v>
      </c>
      <c r="T141" s="7" t="str">
        <v>ISSN匹配公开元数据；未逐站复核</v>
      </c>
      <c r="U141" s="2" t="str">
        <v>官网来源</v>
      </c>
      <c r="V141" s="2" t="n">
        <v>2026</v>
      </c>
    </row>
    <row r="142" ht="34" customHeight="1">
      <c r="A142" s="7" t="str">
        <v>MAYDICA</v>
      </c>
      <c r="B142" s="7" t="str">
        <v>农学作物与种质</v>
      </c>
      <c r="C142" s="11" t="n">
        <v>4</v>
      </c>
      <c r="D142" s="12" t="n">
        <v>0.4</v>
      </c>
      <c r="E142" s="13" t="n">
        <v>2025</v>
      </c>
      <c r="F142" s="7" t="str">
        <v>其他</v>
      </c>
      <c r="G142" s="7" t="str">
        <v>领域期刊/新兴刊</v>
      </c>
      <c r="H142" s="7" t="str">
        <v>研究/方法/综合</v>
      </c>
      <c r="I142" s="10" t="n">
        <v>2025</v>
      </c>
      <c r="J142" s="2" t="str">
        <v>否</v>
      </c>
      <c r="K142" s="2" t="str">
        <v>0025-6153</v>
      </c>
      <c r="L142" s="2" t="str">
        <v>2279-8013</v>
      </c>
      <c r="M142" s="7" t="str">
        <v>AGRONOMY(SCIE);PLANT SCIENCES(SCIE)</v>
      </c>
      <c r="N142" s="7" t="str">
        <v>公开汇编已匹配</v>
      </c>
      <c r="O142" s="7" t="str"/>
      <c r="P142" s="15" t="str">
        <v>JIF来源</v>
      </c>
      <c r="Q142" s="15" t="str">
        <v>分区来源</v>
      </c>
      <c r="R142" s="15" t="str"/>
      <c r="S142" s="14" t="str">
        <v>http://www.maydica.org</v>
      </c>
      <c r="T142" s="7" t="str">
        <v>ISSN匹配公开元数据；未逐站复核</v>
      </c>
      <c r="U142" s="2" t="str">
        <v>官网来源</v>
      </c>
      <c r="V142" s="2" t="n">
        <v>2026</v>
      </c>
    </row>
    <row r="143" ht="34" customHeight="1">
      <c r="A143" s="7" t="str">
        <v>Australian Journal of Crop Science</v>
      </c>
      <c r="B143" s="7" t="str">
        <v>农学作物与种质</v>
      </c>
      <c r="C143" s="11"/>
      <c r="D143" s="12"/>
      <c r="E143" s="13" t="n">
        <v>2025</v>
      </c>
      <c r="F143" s="7" t="str">
        <v>其他</v>
      </c>
      <c r="G143" s="7" t="str">
        <v>领域期刊/新兴刊</v>
      </c>
      <c r="H143" s="7" t="str">
        <v>研究/方法/综合</v>
      </c>
      <c r="I143" s="10" t="n">
        <v>2025</v>
      </c>
      <c r="J143" s="2" t="str">
        <v>未检得</v>
      </c>
      <c r="K143" s="2" t="str"/>
      <c r="L143" s="2" t="str"/>
      <c r="M143" s="7" t="str"/>
      <c r="N143" s="7" t="str">
        <v>2025 JIF未检得/未给值</v>
      </c>
      <c r="O143" s="7" t="str">
        <v>所用2026发布来源未检得2025 JIF数值；未沿用往年指标。</v>
      </c>
      <c r="P143" s="15" t="str">
        <v>JIF来源</v>
      </c>
      <c r="Q143" s="15" t="str"/>
      <c r="R143" s="15" t="str"/>
      <c r="S143" s="14" t="str">
        <v>https://cropj.com/</v>
      </c>
      <c r="T143" s="7" t="str">
        <v>出版社/期刊主页匹配</v>
      </c>
      <c r="U143" s="2" t="str">
        <v>官网来源</v>
      </c>
      <c r="V143" s="2" t="n">
        <v>2026</v>
      </c>
    </row>
    <row r="144" ht="34" customHeight="1">
      <c r="A144" s="7" t="str">
        <v>International Journal of Agriculture and Biology</v>
      </c>
      <c r="B144" s="7" t="str">
        <v>农学作物与种质</v>
      </c>
      <c r="C144" s="11"/>
      <c r="D144" s="12"/>
      <c r="E144" s="13" t="n">
        <v>2025</v>
      </c>
      <c r="F144" s="7" t="str">
        <v>其他</v>
      </c>
      <c r="G144" s="7" t="str">
        <v>领域期刊/新兴刊</v>
      </c>
      <c r="H144" s="7" t="str">
        <v>研究/方法/综合</v>
      </c>
      <c r="I144" s="10" t="n">
        <v>2025</v>
      </c>
      <c r="J144" s="2" t="str">
        <v>未检得</v>
      </c>
      <c r="K144" s="2" t="str"/>
      <c r="L144" s="2" t="str"/>
      <c r="M144" s="7" t="str"/>
      <c r="N144" s="7" t="str">
        <v>2025 JIF未检得/未给值</v>
      </c>
      <c r="O144" s="7" t="str">
        <v>所用2026发布来源未检得2025 JIF数值；未沿用往年指标。</v>
      </c>
      <c r="P144" s="15" t="str">
        <v>JIF来源</v>
      </c>
      <c r="Q144" s="15" t="str"/>
      <c r="R144" s="15" t="str"/>
      <c r="S144" s="14" t="str">
        <v>https://www.fspublishers.org/</v>
      </c>
      <c r="T144" s="7" t="str">
        <v>出版社/期刊主页匹配</v>
      </c>
      <c r="U144" s="2" t="str">
        <v>官网来源</v>
      </c>
      <c r="V144" s="2" t="n">
        <v>2026</v>
      </c>
    </row>
    <row r="145" ht="34" customHeight="1">
      <c r="A145" s="7" t="str">
        <v>Journal of Agriculture and Rural Development in the Tropics and Subtropics</v>
      </c>
      <c r="B145" s="7" t="str">
        <v>农学作物与种质</v>
      </c>
      <c r="C145" s="11"/>
      <c r="D145" s="12"/>
      <c r="E145" s="13" t="n">
        <v>2025</v>
      </c>
      <c r="F145" s="7" t="str">
        <v>其他</v>
      </c>
      <c r="G145" s="7" t="str">
        <v>领域期刊/新兴刊</v>
      </c>
      <c r="H145" s="7" t="str">
        <v>研究/方法/综合</v>
      </c>
      <c r="I145" s="10" t="n">
        <v>2025</v>
      </c>
      <c r="J145" s="2" t="str">
        <v>未检得</v>
      </c>
      <c r="K145" s="2" t="str"/>
      <c r="L145" s="2" t="str"/>
      <c r="M145" s="7" t="str"/>
      <c r="N145" s="7" t="str">
        <v>2025 JIF未检得/未给值</v>
      </c>
      <c r="O145" s="7" t="str">
        <v>所用2026发布来源未检得2025 JIF数值；未沿用往年指标。</v>
      </c>
      <c r="P145" s="15" t="str">
        <v>JIF来源</v>
      </c>
      <c r="Q145" s="15" t="str"/>
      <c r="R145" s="15" t="str"/>
      <c r="S145" s="14" t="str">
        <v>https://www.jarts.info/index.php/jarts</v>
      </c>
      <c r="T145" s="7" t="str">
        <v>出版社/期刊主页匹配</v>
      </c>
      <c r="U145" s="2" t="str">
        <v>官网来源</v>
      </c>
      <c r="V145" s="2" t="n">
        <v>2026</v>
      </c>
    </row>
    <row r="146" ht="34" customHeight="1">
      <c r="A146" s="7" t="str">
        <v>POSTHARVEST BIOLOGY AND TECHNOLOGY</v>
      </c>
      <c r="B146" s="7" t="str">
        <v>园艺果树与采后</v>
      </c>
      <c r="C146" s="11" t="n">
        <v>1</v>
      </c>
      <c r="D146" s="12" t="n">
        <v>7.3</v>
      </c>
      <c r="E146" s="13" t="n">
        <v>2025</v>
      </c>
      <c r="F146" s="7" t="str">
        <v>其他</v>
      </c>
      <c r="G146" s="7" t="str">
        <v>领域期刊/新兴刊</v>
      </c>
      <c r="H146" s="7" t="str">
        <v>研究/方法/综合</v>
      </c>
      <c r="I146" s="10" t="n">
        <v>2025</v>
      </c>
      <c r="J146" s="2" t="str">
        <v>是</v>
      </c>
      <c r="K146" s="2" t="str">
        <v>0925-5214</v>
      </c>
      <c r="L146" s="2" t="str">
        <v>1873-2356</v>
      </c>
      <c r="M146" s="7" t="str">
        <v>AGRONOMY(SCIE);FOOD SCIENCE &amp; TECHNOLOGY(SCIE);HORTICULTURE(SCIE)</v>
      </c>
      <c r="N146" s="7" t="str">
        <v>两份公开汇编一致</v>
      </c>
      <c r="O146" s="7" t="str"/>
      <c r="P146" s="15" t="str">
        <v>JIF来源</v>
      </c>
      <c r="Q146" s="15" t="str">
        <v>分区来源</v>
      </c>
      <c r="R146" s="15" t="str"/>
      <c r="S146" s="14" t="str">
        <v>https://www.journals.elsevier.com/postharvest-biology-and-technology</v>
      </c>
      <c r="T146" s="7" t="str">
        <v>ISSN匹配公开元数据；未逐站复核</v>
      </c>
      <c r="U146" s="2" t="str">
        <v>官网来源</v>
      </c>
      <c r="V146" s="2" t="n">
        <v>2026</v>
      </c>
    </row>
    <row r="147" ht="34" customHeight="1">
      <c r="A147" s="7" t="str">
        <v>SCIENTIA HORTICULTURAE</v>
      </c>
      <c r="B147" s="7" t="str">
        <v>园艺果树与采后</v>
      </c>
      <c r="C147" s="11" t="n">
        <v>2</v>
      </c>
      <c r="D147" s="12" t="n">
        <v>4.6</v>
      </c>
      <c r="E147" s="13" t="n">
        <v>2025</v>
      </c>
      <c r="F147" s="7" t="str">
        <v>其他</v>
      </c>
      <c r="G147" s="7" t="str">
        <v>经典专业刊</v>
      </c>
      <c r="H147" s="7" t="str">
        <v>研究/方法/综合</v>
      </c>
      <c r="I147" s="10" t="n">
        <v>2025</v>
      </c>
      <c r="J147" s="2" t="str">
        <v>否</v>
      </c>
      <c r="K147" s="2" t="str">
        <v>0304-4238</v>
      </c>
      <c r="L147" s="2" t="str">
        <v>1879-1018</v>
      </c>
      <c r="M147" s="7" t="str">
        <v>HORTICULTURE(SCIE)</v>
      </c>
      <c r="N147" s="7" t="str">
        <v>两份公开汇编一致</v>
      </c>
      <c r="O147" s="7" t="str"/>
      <c r="P147" s="15" t="str">
        <v>JIF来源</v>
      </c>
      <c r="Q147" s="15" t="str">
        <v>分区来源</v>
      </c>
      <c r="R147" s="15" t="str"/>
      <c r="S147" s="14" t="str">
        <v>https://www.journals.elsevier.com/scientia-horticulturae</v>
      </c>
      <c r="T147" s="7" t="str">
        <v>ISSN匹配公开元数据；未逐站复核</v>
      </c>
      <c r="U147" s="2" t="str">
        <v>官网来源</v>
      </c>
      <c r="V147" s="2" t="n">
        <v>2026</v>
      </c>
    </row>
    <row r="148" ht="34" customHeight="1">
      <c r="A148" s="7" t="str">
        <v>Horticulturae</v>
      </c>
      <c r="B148" s="7" t="str">
        <v>园艺果树与采后</v>
      </c>
      <c r="C148" s="11" t="n">
        <v>2</v>
      </c>
      <c r="D148" s="12" t="n">
        <v>3.4</v>
      </c>
      <c r="E148" s="13" t="n">
        <v>2025</v>
      </c>
      <c r="F148" s="7" t="str">
        <v>其他</v>
      </c>
      <c r="G148" s="7" t="str">
        <v>领域期刊/新兴刊</v>
      </c>
      <c r="H148" s="7" t="str">
        <v>研究/方法/综合</v>
      </c>
      <c r="I148" s="10" t="n">
        <v>2025</v>
      </c>
      <c r="J148" s="2" t="str">
        <v>否</v>
      </c>
      <c r="K148" s="2" t="str"/>
      <c r="L148" s="2" t="str">
        <v>2311-7524</v>
      </c>
      <c r="M148" s="7" t="str">
        <v>HORTICULTURE(SCIE)</v>
      </c>
      <c r="N148" s="7" t="str">
        <v>两份公开汇编一致</v>
      </c>
      <c r="O148" s="7" t="str"/>
      <c r="P148" s="15" t="str">
        <v>JIF来源</v>
      </c>
      <c r="Q148" s="15" t="str">
        <v>分区来源</v>
      </c>
      <c r="R148" s="15" t="str"/>
      <c r="S148" s="14" t="str">
        <v>http://www.mdpi.com/journal/horticulturae</v>
      </c>
      <c r="T148" s="7" t="str">
        <v>ISSN匹配公开元数据；未逐站复核</v>
      </c>
      <c r="U148" s="2" t="str">
        <v>官网来源</v>
      </c>
      <c r="V148" s="2" t="n">
        <v>2026</v>
      </c>
    </row>
    <row r="149" ht="34" customHeight="1">
      <c r="A149" s="7" t="str">
        <v>Horticulture Environment and Biotechnology</v>
      </c>
      <c r="B149" s="7" t="str">
        <v>园艺果树与采后</v>
      </c>
      <c r="C149" s="11" t="n">
        <v>3</v>
      </c>
      <c r="D149" s="12" t="n">
        <v>2.8</v>
      </c>
      <c r="E149" s="13" t="n">
        <v>2025</v>
      </c>
      <c r="F149" s="7" t="str">
        <v>其他</v>
      </c>
      <c r="G149" s="7" t="str">
        <v>领域期刊/新兴刊</v>
      </c>
      <c r="H149" s="7" t="str">
        <v>研究/方法/综合</v>
      </c>
      <c r="I149" s="10" t="n">
        <v>2025</v>
      </c>
      <c r="J149" s="2" t="str">
        <v>否</v>
      </c>
      <c r="K149" s="2" t="str">
        <v>2211-3452</v>
      </c>
      <c r="L149" s="2" t="str">
        <v>2211-3460</v>
      </c>
      <c r="M149" s="7" t="str">
        <v>HORTICULTURE(SCIE)</v>
      </c>
      <c r="N149" s="7" t="str">
        <v>两份公开汇编一致</v>
      </c>
      <c r="O149" s="7" t="str"/>
      <c r="P149" s="15" t="str">
        <v>JIF来源</v>
      </c>
      <c r="Q149" s="15" t="str">
        <v>分区来源</v>
      </c>
      <c r="R149" s="15" t="str"/>
      <c r="S149" s="14" t="str">
        <v>https://www.springer.com/journal/13580</v>
      </c>
      <c r="T149" s="7" t="str">
        <v>ISSN匹配公开元数据；未逐站复核</v>
      </c>
      <c r="U149" s="2" t="str">
        <v>官网来源</v>
      </c>
      <c r="V149" s="2" t="n">
        <v>2026</v>
      </c>
    </row>
    <row r="150" ht="34" customHeight="1">
      <c r="A150" s="7" t="str">
        <v>AUSTRALIAN JOURNAL OF GRAPE AND WINE RESEARCH</v>
      </c>
      <c r="B150" s="7" t="str">
        <v>园艺果树与采后</v>
      </c>
      <c r="C150" s="11" t="n">
        <v>3</v>
      </c>
      <c r="D150" s="12" t="n">
        <v>3.3</v>
      </c>
      <c r="E150" s="13" t="n">
        <v>2025</v>
      </c>
      <c r="F150" s="7" t="str">
        <v>其他</v>
      </c>
      <c r="G150" s="7" t="str">
        <v>领域期刊/新兴刊</v>
      </c>
      <c r="H150" s="7" t="str">
        <v>研究/方法/综合</v>
      </c>
      <c r="I150" s="10" t="n">
        <v>2025</v>
      </c>
      <c r="J150" s="2" t="str">
        <v>否</v>
      </c>
      <c r="K150" s="2" t="str">
        <v>1322-7130</v>
      </c>
      <c r="L150" s="2" t="str">
        <v>1755-0238</v>
      </c>
      <c r="M150" s="7" t="str">
        <v>FOOD SCIENCE &amp; TECHNOLOGY(SCIE);HORTICULTURE(SCIE)</v>
      </c>
      <c r="N150" s="7" t="str">
        <v>两份公开汇编一致</v>
      </c>
      <c r="O150" s="7" t="str"/>
      <c r="P150" s="15" t="str">
        <v>JIF来源</v>
      </c>
      <c r="Q150" s="15" t="str">
        <v>分区来源</v>
      </c>
      <c r="R150" s="15" t="str"/>
      <c r="S150" s="14" t="str">
        <v>https://onlinelibrary.wiley.com/journal/17550238</v>
      </c>
      <c r="T150" s="7" t="str">
        <v>ISSN匹配公开元数据；未逐站复核</v>
      </c>
      <c r="U150" s="2" t="str">
        <v>官网来源</v>
      </c>
      <c r="V150" s="2" t="n">
        <v>2026</v>
      </c>
    </row>
    <row r="151" ht="34" customHeight="1">
      <c r="A151" s="7" t="str">
        <v>POTATO RESEARCH</v>
      </c>
      <c r="B151" s="7" t="str">
        <v>园艺果树与采后</v>
      </c>
      <c r="C151" s="11" t="n">
        <v>3</v>
      </c>
      <c r="D151" s="12" t="n">
        <v>3.4</v>
      </c>
      <c r="E151" s="13" t="n">
        <v>2025</v>
      </c>
      <c r="F151" s="7" t="str">
        <v>其他</v>
      </c>
      <c r="G151" s="7" t="str">
        <v>领域期刊/新兴刊</v>
      </c>
      <c r="H151" s="7" t="str">
        <v>研究/方法/综合</v>
      </c>
      <c r="I151" s="10" t="n">
        <v>2025</v>
      </c>
      <c r="J151" s="2" t="str">
        <v>否</v>
      </c>
      <c r="K151" s="2" t="str">
        <v>0014-3065</v>
      </c>
      <c r="L151" s="2" t="str">
        <v>1871-4528</v>
      </c>
      <c r="M151" s="7" t="str">
        <v>AGRONOMY(SCIE)</v>
      </c>
      <c r="N151" s="7" t="str">
        <v>两份公开汇编一致</v>
      </c>
      <c r="O151" s="7" t="str"/>
      <c r="P151" s="15" t="str">
        <v>JIF来源</v>
      </c>
      <c r="Q151" s="15" t="str">
        <v>分区来源</v>
      </c>
      <c r="R151" s="15" t="str"/>
      <c r="S151" s="14" t="str">
        <v>https://link.springer.com/journal/11540</v>
      </c>
      <c r="T151" s="7" t="str">
        <v>ISSN匹配公开元数据；未逐站复核</v>
      </c>
      <c r="U151" s="2" t="str">
        <v>官网来源</v>
      </c>
      <c r="V151" s="2" t="n">
        <v>2026</v>
      </c>
    </row>
    <row r="152" ht="34" customHeight="1">
      <c r="A152" s="7" t="str">
        <v>AMERICAN JOURNAL OF ENOLOGY AND VITICULTURE</v>
      </c>
      <c r="B152" s="7" t="str">
        <v>园艺果树与采后</v>
      </c>
      <c r="C152" s="11" t="n">
        <v>3</v>
      </c>
      <c r="D152" s="12" t="n">
        <v>2.2</v>
      </c>
      <c r="E152" s="13" t="n">
        <v>2025</v>
      </c>
      <c r="F152" s="7" t="str">
        <v>其他</v>
      </c>
      <c r="G152" s="7" t="str">
        <v>领域期刊/新兴刊</v>
      </c>
      <c r="H152" s="7" t="str">
        <v>研究/方法/综合</v>
      </c>
      <c r="I152" s="10" t="n">
        <v>2025</v>
      </c>
      <c r="J152" s="2" t="str">
        <v>否</v>
      </c>
      <c r="K152" s="2" t="str">
        <v>0002-9254</v>
      </c>
      <c r="L152" s="2" t="str">
        <v>1943-7749</v>
      </c>
      <c r="M152" s="7" t="str">
        <v>BIOTECHNOLOGY &amp; APPLIED MICROBIOLOGY(SCIE);FOOD SCIENCE &amp; TECHNOLOGY(SCIE);HORTICULTURE(SCIE)</v>
      </c>
      <c r="N152" s="7" t="str">
        <v>公开汇编已匹配</v>
      </c>
      <c r="O152" s="7" t="str"/>
      <c r="P152" s="15" t="str">
        <v>JIF来源</v>
      </c>
      <c r="Q152" s="15" t="str">
        <v>分区来源</v>
      </c>
      <c r="R152" s="15" t="str"/>
      <c r="S152" s="14" t="str">
        <v>http://www.ajevonline.org/</v>
      </c>
      <c r="T152" s="7" t="str">
        <v>ISSN匹配公开元数据；未逐站复核</v>
      </c>
      <c r="U152" s="2" t="str">
        <v>官网来源</v>
      </c>
      <c r="V152" s="2" t="n">
        <v>2026</v>
      </c>
    </row>
    <row r="153" ht="34" customHeight="1">
      <c r="A153" s="7" t="str">
        <v>SCIENTIA AGRICOLA</v>
      </c>
      <c r="B153" s="7" t="str">
        <v>园艺果树与采后</v>
      </c>
      <c r="C153" s="11" t="n">
        <v>3</v>
      </c>
      <c r="D153" s="12" t="n">
        <v>1.7</v>
      </c>
      <c r="E153" s="13" t="n">
        <v>2025</v>
      </c>
      <c r="F153" s="7" t="str">
        <v>其他</v>
      </c>
      <c r="G153" s="7" t="str">
        <v>领域期刊/新兴刊</v>
      </c>
      <c r="H153" s="7" t="str">
        <v>研究/方法/综合</v>
      </c>
      <c r="I153" s="10" t="n">
        <v>2025</v>
      </c>
      <c r="J153" s="2" t="str">
        <v>否</v>
      </c>
      <c r="K153" s="2" t="str">
        <v>1678-992X</v>
      </c>
      <c r="L153" s="2" t="str">
        <v>1678-992X</v>
      </c>
      <c r="M153" s="7" t="str">
        <v>AGRICULTURE, MULTIDISCIPLINARY(SCIE)</v>
      </c>
      <c r="N153" s="7" t="str">
        <v>公开汇编已匹配</v>
      </c>
      <c r="O153" s="7" t="str"/>
      <c r="P153" s="15" t="str">
        <v>JIF来源</v>
      </c>
      <c r="Q153" s="15" t="str">
        <v>分区来源</v>
      </c>
      <c r="R153" s="15" t="str"/>
      <c r="S153" s="14" t="str">
        <v>http://www.scielo.br/sa</v>
      </c>
      <c r="T153" s="7" t="str">
        <v>ISSN匹配公开元数据；未逐站复核</v>
      </c>
      <c r="U153" s="2" t="str">
        <v>官网来源</v>
      </c>
      <c r="V153" s="2" t="n">
        <v>2026</v>
      </c>
    </row>
    <row r="154" ht="34" customHeight="1">
      <c r="A154" s="7" t="str">
        <v>JOURNAL OF HORTICULTURAL SCIENCE &amp; BIOTECHNOLOGY</v>
      </c>
      <c r="B154" s="7" t="str">
        <v>园艺果树与采后</v>
      </c>
      <c r="C154" s="11" t="n">
        <v>4</v>
      </c>
      <c r="D154" s="12" t="n">
        <v>2.2</v>
      </c>
      <c r="E154" s="13" t="n">
        <v>2025</v>
      </c>
      <c r="F154" s="7" t="str">
        <v>其他</v>
      </c>
      <c r="G154" s="7" t="str">
        <v>领域期刊/新兴刊</v>
      </c>
      <c r="H154" s="7" t="str">
        <v>研究/方法/综合</v>
      </c>
      <c r="I154" s="10" t="n">
        <v>2025</v>
      </c>
      <c r="J154" s="2" t="str">
        <v>否</v>
      </c>
      <c r="K154" s="2" t="str">
        <v>1462-0316</v>
      </c>
      <c r="L154" s="2" t="str">
        <v>2380-4084</v>
      </c>
      <c r="M154" s="7" t="str">
        <v>HORTICULTURE(SCIE)</v>
      </c>
      <c r="N154" s="7" t="str">
        <v>公开汇编已匹配</v>
      </c>
      <c r="O154" s="7" t="str"/>
      <c r="P154" s="15" t="str">
        <v>JIF来源</v>
      </c>
      <c r="Q154" s="15" t="str">
        <v>分区来源</v>
      </c>
      <c r="R154" s="15" t="str"/>
      <c r="S154" s="14" t="str">
        <v>https://www.tandfonline.com/toc/thsb19/current</v>
      </c>
      <c r="T154" s="7" t="str">
        <v>ISSN匹配公开元数据；未逐站复核</v>
      </c>
      <c r="U154" s="2" t="str">
        <v>官网来源</v>
      </c>
      <c r="V154" s="2" t="n">
        <v>2026</v>
      </c>
    </row>
    <row r="155" ht="34" customHeight="1">
      <c r="A155" s="7" t="str">
        <v>AMERICAN JOURNAL OF POTATO RESEARCH</v>
      </c>
      <c r="B155" s="7" t="str">
        <v>园艺果树与采后</v>
      </c>
      <c r="C155" s="11" t="n">
        <v>4</v>
      </c>
      <c r="D155" s="12" t="n">
        <v>1.5</v>
      </c>
      <c r="E155" s="13" t="n">
        <v>2025</v>
      </c>
      <c r="F155" s="7" t="str">
        <v>其他</v>
      </c>
      <c r="G155" s="7" t="str">
        <v>领域期刊/新兴刊</v>
      </c>
      <c r="H155" s="7" t="str">
        <v>研究/方法/综合</v>
      </c>
      <c r="I155" s="10" t="n">
        <v>2025</v>
      </c>
      <c r="J155" s="2" t="str">
        <v>否</v>
      </c>
      <c r="K155" s="2" t="str">
        <v>1099-209X</v>
      </c>
      <c r="L155" s="2" t="str">
        <v>1874-9380</v>
      </c>
      <c r="M155" s="7" t="str">
        <v>AGRONOMY(SCIE)</v>
      </c>
      <c r="N155" s="7" t="str">
        <v>公开汇编已匹配</v>
      </c>
      <c r="O155" s="7" t="str"/>
      <c r="P155" s="15" t="str">
        <v>JIF来源</v>
      </c>
      <c r="Q155" s="15" t="str">
        <v>分区来源</v>
      </c>
      <c r="R155" s="15" t="str"/>
      <c r="S155" s="14" t="str">
        <v>https://link.springer.com/journal/12230</v>
      </c>
      <c r="T155" s="7" t="str">
        <v>ISSN匹配公开元数据；未逐站复核</v>
      </c>
      <c r="U155" s="2" t="str">
        <v>官网来源</v>
      </c>
      <c r="V155" s="2" t="n">
        <v>2026</v>
      </c>
    </row>
    <row r="156" ht="34" customHeight="1">
      <c r="A156" s="7" t="str">
        <v>HORTSCIENCE</v>
      </c>
      <c r="B156" s="7" t="str">
        <v>园艺果树与采后</v>
      </c>
      <c r="C156" s="11" t="n">
        <v>4</v>
      </c>
      <c r="D156" s="12" t="n">
        <v>1.9</v>
      </c>
      <c r="E156" s="13" t="n">
        <v>2025</v>
      </c>
      <c r="F156" s="7" t="str">
        <v>其他</v>
      </c>
      <c r="G156" s="7" t="str">
        <v>经典专业刊</v>
      </c>
      <c r="H156" s="7" t="str">
        <v>研究/方法/综合</v>
      </c>
      <c r="I156" s="10" t="n">
        <v>2025</v>
      </c>
      <c r="J156" s="2" t="str">
        <v>否</v>
      </c>
      <c r="K156" s="2" t="str">
        <v>0018-5345</v>
      </c>
      <c r="L156" s="2" t="str">
        <v>2327-9834</v>
      </c>
      <c r="M156" s="7" t="str">
        <v>HORTICULTURE(SCIE)</v>
      </c>
      <c r="N156" s="7" t="str">
        <v>公开汇编已匹配</v>
      </c>
      <c r="O156" s="7" t="str"/>
      <c r="P156" s="15" t="str">
        <v>JIF来源</v>
      </c>
      <c r="Q156" s="15" t="str">
        <v>分区来源</v>
      </c>
      <c r="R156" s="15" t="str"/>
      <c r="S156" s="14" t="str">
        <v>https://journals.ashs.org/hortsci/view/journals/hortsci/hortsci-overview.xml</v>
      </c>
      <c r="T156" s="7" t="str">
        <v>ISSN匹配公开元数据；未逐站复核</v>
      </c>
      <c r="U156" s="2" t="str">
        <v>官网来源</v>
      </c>
      <c r="V156" s="2" t="n">
        <v>2026</v>
      </c>
    </row>
    <row r="157" ht="34" customHeight="1">
      <c r="A157" s="7" t="str">
        <v>BRAGANTIA</v>
      </c>
      <c r="B157" s="7" t="str">
        <v>园艺果树与采后</v>
      </c>
      <c r="C157" s="11" t="n">
        <v>4</v>
      </c>
      <c r="D157" s="12" t="n">
        <v>1.8</v>
      </c>
      <c r="E157" s="13" t="n">
        <v>2025</v>
      </c>
      <c r="F157" s="7" t="str">
        <v>其他</v>
      </c>
      <c r="G157" s="7" t="str">
        <v>领域期刊/新兴刊</v>
      </c>
      <c r="H157" s="7" t="str">
        <v>研究/方法/综合</v>
      </c>
      <c r="I157" s="10" t="n">
        <v>2025</v>
      </c>
      <c r="J157" s="2" t="str">
        <v>否</v>
      </c>
      <c r="K157" s="2" t="str">
        <v>0006-8705</v>
      </c>
      <c r="L157" s="2" t="str">
        <v>1678-4499</v>
      </c>
      <c r="M157" s="7" t="str">
        <v>AGRICULTURE, MULTIDISCIPLINARY(SCIE)</v>
      </c>
      <c r="N157" s="7" t="str">
        <v>公开汇编已匹配</v>
      </c>
      <c r="O157" s="7" t="str"/>
      <c r="P157" s="15" t="str">
        <v>JIF来源</v>
      </c>
      <c r="Q157" s="15" t="str">
        <v>分区来源</v>
      </c>
      <c r="R157" s="15" t="str"/>
      <c r="S157" s="14" t="str">
        <v>http://www.scielo.br/brag</v>
      </c>
      <c r="T157" s="7" t="str">
        <v>ISSN匹配公开元数据；未逐站复核</v>
      </c>
      <c r="U157" s="2" t="str">
        <v>官网来源</v>
      </c>
      <c r="V157" s="2" t="n">
        <v>2026</v>
      </c>
    </row>
    <row r="158" ht="34" customHeight="1">
      <c r="A158" s="7" t="str">
        <v>HORTTECHNOLOGY</v>
      </c>
      <c r="B158" s="7" t="str">
        <v>园艺果树与采后</v>
      </c>
      <c r="C158" s="11" t="n">
        <v>4</v>
      </c>
      <c r="D158" s="12" t="n">
        <v>1.4</v>
      </c>
      <c r="E158" s="13" t="n">
        <v>2025</v>
      </c>
      <c r="F158" s="7" t="str">
        <v>其他</v>
      </c>
      <c r="G158" s="7" t="str">
        <v>领域期刊/新兴刊</v>
      </c>
      <c r="H158" s="7" t="str">
        <v>研究/方法/综合</v>
      </c>
      <c r="I158" s="10" t="n">
        <v>2025</v>
      </c>
      <c r="J158" s="2" t="str">
        <v>否</v>
      </c>
      <c r="K158" s="2" t="str">
        <v>1063-0198</v>
      </c>
      <c r="L158" s="2" t="str">
        <v>1943-7714</v>
      </c>
      <c r="M158" s="7" t="str">
        <v>HORTICULTURE(SCIE)</v>
      </c>
      <c r="N158" s="7" t="str">
        <v>公开汇编已匹配</v>
      </c>
      <c r="O158" s="7" t="str"/>
      <c r="P158" s="15" t="str">
        <v>JIF来源</v>
      </c>
      <c r="Q158" s="15" t="str">
        <v>分区来源</v>
      </c>
      <c r="R158" s="15" t="str"/>
      <c r="S158" s="14" t="str">
        <v>https://journals.ashs.org/horttech/view/journals/horttech/horttech-overview.xml</v>
      </c>
      <c r="T158" s="7" t="str">
        <v>ISSN匹配公开元数据；未逐站复核</v>
      </c>
      <c r="U158" s="2" t="str">
        <v>官网来源</v>
      </c>
      <c r="V158" s="2" t="n">
        <v>2026</v>
      </c>
    </row>
    <row r="159" ht="34" customHeight="1">
      <c r="A159" s="7" t="str">
        <v>JOURNAL OF THE AMERICAN SOCIETY FOR HORTICULTURAL SCIENCE</v>
      </c>
      <c r="B159" s="7" t="str">
        <v>园艺果树与采后</v>
      </c>
      <c r="C159" s="11" t="n">
        <v>4</v>
      </c>
      <c r="D159" s="12" t="n">
        <v>1.5</v>
      </c>
      <c r="E159" s="13" t="n">
        <v>2025</v>
      </c>
      <c r="F159" s="7" t="str">
        <v>其他</v>
      </c>
      <c r="G159" s="7" t="str">
        <v>经典专业刊</v>
      </c>
      <c r="H159" s="7" t="str">
        <v>研究/方法/综合</v>
      </c>
      <c r="I159" s="10" t="n">
        <v>2025</v>
      </c>
      <c r="J159" s="2" t="str">
        <v>否</v>
      </c>
      <c r="K159" s="2" t="str">
        <v>0003-1062</v>
      </c>
      <c r="L159" s="2" t="str">
        <v>2327-9788</v>
      </c>
      <c r="M159" s="7" t="str">
        <v>HORTICULTURE(SCIE)</v>
      </c>
      <c r="N159" s="7" t="str">
        <v>公开汇编已匹配</v>
      </c>
      <c r="O159" s="7" t="str"/>
      <c r="P159" s="15" t="str">
        <v>JIF来源</v>
      </c>
      <c r="Q159" s="15" t="str">
        <v>分区来源</v>
      </c>
      <c r="R159" s="15" t="str"/>
      <c r="S159" s="14" t="str">
        <v>http://journal.ashspublications.org/archive</v>
      </c>
      <c r="T159" s="7" t="str">
        <v>ISSN匹配公开元数据；未逐站复核</v>
      </c>
      <c r="U159" s="2" t="str">
        <v>官网来源</v>
      </c>
      <c r="V159" s="2" t="n">
        <v>2026</v>
      </c>
    </row>
    <row r="160" ht="34" customHeight="1">
      <c r="A160" s="7" t="str">
        <v>Ornamental Horticulture-Revista Brasileira de Horticultura Ornamental</v>
      </c>
      <c r="B160" s="7" t="str">
        <v>园艺果树与采后</v>
      </c>
      <c r="C160" s="11" t="n">
        <v>4</v>
      </c>
      <c r="D160" s="12" t="n">
        <v>1.1</v>
      </c>
      <c r="E160" s="13" t="n">
        <v>2025</v>
      </c>
      <c r="F160" s="7" t="str">
        <v>其他</v>
      </c>
      <c r="G160" s="7" t="str">
        <v>领域期刊/新兴刊</v>
      </c>
      <c r="H160" s="7" t="str">
        <v>研究/方法/综合</v>
      </c>
      <c r="I160" s="10" t="n">
        <v>2025</v>
      </c>
      <c r="J160" s="2" t="str">
        <v>否</v>
      </c>
      <c r="K160" s="2" t="str"/>
      <c r="L160" s="2" t="str">
        <v>2447-536X</v>
      </c>
      <c r="M160" s="7" t="str">
        <v>HORTICULTURE(ESCI);PLANT SCIENCES(ESCI)</v>
      </c>
      <c r="N160" s="7" t="str">
        <v>公开汇编已匹配</v>
      </c>
      <c r="O160" s="7" t="str"/>
      <c r="P160" s="15" t="str">
        <v>JIF来源</v>
      </c>
      <c r="Q160" s="15" t="str">
        <v>分区来源</v>
      </c>
      <c r="R160" s="15" t="str"/>
      <c r="S160" s="14" t="str">
        <v>https://ornamentalhorticulture.emnuvens.com.br/rbho/index</v>
      </c>
      <c r="T160" s="7" t="str">
        <v>ISSN匹配公开元数据；未逐站复核</v>
      </c>
      <c r="U160" s="2" t="str">
        <v>官网来源</v>
      </c>
      <c r="V160" s="2" t="n">
        <v>2026</v>
      </c>
    </row>
    <row r="161" ht="34" customHeight="1">
      <c r="A161" s="7" t="str">
        <v>VITIS</v>
      </c>
      <c r="B161" s="7" t="str">
        <v>园艺果树与采后</v>
      </c>
      <c r="C161" s="11" t="n">
        <v>4</v>
      </c>
      <c r="D161" s="12" t="n">
        <v>0.7</v>
      </c>
      <c r="E161" s="13" t="n">
        <v>2025</v>
      </c>
      <c r="F161" s="7" t="str">
        <v>其他</v>
      </c>
      <c r="G161" s="7" t="str">
        <v>领域期刊/新兴刊</v>
      </c>
      <c r="H161" s="7" t="str">
        <v>研究/方法/综合</v>
      </c>
      <c r="I161" s="10" t="n">
        <v>2025</v>
      </c>
      <c r="J161" s="2" t="str">
        <v>否</v>
      </c>
      <c r="K161" s="2" t="str">
        <v>0042-7500</v>
      </c>
      <c r="L161" s="2" t="str">
        <v>0042-7500</v>
      </c>
      <c r="M161" s="7" t="str">
        <v>HORTICULTURE(SCIE)</v>
      </c>
      <c r="N161" s="7" t="str">
        <v>公开汇编已匹配</v>
      </c>
      <c r="O161" s="7" t="str"/>
      <c r="P161" s="15" t="str">
        <v>JIF来源</v>
      </c>
      <c r="Q161" s="15" t="str">
        <v>分区来源</v>
      </c>
      <c r="R161" s="15" t="str"/>
      <c r="S161" s="14" t="str">
        <v>https://ojs.openagrar.de/index.php/VITIS</v>
      </c>
      <c r="T161" s="7" t="str">
        <v>ISSN匹配公开元数据；未逐站复核</v>
      </c>
      <c r="U161" s="2" t="str">
        <v>官网来源</v>
      </c>
      <c r="V161" s="2" t="n">
        <v>2026</v>
      </c>
    </row>
    <row r="162" ht="34" customHeight="1">
      <c r="A162" s="7" t="str">
        <v>EUROPEAN JOURNAL OF HORTICULTURAL SCIENCE</v>
      </c>
      <c r="B162" s="7" t="str">
        <v>园艺果树与采后</v>
      </c>
      <c r="C162" s="11" t="n">
        <v>4</v>
      </c>
      <c r="D162" s="12" t="n">
        <v>0.6</v>
      </c>
      <c r="E162" s="13" t="n">
        <v>2025</v>
      </c>
      <c r="F162" s="7" t="str">
        <v>其他</v>
      </c>
      <c r="G162" s="7" t="str">
        <v>领域期刊/新兴刊</v>
      </c>
      <c r="H162" s="7" t="str">
        <v>研究/方法/综合</v>
      </c>
      <c r="I162" s="10" t="n">
        <v>2025</v>
      </c>
      <c r="J162" s="2" t="str">
        <v>否</v>
      </c>
      <c r="K162" s="2" t="str">
        <v>1611-4426</v>
      </c>
      <c r="L162" s="2" t="str">
        <v>1611-4434</v>
      </c>
      <c r="M162" s="7" t="str">
        <v>HORTICULTURE(SCIE)</v>
      </c>
      <c r="N162" s="7" t="str">
        <v>公开汇编已匹配</v>
      </c>
      <c r="O162" s="7" t="str"/>
      <c r="P162" s="15" t="str">
        <v>JIF来源</v>
      </c>
      <c r="Q162" s="15" t="str">
        <v>分区来源</v>
      </c>
      <c r="R162" s="15" t="str"/>
      <c r="S162" s="14" t="str">
        <v>https://www.ishs.org/ejhs</v>
      </c>
      <c r="T162" s="7" t="str">
        <v>ISSN匹配公开元数据；未逐站复核</v>
      </c>
      <c r="U162" s="2" t="str">
        <v>官网来源</v>
      </c>
      <c r="V162" s="2" t="n">
        <v>2026</v>
      </c>
    </row>
    <row r="163" ht="34" customHeight="1">
      <c r="A163" s="7" t="str">
        <v>Fruits</v>
      </c>
      <c r="B163" s="7" t="str">
        <v>园艺果树与采后</v>
      </c>
      <c r="C163" s="11" t="n">
        <v>4</v>
      </c>
      <c r="D163" s="12"/>
      <c r="E163" s="13" t="n">
        <v>2025</v>
      </c>
      <c r="F163" s="7" t="str">
        <v>其他</v>
      </c>
      <c r="G163" s="7" t="str">
        <v>领域期刊/新兴刊</v>
      </c>
      <c r="H163" s="7" t="str">
        <v>研究/方法/综合</v>
      </c>
      <c r="I163" s="10" t="n">
        <v>2025</v>
      </c>
      <c r="J163" s="2" t="str">
        <v>否</v>
      </c>
      <c r="K163" s="2" t="str">
        <v>0248-1294</v>
      </c>
      <c r="L163" s="2" t="str">
        <v>1625-967X</v>
      </c>
      <c r="M163" s="7" t="str">
        <v>HORTICULTURE(SCIE)</v>
      </c>
      <c r="N163" s="7" t="str">
        <v>2025 JIF未检得/未给值</v>
      </c>
      <c r="O163" s="7" t="str">
        <v>所用2026发布来源未检得2025 JIF数值；未沿用往年指标。</v>
      </c>
      <c r="P163" s="15" t="str">
        <v>JIF来源</v>
      </c>
      <c r="Q163" s="15" t="str">
        <v>分区来源</v>
      </c>
      <c r="R163" s="15" t="str"/>
      <c r="S163" s="14" t="str">
        <v>http://www.edpsciences.com/docinfos/FRUITS</v>
      </c>
      <c r="T163" s="7" t="str">
        <v>ISSN匹配公开元数据；未逐站复核</v>
      </c>
      <c r="U163" s="2" t="str">
        <v>官网来源</v>
      </c>
      <c r="V163" s="2" t="n">
        <v>2026</v>
      </c>
    </row>
    <row r="164" ht="34" customHeight="1">
      <c r="A164" s="7" t="str">
        <v>Annual Review of Entomology</v>
      </c>
      <c r="B164" s="7" t="str">
        <v>植物保护与昆虫</v>
      </c>
      <c r="C164" s="11" t="n">
        <v>1</v>
      </c>
      <c r="D164" s="12" t="n">
        <v>16.9</v>
      </c>
      <c r="E164" s="13" t="n">
        <v>2025</v>
      </c>
      <c r="F164" s="7" t="str">
        <v>其他</v>
      </c>
      <c r="G164" s="7" t="str">
        <v>领域期刊/新兴刊</v>
      </c>
      <c r="H164" s="7" t="str">
        <v>综述为主</v>
      </c>
      <c r="I164" s="10" t="n">
        <v>2025</v>
      </c>
      <c r="J164" s="2" t="str">
        <v>是</v>
      </c>
      <c r="K164" s="2" t="str">
        <v>0066-4170</v>
      </c>
      <c r="L164" s="2" t="str">
        <v>1545-4487</v>
      </c>
      <c r="M164" s="7" t="str">
        <v>ENTOMOLOGY(SCIE)</v>
      </c>
      <c r="N164" s="7" t="str">
        <v>两份公开汇编一致</v>
      </c>
      <c r="O164" s="7" t="str"/>
      <c r="P164" s="15" t="str">
        <v>JIF来源</v>
      </c>
      <c r="Q164" s="15" t="str">
        <v>分区来源</v>
      </c>
      <c r="R164" s="15" t="str"/>
      <c r="S164" s="14" t="str">
        <v>http://www.annualreviews.org/journal/ento</v>
      </c>
      <c r="T164" s="7" t="str">
        <v>ISSN匹配公开元数据；未逐站复核</v>
      </c>
      <c r="U164" s="2" t="str">
        <v>官网来源</v>
      </c>
      <c r="V164" s="2" t="n">
        <v>2026</v>
      </c>
    </row>
    <row r="165" ht="34" customHeight="1">
      <c r="A165" s="7" t="str">
        <v>Annual Review of Phytopathology</v>
      </c>
      <c r="B165" s="7" t="str">
        <v>植物保护与昆虫</v>
      </c>
      <c r="C165" s="11" t="n">
        <v>1</v>
      </c>
      <c r="D165" s="12" t="n">
        <v>13.2</v>
      </c>
      <c r="E165" s="13" t="n">
        <v>2025</v>
      </c>
      <c r="F165" s="7" t="str">
        <v>其他</v>
      </c>
      <c r="G165" s="7" t="str">
        <v>领域期刊/新兴刊</v>
      </c>
      <c r="H165" s="7" t="str">
        <v>综述为主</v>
      </c>
      <c r="I165" s="10" t="n">
        <v>2025</v>
      </c>
      <c r="J165" s="2" t="str">
        <v>是</v>
      </c>
      <c r="K165" s="2" t="str">
        <v>0066-4286</v>
      </c>
      <c r="L165" s="2" t="str">
        <v>1545-2107</v>
      </c>
      <c r="M165" s="7" t="str">
        <v>PLANT SCIENCES(SCIE)</v>
      </c>
      <c r="N165" s="7" t="str">
        <v>两份公开汇编一致</v>
      </c>
      <c r="O165" s="7" t="str"/>
      <c r="P165" s="15" t="str">
        <v>JIF来源</v>
      </c>
      <c r="Q165" s="15" t="str">
        <v>分区来源</v>
      </c>
      <c r="R165" s="15" t="str"/>
      <c r="S165" s="14" t="str">
        <v>http://www.annualreviews.org/loi/phyto</v>
      </c>
      <c r="T165" s="7" t="str">
        <v>ISSN匹配公开元数据；未逐站复核</v>
      </c>
      <c r="U165" s="2" t="str">
        <v>官网来源</v>
      </c>
      <c r="V165" s="2" t="n">
        <v>2026</v>
      </c>
    </row>
    <row r="166" ht="34" customHeight="1">
      <c r="A166" s="7" t="str">
        <v>MOLECULAR PLANT PATHOLOGY</v>
      </c>
      <c r="B166" s="7" t="str">
        <v>植物保护与昆虫</v>
      </c>
      <c r="C166" s="11" t="n">
        <v>1</v>
      </c>
      <c r="D166" s="12" t="n">
        <v>5</v>
      </c>
      <c r="E166" s="13" t="n">
        <v>2025</v>
      </c>
      <c r="F166" s="7" t="str">
        <v>其他</v>
      </c>
      <c r="G166" s="7" t="str">
        <v>领域期刊/新兴刊</v>
      </c>
      <c r="H166" s="7" t="str">
        <v>研究/方法/综合</v>
      </c>
      <c r="I166" s="10" t="n">
        <v>2025</v>
      </c>
      <c r="J166" s="2" t="str">
        <v>是</v>
      </c>
      <c r="K166" s="2" t="str">
        <v>1464-6722</v>
      </c>
      <c r="L166" s="2" t="str">
        <v>1364-3703</v>
      </c>
      <c r="M166" s="7" t="str">
        <v>PLANT SCIENCES(SCIE)</v>
      </c>
      <c r="N166" s="7" t="str">
        <v>两份公开汇编一致</v>
      </c>
      <c r="O166" s="7" t="str"/>
      <c r="P166" s="15" t="str">
        <v>JIF来源</v>
      </c>
      <c r="Q166" s="15" t="str">
        <v>分区来源</v>
      </c>
      <c r="R166" s="15" t="str"/>
      <c r="S166" s="14" t="str">
        <v>http://www.blackwellpublishing.com/journal.asp?ref=1464-6722&amp;site=1</v>
      </c>
      <c r="T166" s="7" t="str">
        <v>ISSN匹配公开元数据；未逐站复核</v>
      </c>
      <c r="U166" s="2" t="str">
        <v>官网来源</v>
      </c>
      <c r="V166" s="2" t="n">
        <v>2026</v>
      </c>
    </row>
    <row r="167" ht="34" customHeight="1">
      <c r="A167" s="7" t="str">
        <v>SYSTEMATIC ENTOMOLOGY</v>
      </c>
      <c r="B167" s="7" t="str">
        <v>植物保护与昆虫</v>
      </c>
      <c r="C167" s="11" t="n">
        <v>1</v>
      </c>
      <c r="D167" s="12" t="n">
        <v>4.3</v>
      </c>
      <c r="E167" s="13" t="n">
        <v>2025</v>
      </c>
      <c r="F167" s="7" t="str">
        <v>其他</v>
      </c>
      <c r="G167" s="7" t="str">
        <v>领域期刊/新兴刊</v>
      </c>
      <c r="H167" s="7" t="str">
        <v>研究/方法/综合</v>
      </c>
      <c r="I167" s="10" t="n">
        <v>2025</v>
      </c>
      <c r="J167" s="2" t="str">
        <v>是</v>
      </c>
      <c r="K167" s="2" t="str">
        <v>0307-6970</v>
      </c>
      <c r="L167" s="2" t="str">
        <v>1365-3113</v>
      </c>
      <c r="M167" s="7" t="str">
        <v>ENTOMOLOGY(SCIE);EVOLUTIONARY BIOLOGY(SCIE)</v>
      </c>
      <c r="N167" s="7" t="str">
        <v>两份公开汇编一致</v>
      </c>
      <c r="O167" s="7" t="str"/>
      <c r="P167" s="15" t="str">
        <v>JIF来源</v>
      </c>
      <c r="Q167" s="15" t="str">
        <v>分区来源</v>
      </c>
      <c r="R167" s="15" t="str"/>
      <c r="S167" s="14" t="str">
        <v>https://onlinelibrary.wiley.com/journal/13653113</v>
      </c>
      <c r="T167" s="7" t="str">
        <v>ISSN匹配公开元数据；未逐站复核</v>
      </c>
      <c r="U167" s="2" t="str">
        <v>官网来源</v>
      </c>
      <c r="V167" s="2" t="n">
        <v>2026</v>
      </c>
    </row>
    <row r="168" ht="34" customHeight="1">
      <c r="A168" s="7" t="str">
        <v>JOURNAL OF PEST SCIENCE</v>
      </c>
      <c r="B168" s="7" t="str">
        <v>植物保护与昆虫</v>
      </c>
      <c r="C168" s="11" t="n">
        <v>1</v>
      </c>
      <c r="D168" s="12" t="n">
        <v>4.4</v>
      </c>
      <c r="E168" s="13" t="n">
        <v>2025</v>
      </c>
      <c r="F168" s="7" t="str">
        <v>其他</v>
      </c>
      <c r="G168" s="7" t="str">
        <v>领域期刊/新兴刊</v>
      </c>
      <c r="H168" s="7" t="str">
        <v>研究/方法/综合</v>
      </c>
      <c r="I168" s="10" t="n">
        <v>2025</v>
      </c>
      <c r="J168" s="2" t="str">
        <v>是</v>
      </c>
      <c r="K168" s="2" t="str">
        <v>1612-4758</v>
      </c>
      <c r="L168" s="2" t="str">
        <v>1612-4766</v>
      </c>
      <c r="M168" s="7" t="str">
        <v>ENTOMOLOGY(SCIE)</v>
      </c>
      <c r="N168" s="7" t="str">
        <v>两份公开汇编一致</v>
      </c>
      <c r="O168" s="7" t="str"/>
      <c r="P168" s="15" t="str">
        <v>JIF来源</v>
      </c>
      <c r="Q168" s="15" t="str">
        <v>分区来源</v>
      </c>
      <c r="R168" s="15" t="str"/>
      <c r="S168" s="14" t="str">
        <v>https://link.springer.com/journal/10340</v>
      </c>
      <c r="T168" s="7" t="str">
        <v>ISSN匹配公开元数据；未逐站复核</v>
      </c>
      <c r="U168" s="2" t="str">
        <v>官网来源</v>
      </c>
      <c r="V168" s="2" t="n">
        <v>2026</v>
      </c>
    </row>
    <row r="169" ht="34" customHeight="1">
      <c r="A169" s="7" t="str">
        <v>Pesticide Biochemistry and Physiology</v>
      </c>
      <c r="B169" s="7" t="str">
        <v>植物保护与昆虫</v>
      </c>
      <c r="C169" s="11" t="n">
        <v>1</v>
      </c>
      <c r="D169" s="12" t="n">
        <v>4.8</v>
      </c>
      <c r="E169" s="13" t="n">
        <v>2025</v>
      </c>
      <c r="F169" s="7" t="str">
        <v>其他</v>
      </c>
      <c r="G169" s="7" t="str">
        <v>领域期刊/新兴刊</v>
      </c>
      <c r="H169" s="7" t="str">
        <v>研究/方法/综合</v>
      </c>
      <c r="I169" s="10" t="n">
        <v>2025</v>
      </c>
      <c r="J169" s="2" t="str">
        <v>是</v>
      </c>
      <c r="K169" s="2" t="str">
        <v>0048-3575</v>
      </c>
      <c r="L169" s="2" t="str">
        <v>1095-9939</v>
      </c>
      <c r="M169" s="7" t="str">
        <v>BIOCHEMISTRY &amp; MOLECULAR BIOLOGY(SCIE);ENTOMOLOGY(SCIE);PHYSIOLOGY(SCIE)</v>
      </c>
      <c r="N169" s="7" t="str">
        <v>两份公开汇编一致</v>
      </c>
      <c r="O169" s="7" t="str"/>
      <c r="P169" s="15" t="str">
        <v>JIF来源</v>
      </c>
      <c r="Q169" s="15" t="str">
        <v>分区来源</v>
      </c>
      <c r="R169" s="15" t="str"/>
      <c r="S169" s="14" t="str">
        <v>https://www.journals.elsevier.com/pesticide-biochemistry-and-physiology</v>
      </c>
      <c r="T169" s="7" t="str">
        <v>ISSN匹配公开元数据；未逐站复核</v>
      </c>
      <c r="U169" s="2" t="str">
        <v>官网来源</v>
      </c>
      <c r="V169" s="2" t="n">
        <v>2026</v>
      </c>
    </row>
    <row r="170" ht="34" customHeight="1">
      <c r="A170" s="7" t="str">
        <v>PEST MANAGEMENT SCIENCE</v>
      </c>
      <c r="B170" s="7" t="str">
        <v>植物保护与昆虫</v>
      </c>
      <c r="C170" s="11" t="n">
        <v>1</v>
      </c>
      <c r="D170" s="12" t="n">
        <v>4.2</v>
      </c>
      <c r="E170" s="13" t="n">
        <v>2025</v>
      </c>
      <c r="F170" s="7" t="str">
        <v>其他</v>
      </c>
      <c r="G170" s="7" t="str">
        <v>领域期刊/新兴刊</v>
      </c>
      <c r="H170" s="7" t="str">
        <v>研究/方法/综合</v>
      </c>
      <c r="I170" s="10" t="n">
        <v>2025</v>
      </c>
      <c r="J170" s="2" t="str">
        <v>是</v>
      </c>
      <c r="K170" s="2" t="str">
        <v>1526-498X</v>
      </c>
      <c r="L170" s="2" t="str">
        <v>1526-4998</v>
      </c>
      <c r="M170" s="7" t="str">
        <v>AGRONOMY(SCIE);ENTOMOLOGY(SCIE)</v>
      </c>
      <c r="N170" s="7" t="str">
        <v>两份公开汇编一致</v>
      </c>
      <c r="O170" s="7" t="str"/>
      <c r="P170" s="15" t="str">
        <v>JIF来源</v>
      </c>
      <c r="Q170" s="15" t="str">
        <v>分区来源</v>
      </c>
      <c r="R170" s="15" t="str"/>
      <c r="S170" s="14" t="str">
        <v>https://onlinelibrary.wiley.com/journal/15264998</v>
      </c>
      <c r="T170" s="7" t="str">
        <v>ISSN匹配公开元数据；未逐站复核</v>
      </c>
      <c r="U170" s="2" t="str">
        <v>官网来源</v>
      </c>
      <c r="V170" s="2" t="n">
        <v>2026</v>
      </c>
    </row>
    <row r="171" ht="34" customHeight="1">
      <c r="A171" s="7" t="str">
        <v>INSECT BIOCHEMISTRY AND MOLECULAR BIOLOGY</v>
      </c>
      <c r="B171" s="7" t="str">
        <v>植物保护与昆虫</v>
      </c>
      <c r="C171" s="11" t="n">
        <v>1</v>
      </c>
      <c r="D171" s="12" t="n">
        <v>4.3</v>
      </c>
      <c r="E171" s="13" t="n">
        <v>2025</v>
      </c>
      <c r="F171" s="7" t="str">
        <v>其他</v>
      </c>
      <c r="G171" s="7" t="str">
        <v>领域期刊/新兴刊</v>
      </c>
      <c r="H171" s="7" t="str">
        <v>研究/方法/综合</v>
      </c>
      <c r="I171" s="10" t="n">
        <v>2025</v>
      </c>
      <c r="J171" s="2" t="str">
        <v>是</v>
      </c>
      <c r="K171" s="2" t="str">
        <v>0965-1748</v>
      </c>
      <c r="L171" s="2" t="str">
        <v>1879-0240</v>
      </c>
      <c r="M171" s="7" t="str">
        <v>BIOCHEMISTRY &amp; MOLECULAR BIOLOGY(SCIE);ENTOMOLOGY(SCIE)</v>
      </c>
      <c r="N171" s="7" t="str">
        <v>两份公开汇编一致</v>
      </c>
      <c r="O171" s="7" t="str"/>
      <c r="P171" s="15" t="str">
        <v>JIF来源</v>
      </c>
      <c r="Q171" s="15" t="str">
        <v>分区来源</v>
      </c>
      <c r="R171" s="15" t="str"/>
      <c r="S171" s="14" t="str">
        <v>https://www.journals.elsevier.com/insect-biochemistry-and-molecular-biology</v>
      </c>
      <c r="T171" s="7" t="str">
        <v>ISSN匹配公开元数据；未逐站复核</v>
      </c>
      <c r="U171" s="2" t="str">
        <v>官网来源</v>
      </c>
      <c r="V171" s="2" t="n">
        <v>2026</v>
      </c>
    </row>
    <row r="172" ht="34" customHeight="1">
      <c r="A172" s="7" t="str">
        <v>Insect Science</v>
      </c>
      <c r="B172" s="7" t="str">
        <v>植物保护与昆虫</v>
      </c>
      <c r="C172" s="11" t="n">
        <v>1</v>
      </c>
      <c r="D172" s="12" t="n">
        <v>3.7</v>
      </c>
      <c r="E172" s="13" t="n">
        <v>2025</v>
      </c>
      <c r="F172" s="7" t="str">
        <v>其他</v>
      </c>
      <c r="G172" s="7" t="str">
        <v>领域期刊/新兴刊</v>
      </c>
      <c r="H172" s="7" t="str">
        <v>研究/方法/综合</v>
      </c>
      <c r="I172" s="10" t="n">
        <v>2025</v>
      </c>
      <c r="J172" s="2" t="str">
        <v>是</v>
      </c>
      <c r="K172" s="2" t="str">
        <v>1672-9609</v>
      </c>
      <c r="L172" s="2" t="str">
        <v>1744-7917</v>
      </c>
      <c r="M172" s="7" t="str">
        <v>ENTOMOLOGY(SCIE)</v>
      </c>
      <c r="N172" s="7" t="str">
        <v>两份公开汇编一致</v>
      </c>
      <c r="O172" s="7" t="str"/>
      <c r="P172" s="15" t="str">
        <v>JIF来源</v>
      </c>
      <c r="Q172" s="15" t="str">
        <v>分区来源</v>
      </c>
      <c r="R172" s="15" t="str"/>
      <c r="S172" s="14" t="str">
        <v>https://onlinelibrary.wiley.com/journal/17447917</v>
      </c>
      <c r="T172" s="7" t="str">
        <v>ISSN匹配公开元数据；未逐站复核</v>
      </c>
      <c r="U172" s="2" t="str">
        <v>官网来源</v>
      </c>
      <c r="V172" s="2" t="n">
        <v>2026</v>
      </c>
    </row>
    <row r="173" ht="34" customHeight="1">
      <c r="A173" s="7" t="str">
        <v>PLANT DISEASE</v>
      </c>
      <c r="B173" s="7" t="str">
        <v>植物保护与昆虫</v>
      </c>
      <c r="C173" s="11" t="n">
        <v>2</v>
      </c>
      <c r="D173" s="12" t="n">
        <v>2.8</v>
      </c>
      <c r="E173" s="13" t="n">
        <v>2025</v>
      </c>
      <c r="F173" s="7" t="str">
        <v>其他</v>
      </c>
      <c r="G173" s="7" t="str">
        <v>经典专业刊</v>
      </c>
      <c r="H173" s="7" t="str">
        <v>研究/方法/综合</v>
      </c>
      <c r="I173" s="10" t="n">
        <v>2025</v>
      </c>
      <c r="J173" s="2" t="str">
        <v>否</v>
      </c>
      <c r="K173" s="2" t="str">
        <v>0191-2917</v>
      </c>
      <c r="L173" s="2" t="str">
        <v>1943-7692</v>
      </c>
      <c r="M173" s="7" t="str">
        <v>PLANT SCIENCES(SCIE)</v>
      </c>
      <c r="N173" s="7" t="str">
        <v>公开汇编已匹配</v>
      </c>
      <c r="O173" s="7" t="str"/>
      <c r="P173" s="15" t="str">
        <v>JIF来源</v>
      </c>
      <c r="Q173" s="15" t="str">
        <v>分区来源</v>
      </c>
      <c r="R173" s="15" t="str"/>
      <c r="S173" s="14" t="str">
        <v>https://apsjournals.apsnet.org/journal/pdis</v>
      </c>
      <c r="T173" s="7" t="str">
        <v>出版社/期刊主页匹配</v>
      </c>
      <c r="U173" s="2" t="str">
        <v>官网来源</v>
      </c>
      <c r="V173" s="2" t="n">
        <v>2026</v>
      </c>
    </row>
    <row r="174" ht="34" customHeight="1">
      <c r="A174" s="7" t="str">
        <v>BIOLOGICAL CONTROL</v>
      </c>
      <c r="B174" s="7" t="str">
        <v>植物保护与昆虫</v>
      </c>
      <c r="C174" s="11" t="n">
        <v>2</v>
      </c>
      <c r="D174" s="12" t="n">
        <v>4</v>
      </c>
      <c r="E174" s="13" t="n">
        <v>2025</v>
      </c>
      <c r="F174" s="7" t="str">
        <v>其他</v>
      </c>
      <c r="G174" s="7" t="str">
        <v>领域期刊/新兴刊</v>
      </c>
      <c r="H174" s="7" t="str">
        <v>研究/方法/综合</v>
      </c>
      <c r="I174" s="10" t="n">
        <v>2025</v>
      </c>
      <c r="J174" s="2" t="str">
        <v>是</v>
      </c>
      <c r="K174" s="2" t="str">
        <v>1049-9644</v>
      </c>
      <c r="L174" s="2" t="str">
        <v>1090-2112</v>
      </c>
      <c r="M174" s="7" t="str">
        <v>BIOTECHNOLOGY &amp; APPLIED MICROBIOLOGY(SCIE);ENTOMOLOGY(SCIE)</v>
      </c>
      <c r="N174" s="7" t="str">
        <v>两份公开汇编一致</v>
      </c>
      <c r="O174" s="7" t="str"/>
      <c r="P174" s="15" t="str">
        <v>JIF来源</v>
      </c>
      <c r="Q174" s="15" t="str">
        <v>分区来源</v>
      </c>
      <c r="R174" s="15" t="str"/>
      <c r="S174" s="14" t="str">
        <v>https://www.journals.elsevier.com/biological-control</v>
      </c>
      <c r="T174" s="7" t="str">
        <v>ISSN匹配公开元数据；未逐站复核</v>
      </c>
      <c r="U174" s="2" t="str">
        <v>官网来源</v>
      </c>
      <c r="V174" s="2" t="n">
        <v>2026</v>
      </c>
    </row>
    <row r="175" ht="34" customHeight="1">
      <c r="A175" s="7" t="str">
        <v>PHYTOPATHOLOGY</v>
      </c>
      <c r="B175" s="7" t="str">
        <v>植物保护与昆虫</v>
      </c>
      <c r="C175" s="11" t="n">
        <v>2</v>
      </c>
      <c r="D175" s="12" t="n">
        <v>3.4</v>
      </c>
      <c r="E175" s="13" t="n">
        <v>2025</v>
      </c>
      <c r="F175" s="7" t="str">
        <v>其他</v>
      </c>
      <c r="G175" s="7" t="str">
        <v>经典专业刊</v>
      </c>
      <c r="H175" s="7" t="str">
        <v>研究/方法/综合</v>
      </c>
      <c r="I175" s="10" t="n">
        <v>2025</v>
      </c>
      <c r="J175" s="2" t="str">
        <v>否</v>
      </c>
      <c r="K175" s="2" t="str">
        <v>0031-949X</v>
      </c>
      <c r="L175" s="2" t="str">
        <v>1943-7684</v>
      </c>
      <c r="M175" s="7" t="str">
        <v>PLANT SCIENCES(SCIE)</v>
      </c>
      <c r="N175" s="7" t="str">
        <v>两份公开汇编一致</v>
      </c>
      <c r="O175" s="7" t="str"/>
      <c r="P175" s="15" t="str">
        <v>JIF来源</v>
      </c>
      <c r="Q175" s="15" t="str">
        <v>分区来源</v>
      </c>
      <c r="R175" s="15" t="str"/>
      <c r="S175" s="14" t="str">
        <v>http://apsjournals.apsnet.org/loi/phyto</v>
      </c>
      <c r="T175" s="7" t="str">
        <v>ISSN匹配公开元数据；未逐站复核</v>
      </c>
      <c r="U175" s="2" t="str">
        <v>官网来源</v>
      </c>
      <c r="V175" s="2" t="n">
        <v>2026</v>
      </c>
    </row>
    <row r="176" ht="34" customHeight="1">
      <c r="A176" s="7" t="str">
        <v>Insects</v>
      </c>
      <c r="B176" s="7" t="str">
        <v>植物保护与昆虫</v>
      </c>
      <c r="C176" s="11" t="n">
        <v>2</v>
      </c>
      <c r="D176" s="12" t="n">
        <v>3</v>
      </c>
      <c r="E176" s="13" t="n">
        <v>2025</v>
      </c>
      <c r="F176" s="7" t="str">
        <v>其他</v>
      </c>
      <c r="G176" s="7" t="str">
        <v>领域期刊/新兴刊</v>
      </c>
      <c r="H176" s="7" t="str">
        <v>研究/方法/综合</v>
      </c>
      <c r="I176" s="10" t="n">
        <v>2025</v>
      </c>
      <c r="J176" s="2" t="str">
        <v>否</v>
      </c>
      <c r="K176" s="2" t="str"/>
      <c r="L176" s="2" t="str">
        <v>2075-4450</v>
      </c>
      <c r="M176" s="7" t="str">
        <v>ENTOMOLOGY(SCIE)</v>
      </c>
      <c r="N176" s="7" t="str">
        <v>两份公开汇编一致</v>
      </c>
      <c r="O176" s="7" t="str"/>
      <c r="P176" s="15" t="str">
        <v>JIF来源</v>
      </c>
      <c r="Q176" s="15" t="str">
        <v>分区来源</v>
      </c>
      <c r="R176" s="15" t="str"/>
      <c r="S176" s="14" t="str">
        <v>http://www.mdpi.com/journal/insects/</v>
      </c>
      <c r="T176" s="7" t="str">
        <v>ISSN匹配公开元数据；未逐站复核</v>
      </c>
      <c r="U176" s="2" t="str">
        <v>官网来源</v>
      </c>
      <c r="V176" s="2" t="n">
        <v>2026</v>
      </c>
    </row>
    <row r="177" ht="34" customHeight="1">
      <c r="A177" s="7" t="str">
        <v>BIOCONTROL</v>
      </c>
      <c r="B177" s="7" t="str">
        <v>植物保护与昆虫</v>
      </c>
      <c r="C177" s="11" t="n">
        <v>2</v>
      </c>
      <c r="D177" s="12" t="n">
        <v>2.5</v>
      </c>
      <c r="E177" s="13" t="n">
        <v>2025</v>
      </c>
      <c r="F177" s="7" t="str">
        <v>其他</v>
      </c>
      <c r="G177" s="7" t="str">
        <v>领域期刊/新兴刊</v>
      </c>
      <c r="H177" s="7" t="str">
        <v>研究/方法/综合</v>
      </c>
      <c r="I177" s="10" t="n">
        <v>2025</v>
      </c>
      <c r="J177" s="2" t="str">
        <v>否</v>
      </c>
      <c r="K177" s="2" t="str">
        <v>1386-6141</v>
      </c>
      <c r="L177" s="2" t="str">
        <v>1573-8248</v>
      </c>
      <c r="M177" s="7" t="str">
        <v>ENTOMOLOGY(SCIE)</v>
      </c>
      <c r="N177" s="7" t="str">
        <v>两份公开汇编一致</v>
      </c>
      <c r="O177" s="7" t="str"/>
      <c r="P177" s="15" t="str">
        <v>JIF来源</v>
      </c>
      <c r="Q177" s="15" t="str">
        <v>分区来源</v>
      </c>
      <c r="R177" s="15" t="str"/>
      <c r="S177" s="14" t="str">
        <v>https://www.springer.com/journal/10526</v>
      </c>
      <c r="T177" s="7" t="str">
        <v>ISSN匹配公开元数据；未逐站复核</v>
      </c>
      <c r="U177" s="2" t="str">
        <v>官网来源</v>
      </c>
      <c r="V177" s="2" t="n">
        <v>2026</v>
      </c>
    </row>
    <row r="178" ht="34" customHeight="1">
      <c r="A178" s="7" t="str">
        <v>Crop Protection</v>
      </c>
      <c r="B178" s="7" t="str">
        <v>植物保护与昆虫</v>
      </c>
      <c r="C178" s="11" t="n">
        <v>2</v>
      </c>
      <c r="D178" s="12" t="n">
        <v>3.3</v>
      </c>
      <c r="E178" s="13" t="n">
        <v>2025</v>
      </c>
      <c r="F178" s="7" t="str">
        <v>其他</v>
      </c>
      <c r="G178" s="7" t="str">
        <v>领域期刊/新兴刊</v>
      </c>
      <c r="H178" s="7" t="str">
        <v>研究/方法/综合</v>
      </c>
      <c r="I178" s="10" t="n">
        <v>2025</v>
      </c>
      <c r="J178" s="2" t="str">
        <v>否</v>
      </c>
      <c r="K178" s="2" t="str">
        <v>0261-2194</v>
      </c>
      <c r="L178" s="2" t="str">
        <v>1873-6904</v>
      </c>
      <c r="M178" s="7" t="str">
        <v>AGRONOMY(SCIE)</v>
      </c>
      <c r="N178" s="7" t="str">
        <v>两份公开汇编一致</v>
      </c>
      <c r="O178" s="7" t="str"/>
      <c r="P178" s="15" t="str">
        <v>JIF来源</v>
      </c>
      <c r="Q178" s="15" t="str">
        <v>分区来源</v>
      </c>
      <c r="R178" s="15" t="str"/>
      <c r="S178" s="14" t="str">
        <v>https://www.journals.elsevier.com/crop-protection</v>
      </c>
      <c r="T178" s="7" t="str">
        <v>ISSN匹配公开元数据；未逐站复核</v>
      </c>
      <c r="U178" s="2" t="str">
        <v>官网来源</v>
      </c>
      <c r="V178" s="2" t="n">
        <v>2026</v>
      </c>
    </row>
    <row r="179" ht="34" customHeight="1">
      <c r="A179" s="7" t="str">
        <v>JOURNAL OF ECONOMIC ENTOMOLOGY</v>
      </c>
      <c r="B179" s="7" t="str">
        <v>植物保护与昆虫</v>
      </c>
      <c r="C179" s="11" t="n">
        <v>2</v>
      </c>
      <c r="D179" s="12" t="n">
        <v>2.5</v>
      </c>
      <c r="E179" s="13" t="n">
        <v>2025</v>
      </c>
      <c r="F179" s="7" t="str">
        <v>其他</v>
      </c>
      <c r="G179" s="7" t="str">
        <v>经典专业刊</v>
      </c>
      <c r="H179" s="7" t="str">
        <v>研究/方法/综合</v>
      </c>
      <c r="I179" s="10" t="n">
        <v>2025</v>
      </c>
      <c r="J179" s="2" t="str">
        <v>否</v>
      </c>
      <c r="K179" s="2" t="str">
        <v>0022-0493</v>
      </c>
      <c r="L179" s="2" t="str">
        <v>1938-291X</v>
      </c>
      <c r="M179" s="7" t="str">
        <v>ENTOMOLOGY(SCIE)</v>
      </c>
      <c r="N179" s="7" t="str">
        <v>两份公开汇编一致</v>
      </c>
      <c r="O179" s="7" t="str"/>
      <c r="P179" s="15" t="str">
        <v>JIF来源</v>
      </c>
      <c r="Q179" s="15" t="str">
        <v>分区来源</v>
      </c>
      <c r="R179" s="15" t="str"/>
      <c r="S179" s="14" t="str">
        <v>https://academic.oup.com/jee</v>
      </c>
      <c r="T179" s="7" t="str">
        <v>ISSN匹配公开元数据；未逐站复核</v>
      </c>
      <c r="U179" s="2" t="str">
        <v>官网来源</v>
      </c>
      <c r="V179" s="2" t="n">
        <v>2026</v>
      </c>
    </row>
    <row r="180" ht="34" customHeight="1">
      <c r="A180" s="7" t="str">
        <v>JOURNAL OF INSECT PHYSIOLOGY</v>
      </c>
      <c r="B180" s="7" t="str">
        <v>植物保护与昆虫</v>
      </c>
      <c r="C180" s="11" t="n">
        <v>2</v>
      </c>
      <c r="D180" s="12" t="n">
        <v>2.6</v>
      </c>
      <c r="E180" s="13" t="n">
        <v>2025</v>
      </c>
      <c r="F180" s="7" t="str">
        <v>其他</v>
      </c>
      <c r="G180" s="7" t="str">
        <v>经典专业刊</v>
      </c>
      <c r="H180" s="7" t="str">
        <v>研究/方法/综合</v>
      </c>
      <c r="I180" s="10" t="n">
        <v>2025</v>
      </c>
      <c r="J180" s="2" t="str">
        <v>否</v>
      </c>
      <c r="K180" s="2" t="str">
        <v>0022-1910</v>
      </c>
      <c r="L180" s="2" t="str">
        <v>1879-1611</v>
      </c>
      <c r="M180" s="7" t="str">
        <v>ENTOMOLOGY(SCIE);PHYSIOLOGY(SCIE)</v>
      </c>
      <c r="N180" s="7" t="str">
        <v>两份公开汇编一致</v>
      </c>
      <c r="O180" s="7" t="str"/>
      <c r="P180" s="15" t="str">
        <v>JIF来源</v>
      </c>
      <c r="Q180" s="15" t="str">
        <v>分区来源</v>
      </c>
      <c r="R180" s="15" t="str"/>
      <c r="S180" s="14" t="str">
        <v>https://www.journals.elsevier.com/journal-of-insect-physiology</v>
      </c>
      <c r="T180" s="7" t="str">
        <v>ISSN匹配公开元数据；未逐站复核</v>
      </c>
      <c r="U180" s="2" t="str">
        <v>官网来源</v>
      </c>
      <c r="V180" s="2" t="n">
        <v>2026</v>
      </c>
    </row>
    <row r="181" ht="34" customHeight="1">
      <c r="A181" s="7" t="str">
        <v>EXPERIMENTAL AND APPLIED ACAROLOGY</v>
      </c>
      <c r="B181" s="7" t="str">
        <v>植物保护与昆虫</v>
      </c>
      <c r="C181" s="11" t="n">
        <v>2</v>
      </c>
      <c r="D181" s="12" t="n">
        <v>2.2</v>
      </c>
      <c r="E181" s="13" t="n">
        <v>2025</v>
      </c>
      <c r="F181" s="7" t="str">
        <v>其他</v>
      </c>
      <c r="G181" s="7" t="str">
        <v>领域期刊/新兴刊</v>
      </c>
      <c r="H181" s="7" t="str">
        <v>研究/方法/综合</v>
      </c>
      <c r="I181" s="10" t="n">
        <v>2025</v>
      </c>
      <c r="J181" s="2" t="str">
        <v>否</v>
      </c>
      <c r="K181" s="2" t="str">
        <v>0168-8162</v>
      </c>
      <c r="L181" s="2" t="str">
        <v>1572-9702</v>
      </c>
      <c r="M181" s="7" t="str">
        <v>ENTOMOLOGY(SCIE)</v>
      </c>
      <c r="N181" s="7" t="str">
        <v>两份公开汇编一致</v>
      </c>
      <c r="O181" s="7" t="str"/>
      <c r="P181" s="15" t="str">
        <v>JIF来源</v>
      </c>
      <c r="Q181" s="15" t="str">
        <v>分区来源</v>
      </c>
      <c r="R181" s="15" t="str"/>
      <c r="S181" s="14" t="str">
        <v>http://www.springer.com/life+sciences/entomology/journal/10493</v>
      </c>
      <c r="T181" s="7" t="str">
        <v>ISSN匹配公开元数据；未逐站复核</v>
      </c>
      <c r="U181" s="2" t="str">
        <v>官网来源</v>
      </c>
      <c r="V181" s="2" t="n">
        <v>2026</v>
      </c>
    </row>
    <row r="182" ht="34" customHeight="1">
      <c r="A182" s="7" t="str">
        <v>MOLECULAR PLANT-MICROBE INTERACTIONS</v>
      </c>
      <c r="B182" s="7" t="str">
        <v>植物保护与昆虫</v>
      </c>
      <c r="C182" s="11" t="n">
        <v>3</v>
      </c>
      <c r="D182" s="12" t="n">
        <v>3.9</v>
      </c>
      <c r="E182" s="13" t="n">
        <v>2025</v>
      </c>
      <c r="F182" s="7" t="str">
        <v>其他</v>
      </c>
      <c r="G182" s="7" t="str">
        <v>经典专业刊</v>
      </c>
      <c r="H182" s="7" t="str">
        <v>研究/方法/综合</v>
      </c>
      <c r="I182" s="10" t="n">
        <v>2025</v>
      </c>
      <c r="J182" s="2" t="str">
        <v>否</v>
      </c>
      <c r="K182" s="2" t="str">
        <v>0894-0282</v>
      </c>
      <c r="L182" s="2" t="str">
        <v>1943-7706</v>
      </c>
      <c r="M182" s="7" t="str">
        <v>BIOCHEMISTRY &amp; MOLECULAR BIOLOGY(SCIE);BIOTECHNOLOGY &amp; APPLIED MICROBIOLOGY(SCIE);PLANT SCIENCES(SCIE)</v>
      </c>
      <c r="N182" s="7" t="str">
        <v>两份公开汇编一致</v>
      </c>
      <c r="O182" s="7" t="str"/>
      <c r="P182" s="15" t="str">
        <v>JIF来源</v>
      </c>
      <c r="Q182" s="15" t="str">
        <v>分区来源</v>
      </c>
      <c r="R182" s="15" t="str"/>
      <c r="S182" s="14" t="str">
        <v>https://apsjournals.apsnet.org/journal/mpmi</v>
      </c>
      <c r="T182" s="7" t="str">
        <v>ISSN匹配公开元数据；未逐站复核</v>
      </c>
      <c r="U182" s="2" t="str">
        <v>官网来源</v>
      </c>
      <c r="V182" s="2" t="n">
        <v>2026</v>
      </c>
    </row>
    <row r="183" ht="34" customHeight="1">
      <c r="A183" s="7" t="str">
        <v>Journal of Integrated Pest Management</v>
      </c>
      <c r="B183" s="7" t="str">
        <v>植物保护与昆虫</v>
      </c>
      <c r="C183" s="11" t="n">
        <v>3</v>
      </c>
      <c r="D183" s="12" t="n">
        <v>3.2</v>
      </c>
      <c r="E183" s="13" t="n">
        <v>2025</v>
      </c>
      <c r="F183" s="7" t="str">
        <v>其他</v>
      </c>
      <c r="G183" s="7" t="str">
        <v>领域期刊/新兴刊</v>
      </c>
      <c r="H183" s="7" t="str">
        <v>研究/方法/综合</v>
      </c>
      <c r="I183" s="10" t="n">
        <v>2025</v>
      </c>
      <c r="J183" s="2" t="str">
        <v>否</v>
      </c>
      <c r="K183" s="2" t="str"/>
      <c r="L183" s="2" t="str">
        <v>2155-7470</v>
      </c>
      <c r="M183" s="7" t="str">
        <v>ENTOMOLOGY(SCIE)</v>
      </c>
      <c r="N183" s="7" t="str">
        <v>两份公开汇编一致</v>
      </c>
      <c r="O183" s="7" t="str"/>
      <c r="P183" s="15" t="str">
        <v>JIF来源</v>
      </c>
      <c r="Q183" s="15" t="str">
        <v>分区来源</v>
      </c>
      <c r="R183" s="15" t="str"/>
      <c r="S183" s="14" t="str">
        <v>https://academic.oup.com/jipm</v>
      </c>
      <c r="T183" s="7" t="str">
        <v>ISSN匹配公开元数据；未逐站复核</v>
      </c>
      <c r="U183" s="2" t="str">
        <v>官网来源</v>
      </c>
      <c r="V183" s="2" t="n">
        <v>2026</v>
      </c>
    </row>
    <row r="184" ht="34" customHeight="1">
      <c r="A184" s="7" t="str">
        <v>PLANT PATHOLOGY</v>
      </c>
      <c r="B184" s="7" t="str">
        <v>植物保护与昆虫</v>
      </c>
      <c r="C184" s="11" t="n">
        <v>3</v>
      </c>
      <c r="D184" s="12" t="n">
        <v>2.8</v>
      </c>
      <c r="E184" s="13" t="n">
        <v>2025</v>
      </c>
      <c r="F184" s="7" t="str">
        <v>其他</v>
      </c>
      <c r="G184" s="7" t="str">
        <v>经典专业刊</v>
      </c>
      <c r="H184" s="7" t="str">
        <v>研究/方法/综合</v>
      </c>
      <c r="I184" s="10" t="n">
        <v>2025</v>
      </c>
      <c r="J184" s="2" t="str">
        <v>否</v>
      </c>
      <c r="K184" s="2" t="str">
        <v>0032-0862</v>
      </c>
      <c r="L184" s="2" t="str">
        <v>1365-3059</v>
      </c>
      <c r="M184" s="7" t="str">
        <v>AGRONOMY(SCIE);PLANT SCIENCES(SCIE)</v>
      </c>
      <c r="N184" s="7" t="str">
        <v>公开汇编已匹配</v>
      </c>
      <c r="O184" s="7" t="str"/>
      <c r="P184" s="15" t="str">
        <v>JIF来源</v>
      </c>
      <c r="Q184" s="15" t="str">
        <v>分区来源</v>
      </c>
      <c r="R184" s="15" t="str"/>
      <c r="S184" s="14" t="str">
        <v>http://www.blackwellpublishing.com/journal.asp?ref=0032-0862</v>
      </c>
      <c r="T184" s="7" t="str">
        <v>ISSN匹配公开元数据；未逐站复核</v>
      </c>
      <c r="U184" s="2" t="str">
        <v>官网来源</v>
      </c>
      <c r="V184" s="2" t="n">
        <v>2026</v>
      </c>
    </row>
    <row r="185" ht="34" customHeight="1">
      <c r="A185" s="7" t="str">
        <v>INSECT MOLECULAR BIOLOGY</v>
      </c>
      <c r="B185" s="7" t="str">
        <v>植物保护与昆虫</v>
      </c>
      <c r="C185" s="11" t="n">
        <v>3</v>
      </c>
      <c r="D185" s="12" t="n">
        <v>3.3</v>
      </c>
      <c r="E185" s="13" t="n">
        <v>2025</v>
      </c>
      <c r="F185" s="7" t="str">
        <v>其他</v>
      </c>
      <c r="G185" s="7" t="str">
        <v>领域期刊/新兴刊</v>
      </c>
      <c r="H185" s="7" t="str">
        <v>研究/方法/综合</v>
      </c>
      <c r="I185" s="10" t="n">
        <v>2025</v>
      </c>
      <c r="J185" s="2" t="str">
        <v>否</v>
      </c>
      <c r="K185" s="2" t="str">
        <v>0962-1075</v>
      </c>
      <c r="L185" s="2" t="str">
        <v>1365-2583</v>
      </c>
      <c r="M185" s="7" t="str">
        <v>BIOCHEMISTRY &amp; MOLECULAR BIOLOGY(SCIE);ENTOMOLOGY(SCIE)</v>
      </c>
      <c r="N185" s="7" t="str">
        <v>两份公开汇编一致</v>
      </c>
      <c r="O185" s="7" t="str"/>
      <c r="P185" s="15" t="str">
        <v>JIF来源</v>
      </c>
      <c r="Q185" s="15" t="str">
        <v>分区来源</v>
      </c>
      <c r="R185" s="15" t="str"/>
      <c r="S185" s="14" t="str">
        <v>https://onlinelibrary.wiley.com/journal/13652583</v>
      </c>
      <c r="T185" s="7" t="str">
        <v>ISSN匹配公开元数据；未逐站复核</v>
      </c>
      <c r="U185" s="2" t="str">
        <v>官网来源</v>
      </c>
      <c r="V185" s="2" t="n">
        <v>2026</v>
      </c>
    </row>
    <row r="186" ht="34" customHeight="1">
      <c r="A186" s="7" t="str">
        <v>JOURNAL OF APPLIED ENTOMOLOGY</v>
      </c>
      <c r="B186" s="7" t="str">
        <v>植物保护与昆虫</v>
      </c>
      <c r="C186" s="11" t="n">
        <v>3</v>
      </c>
      <c r="D186" s="12" t="n">
        <v>1.8</v>
      </c>
      <c r="E186" s="13" t="n">
        <v>2025</v>
      </c>
      <c r="F186" s="7" t="str">
        <v>其他</v>
      </c>
      <c r="G186" s="7" t="str">
        <v>领域期刊/新兴刊</v>
      </c>
      <c r="H186" s="7" t="str">
        <v>研究/方法/综合</v>
      </c>
      <c r="I186" s="10" t="n">
        <v>2025</v>
      </c>
      <c r="J186" s="2" t="str">
        <v>否</v>
      </c>
      <c r="K186" s="2" t="str">
        <v>0931-2048</v>
      </c>
      <c r="L186" s="2" t="str">
        <v>1439-0418</v>
      </c>
      <c r="M186" s="7" t="str">
        <v>ENTOMOLOGY(SCIE)</v>
      </c>
      <c r="N186" s="7" t="str">
        <v>两份公开汇编一致</v>
      </c>
      <c r="O186" s="7" t="str"/>
      <c r="P186" s="15" t="str">
        <v>JIF来源</v>
      </c>
      <c r="Q186" s="15" t="str">
        <v>分区来源</v>
      </c>
      <c r="R186" s="15" t="str"/>
      <c r="S186" s="14" t="str">
        <v>https://onlinelibrary.wiley.com/journal/14390418</v>
      </c>
      <c r="T186" s="7" t="str">
        <v>ISSN匹配公开元数据；未逐站复核</v>
      </c>
      <c r="U186" s="2" t="str">
        <v>官网来源</v>
      </c>
      <c r="V186" s="2" t="n">
        <v>2026</v>
      </c>
    </row>
    <row r="187" ht="34" customHeight="1">
      <c r="A187" s="7" t="str">
        <v>MEDICAL AND VETERINARY ENTOMOLOGY</v>
      </c>
      <c r="B187" s="7" t="str">
        <v>植物保护与昆虫</v>
      </c>
      <c r="C187" s="11" t="n">
        <v>3</v>
      </c>
      <c r="D187" s="12" t="n">
        <v>2.3</v>
      </c>
      <c r="E187" s="13" t="n">
        <v>2025</v>
      </c>
      <c r="F187" s="7" t="str">
        <v>其他</v>
      </c>
      <c r="G187" s="7" t="str">
        <v>领域期刊/新兴刊</v>
      </c>
      <c r="H187" s="7" t="str">
        <v>研究/方法/综合</v>
      </c>
      <c r="I187" s="10" t="n">
        <v>2025</v>
      </c>
      <c r="J187" s="2" t="str">
        <v>否</v>
      </c>
      <c r="K187" s="2" t="str">
        <v>0269-283X</v>
      </c>
      <c r="L187" s="2" t="str">
        <v>1365-2915</v>
      </c>
      <c r="M187" s="7" t="str">
        <v>ENTOMOLOGY(SCIE);VETERINARY SCIENCES(SCIE)</v>
      </c>
      <c r="N187" s="7" t="str">
        <v>两份公开汇编一致</v>
      </c>
      <c r="O187" s="7" t="str"/>
      <c r="P187" s="15" t="str">
        <v>JIF来源</v>
      </c>
      <c r="Q187" s="15" t="str">
        <v>分区来源</v>
      </c>
      <c r="R187" s="15" t="str"/>
      <c r="S187" s="14" t="str">
        <v>https://onlinelibrary.wiley.com/journal/13652915</v>
      </c>
      <c r="T187" s="7" t="str">
        <v>ISSN匹配公开元数据；未逐站复核</v>
      </c>
      <c r="U187" s="2" t="str">
        <v>官网来源</v>
      </c>
      <c r="V187" s="2" t="n">
        <v>2026</v>
      </c>
    </row>
    <row r="188" ht="34" customHeight="1">
      <c r="A188" s="7" t="str">
        <v>AGRICULTURAL AND FOREST ENTOMOLOGY</v>
      </c>
      <c r="B188" s="7" t="str">
        <v>植物保护与昆虫</v>
      </c>
      <c r="C188" s="11" t="n">
        <v>3</v>
      </c>
      <c r="D188" s="12" t="n">
        <v>1.7</v>
      </c>
      <c r="E188" s="13" t="n">
        <v>2025</v>
      </c>
      <c r="F188" s="7" t="str">
        <v>其他</v>
      </c>
      <c r="G188" s="7" t="str">
        <v>领域期刊/新兴刊</v>
      </c>
      <c r="H188" s="7" t="str">
        <v>研究/方法/综合</v>
      </c>
      <c r="I188" s="10" t="n">
        <v>2025</v>
      </c>
      <c r="J188" s="2" t="str">
        <v>否</v>
      </c>
      <c r="K188" s="2" t="str">
        <v>1461-9555</v>
      </c>
      <c r="L188" s="2" t="str">
        <v>1461-9563</v>
      </c>
      <c r="M188" s="7" t="str">
        <v>ENTOMOLOGY(SCIE)</v>
      </c>
      <c r="N188" s="7" t="str">
        <v>两份公开汇编一致</v>
      </c>
      <c r="O188" s="7" t="str"/>
      <c r="P188" s="15" t="str">
        <v>JIF来源</v>
      </c>
      <c r="Q188" s="15" t="str">
        <v>分区来源</v>
      </c>
      <c r="R188" s="15" t="str"/>
      <c r="S188" s="14" t="str">
        <v>https://onlinelibrary.wiley.com/journal/14619563</v>
      </c>
      <c r="T188" s="7" t="str">
        <v>ISSN匹配公开元数据；未逐站复核</v>
      </c>
      <c r="U188" s="2" t="str">
        <v>官网来源</v>
      </c>
      <c r="V188" s="2" t="n">
        <v>2026</v>
      </c>
    </row>
    <row r="189" ht="34" customHeight="1">
      <c r="A189" s="7" t="str">
        <v>ENTOMOLOGIA EXPERIMENTALIS ET APPLICATA</v>
      </c>
      <c r="B189" s="7" t="str">
        <v>植物保护与昆虫</v>
      </c>
      <c r="C189" s="11" t="n">
        <v>3</v>
      </c>
      <c r="D189" s="12" t="n">
        <v>1.9</v>
      </c>
      <c r="E189" s="13" t="n">
        <v>2025</v>
      </c>
      <c r="F189" s="7" t="str">
        <v>其他</v>
      </c>
      <c r="G189" s="7" t="str">
        <v>经典专业刊</v>
      </c>
      <c r="H189" s="7" t="str">
        <v>研究/方法/综合</v>
      </c>
      <c r="I189" s="10" t="n">
        <v>2025</v>
      </c>
      <c r="J189" s="2" t="str">
        <v>否</v>
      </c>
      <c r="K189" s="2" t="str">
        <v>0013-8703</v>
      </c>
      <c r="L189" s="2" t="str">
        <v>1570-7458</v>
      </c>
      <c r="M189" s="7" t="str">
        <v>ENTOMOLOGY(SCIE)</v>
      </c>
      <c r="N189" s="7" t="str">
        <v>两份公开汇编一致</v>
      </c>
      <c r="O189" s="7" t="str"/>
      <c r="P189" s="15" t="str">
        <v>JIF来源</v>
      </c>
      <c r="Q189" s="15" t="str">
        <v>分区来源</v>
      </c>
      <c r="R189" s="15" t="str"/>
      <c r="S189" s="14" t="str">
        <v>https://onlinelibrary.wiley.com/journal/15707458</v>
      </c>
      <c r="T189" s="7" t="str">
        <v>ISSN匹配公开元数据；未逐站复核</v>
      </c>
      <c r="U189" s="2" t="str">
        <v>官网来源</v>
      </c>
      <c r="V189" s="2" t="n">
        <v>2026</v>
      </c>
    </row>
    <row r="190" ht="34" customHeight="1">
      <c r="A190" s="7" t="str">
        <v>BULLETIN OF ENTOMOLOGICAL RESEARCH</v>
      </c>
      <c r="B190" s="7" t="str">
        <v>植物保护与昆虫</v>
      </c>
      <c r="C190" s="11" t="n">
        <v>3</v>
      </c>
      <c r="D190" s="12" t="n">
        <v>1.7</v>
      </c>
      <c r="E190" s="13" t="n">
        <v>2025</v>
      </c>
      <c r="F190" s="7" t="str">
        <v>其他</v>
      </c>
      <c r="G190" s="7" t="str">
        <v>领域期刊/新兴刊</v>
      </c>
      <c r="H190" s="7" t="str">
        <v>研究/方法/综合</v>
      </c>
      <c r="I190" s="10" t="n">
        <v>2025</v>
      </c>
      <c r="J190" s="2" t="str">
        <v>否</v>
      </c>
      <c r="K190" s="2" t="str">
        <v>0007-4853</v>
      </c>
      <c r="L190" s="2" t="str">
        <v>1475-2670</v>
      </c>
      <c r="M190" s="7" t="str">
        <v>ENTOMOLOGY(SCIE)</v>
      </c>
      <c r="N190" s="7" t="str">
        <v>两份公开汇编一致</v>
      </c>
      <c r="O190" s="7" t="str"/>
      <c r="P190" s="15" t="str">
        <v>JIF来源</v>
      </c>
      <c r="Q190" s="15" t="str">
        <v>分区来源</v>
      </c>
      <c r="R190" s="15" t="str"/>
      <c r="S190" s="14" t="str">
        <v>http://journals.cambridge.org/BER</v>
      </c>
      <c r="T190" s="7" t="str">
        <v>ISSN匹配公开元数据；未逐站复核</v>
      </c>
      <c r="U190" s="2" t="str">
        <v>官网来源</v>
      </c>
      <c r="V190" s="2" t="n">
        <v>2026</v>
      </c>
    </row>
    <row r="191" ht="34" customHeight="1">
      <c r="A191" s="7" t="str">
        <v>ENVIRONMENTAL ENTOMOLOGY</v>
      </c>
      <c r="B191" s="7" t="str">
        <v>植物保护与昆虫</v>
      </c>
      <c r="C191" s="11" t="n">
        <v>3</v>
      </c>
      <c r="D191" s="12" t="n">
        <v>1.8</v>
      </c>
      <c r="E191" s="13" t="n">
        <v>2025</v>
      </c>
      <c r="F191" s="7" t="str">
        <v>其他</v>
      </c>
      <c r="G191" s="7" t="str">
        <v>经典专业刊</v>
      </c>
      <c r="H191" s="7" t="str">
        <v>研究/方法/综合</v>
      </c>
      <c r="I191" s="10" t="n">
        <v>2025</v>
      </c>
      <c r="J191" s="2" t="str">
        <v>否</v>
      </c>
      <c r="K191" s="2" t="str">
        <v>0046-225X</v>
      </c>
      <c r="L191" s="2" t="str">
        <v>1938-2936</v>
      </c>
      <c r="M191" s="7" t="str">
        <v>ENTOMOLOGY(SCIE)</v>
      </c>
      <c r="N191" s="7" t="str">
        <v>两份公开汇编一致</v>
      </c>
      <c r="O191" s="7" t="str"/>
      <c r="P191" s="15" t="str">
        <v>JIF来源</v>
      </c>
      <c r="Q191" s="15" t="str">
        <v>分区来源</v>
      </c>
      <c r="R191" s="15" t="str"/>
      <c r="S191" s="14" t="str">
        <v>https://academic.oup.com/ee</v>
      </c>
      <c r="T191" s="7" t="str">
        <v>ISSN匹配公开元数据；未逐站复核</v>
      </c>
      <c r="U191" s="2" t="str">
        <v>官网来源</v>
      </c>
      <c r="V191" s="2" t="n">
        <v>2026</v>
      </c>
    </row>
    <row r="192" ht="34" customHeight="1">
      <c r="A192" s="7" t="str">
        <v>PHYTOPARASITICA</v>
      </c>
      <c r="B192" s="7" t="str">
        <v>植物保护与昆虫</v>
      </c>
      <c r="C192" s="11" t="n">
        <v>3</v>
      </c>
      <c r="D192" s="12" t="n">
        <v>1.6</v>
      </c>
      <c r="E192" s="13" t="n">
        <v>2025</v>
      </c>
      <c r="F192" s="7" t="str">
        <v>其他</v>
      </c>
      <c r="G192" s="7" t="str">
        <v>领域期刊/新兴刊</v>
      </c>
      <c r="H192" s="7" t="str">
        <v>研究/方法/综合</v>
      </c>
      <c r="I192" s="10" t="n">
        <v>2025</v>
      </c>
      <c r="J192" s="2" t="str">
        <v>否</v>
      </c>
      <c r="K192" s="2" t="str">
        <v>0334-2123</v>
      </c>
      <c r="L192" s="2" t="str">
        <v>1876-7184</v>
      </c>
      <c r="M192" s="7" t="str">
        <v>AGRONOMY(SCIE);ENTOMOLOGY(SCIE);PLANT SCIENCES(SCIE)</v>
      </c>
      <c r="N192" s="7" t="str">
        <v>公开汇编已匹配</v>
      </c>
      <c r="O192" s="7" t="str"/>
      <c r="P192" s="15" t="str">
        <v>JIF来源</v>
      </c>
      <c r="Q192" s="15" t="str">
        <v>分区来源</v>
      </c>
      <c r="R192" s="15" t="str"/>
      <c r="S192" s="14" t="str">
        <v>https://link.springer.com/journal/12600</v>
      </c>
      <c r="T192" s="7" t="str">
        <v>ISSN匹配公开元数据；未逐站复核</v>
      </c>
      <c r="U192" s="2" t="str">
        <v>官网来源</v>
      </c>
      <c r="V192" s="2" t="n">
        <v>2026</v>
      </c>
    </row>
    <row r="193" ht="34" customHeight="1">
      <c r="A193" s="7" t="str">
        <v>PLANT PROTECTION SCIENCE</v>
      </c>
      <c r="B193" s="7" t="str">
        <v>植物保护与昆虫</v>
      </c>
      <c r="C193" s="11" t="n">
        <v>3</v>
      </c>
      <c r="D193" s="12" t="n">
        <v>1</v>
      </c>
      <c r="E193" s="13" t="n">
        <v>2025</v>
      </c>
      <c r="F193" s="7" t="str">
        <v>其他</v>
      </c>
      <c r="G193" s="7" t="str">
        <v>领域期刊/新兴刊</v>
      </c>
      <c r="H193" s="7" t="str">
        <v>研究/方法/综合</v>
      </c>
      <c r="I193" s="10" t="n">
        <v>2025</v>
      </c>
      <c r="J193" s="2" t="str">
        <v>否</v>
      </c>
      <c r="K193" s="2" t="str">
        <v>1212-2580</v>
      </c>
      <c r="L193" s="2" t="str">
        <v>1805-9341</v>
      </c>
      <c r="M193" s="7" t="str">
        <v>AGRONOMY(SCIE);PLANT SCIENCES(SCIE)</v>
      </c>
      <c r="N193" s="7" t="str">
        <v>公开汇编已匹配</v>
      </c>
      <c r="O193" s="7" t="str"/>
      <c r="P193" s="15" t="str">
        <v>JIF来源</v>
      </c>
      <c r="Q193" s="15" t="str">
        <v>分区来源</v>
      </c>
      <c r="R193" s="15" t="str"/>
      <c r="S193" s="14" t="str">
        <v>http://www.agriculturejournals.cz/web/PPS.htm</v>
      </c>
      <c r="T193" s="7" t="str">
        <v>ISSN匹配公开元数据；未逐站复核</v>
      </c>
      <c r="U193" s="2" t="str">
        <v>官网来源</v>
      </c>
      <c r="V193" s="2" t="n">
        <v>2026</v>
      </c>
    </row>
    <row r="194" ht="34" customHeight="1">
      <c r="A194" s="7" t="str">
        <v>Arthropod-Plant Interactions</v>
      </c>
      <c r="B194" s="7" t="str">
        <v>植物保护与昆虫</v>
      </c>
      <c r="C194" s="11" t="n">
        <v>3</v>
      </c>
      <c r="D194" s="12" t="n">
        <v>1.7</v>
      </c>
      <c r="E194" s="13" t="n">
        <v>2025</v>
      </c>
      <c r="F194" s="7" t="str">
        <v>其他</v>
      </c>
      <c r="G194" s="7" t="str">
        <v>领域期刊/新兴刊</v>
      </c>
      <c r="H194" s="7" t="str">
        <v>研究/方法/综合</v>
      </c>
      <c r="I194" s="10" t="n">
        <v>2025</v>
      </c>
      <c r="J194" s="2" t="str">
        <v>否</v>
      </c>
      <c r="K194" s="2" t="str">
        <v>1872-8855</v>
      </c>
      <c r="L194" s="2" t="str">
        <v>1872-8847</v>
      </c>
      <c r="M194" s="7" t="str">
        <v>ENTOMOLOGY(SCIE)</v>
      </c>
      <c r="N194" s="7" t="str">
        <v>公开汇编已匹配</v>
      </c>
      <c r="O194" s="7" t="str"/>
      <c r="P194" s="15" t="str">
        <v>JIF来源</v>
      </c>
      <c r="Q194" s="15" t="str">
        <v>分区来源</v>
      </c>
      <c r="R194" s="15" t="str"/>
      <c r="S194" s="14" t="str">
        <v>https://www.springer.com/journal/11829</v>
      </c>
      <c r="T194" s="7" t="str">
        <v>ISSN匹配公开元数据；未逐站复核</v>
      </c>
      <c r="U194" s="2" t="str">
        <v>官网来源</v>
      </c>
      <c r="V194" s="2" t="n">
        <v>2026</v>
      </c>
    </row>
    <row r="195" ht="34" customHeight="1">
      <c r="A195" s="7" t="str">
        <v>JOURNAL OF PLANT PATHOLOGY</v>
      </c>
      <c r="B195" s="7" t="str">
        <v>植物保护与昆虫</v>
      </c>
      <c r="C195" s="11" t="n">
        <v>4</v>
      </c>
      <c r="D195" s="12" t="n">
        <v>2.1</v>
      </c>
      <c r="E195" s="13" t="n">
        <v>2025</v>
      </c>
      <c r="F195" s="7" t="str">
        <v>其他</v>
      </c>
      <c r="G195" s="7" t="str">
        <v>领域期刊/新兴刊</v>
      </c>
      <c r="H195" s="7" t="str">
        <v>研究/方法/综合</v>
      </c>
      <c r="I195" s="10" t="n">
        <v>2025</v>
      </c>
      <c r="J195" s="2" t="str">
        <v>否</v>
      </c>
      <c r="K195" s="2" t="str">
        <v>1125-4653</v>
      </c>
      <c r="L195" s="2" t="str">
        <v>2239-7264</v>
      </c>
      <c r="M195" s="7" t="str">
        <v>PLANT SCIENCES(SCIE)</v>
      </c>
      <c r="N195" s="7" t="str">
        <v>公开汇编已匹配</v>
      </c>
      <c r="O195" s="7" t="str"/>
      <c r="P195" s="15" t="str">
        <v>JIF来源</v>
      </c>
      <c r="Q195" s="15" t="str">
        <v>分区来源</v>
      </c>
      <c r="R195" s="15" t="str"/>
      <c r="S195" s="14" t="str">
        <v>https://link.springer.com/journal/42161</v>
      </c>
      <c r="T195" s="7" t="str">
        <v>ISSN匹配公开元数据；未逐站复核</v>
      </c>
      <c r="U195" s="2" t="str">
        <v>官网来源</v>
      </c>
      <c r="V195" s="2" t="n">
        <v>2026</v>
      </c>
    </row>
    <row r="196" ht="34" customHeight="1">
      <c r="A196" s="7" t="str">
        <v>EUROPEAN JOURNAL OF PLANT PATHOLOGY</v>
      </c>
      <c r="B196" s="7" t="str">
        <v>植物保护与昆虫</v>
      </c>
      <c r="C196" s="11" t="n">
        <v>4</v>
      </c>
      <c r="D196" s="12" t="n">
        <v>2.1</v>
      </c>
      <c r="E196" s="13" t="n">
        <v>2025</v>
      </c>
      <c r="F196" s="7" t="str">
        <v>其他</v>
      </c>
      <c r="G196" s="7" t="str">
        <v>领域期刊/新兴刊</v>
      </c>
      <c r="H196" s="7" t="str">
        <v>研究/方法/综合</v>
      </c>
      <c r="I196" s="10" t="n">
        <v>2025</v>
      </c>
      <c r="J196" s="2" t="str">
        <v>否</v>
      </c>
      <c r="K196" s="2" t="str">
        <v>0929-1873</v>
      </c>
      <c r="L196" s="2" t="str">
        <v>1573-8469</v>
      </c>
      <c r="M196" s="7" t="str">
        <v>AGRONOMY(SCIE);HORTICULTURE(SCIE);PLANT SCIENCES(SCIE)</v>
      </c>
      <c r="N196" s="7" t="str">
        <v>公开汇编已匹配</v>
      </c>
      <c r="O196" s="7" t="str"/>
      <c r="P196" s="15" t="str">
        <v>JIF来源</v>
      </c>
      <c r="Q196" s="15" t="str">
        <v>分区来源</v>
      </c>
      <c r="R196" s="15" t="str"/>
      <c r="S196" s="14" t="str">
        <v>https://www.springer.com/journal/10658</v>
      </c>
      <c r="T196" s="7" t="str">
        <v>ISSN匹配公开元数据；未逐站复核</v>
      </c>
      <c r="U196" s="2" t="str">
        <v>官网来源</v>
      </c>
      <c r="V196" s="2" t="n">
        <v>2026</v>
      </c>
    </row>
    <row r="197" ht="34" customHeight="1">
      <c r="A197" s="7" t="str">
        <v>CANADIAN JOURNAL OF PLANT PATHOLOGY</v>
      </c>
      <c r="B197" s="7" t="str">
        <v>植物保护与昆虫</v>
      </c>
      <c r="C197" s="11" t="n">
        <v>4</v>
      </c>
      <c r="D197" s="12" t="n">
        <v>1.8</v>
      </c>
      <c r="E197" s="13" t="n">
        <v>2025</v>
      </c>
      <c r="F197" s="7" t="str">
        <v>其他</v>
      </c>
      <c r="G197" s="7" t="str">
        <v>领域期刊/新兴刊</v>
      </c>
      <c r="H197" s="7" t="str">
        <v>研究/方法/综合</v>
      </c>
      <c r="I197" s="10" t="n">
        <v>2025</v>
      </c>
      <c r="J197" s="2" t="str">
        <v>否</v>
      </c>
      <c r="K197" s="2" t="str">
        <v>0706-0661</v>
      </c>
      <c r="L197" s="2" t="str">
        <v>1715-2992</v>
      </c>
      <c r="M197" s="7" t="str">
        <v>PLANT SCIENCES(SCIE)</v>
      </c>
      <c r="N197" s="7" t="str">
        <v>公开汇编已匹配</v>
      </c>
      <c r="O197" s="7" t="str"/>
      <c r="P197" s="15" t="str">
        <v>JIF来源</v>
      </c>
      <c r="Q197" s="15" t="str">
        <v>分区来源</v>
      </c>
      <c r="R197" s="15" t="str"/>
      <c r="S197" s="14" t="str">
        <v>https://www.tandfonline.com/toc/tcjp20/current</v>
      </c>
      <c r="T197" s="7" t="str">
        <v>ISSN匹配公开元数据；未逐站复核</v>
      </c>
      <c r="U197" s="2" t="str">
        <v>官网来源</v>
      </c>
      <c r="V197" s="2" t="n">
        <v>2026</v>
      </c>
    </row>
    <row r="198" ht="34" customHeight="1">
      <c r="A198" s="7" t="str">
        <v>JOURNAL OF ASIA-PACIFIC ENTOMOLOGY</v>
      </c>
      <c r="B198" s="7" t="str">
        <v>植物保护与昆虫</v>
      </c>
      <c r="C198" s="11" t="n">
        <v>4</v>
      </c>
      <c r="D198" s="12" t="n">
        <v>1.5</v>
      </c>
      <c r="E198" s="13" t="n">
        <v>2025</v>
      </c>
      <c r="F198" s="7" t="str">
        <v>其他</v>
      </c>
      <c r="G198" s="7" t="str">
        <v>领域期刊/新兴刊</v>
      </c>
      <c r="H198" s="7" t="str">
        <v>研究/方法/综合</v>
      </c>
      <c r="I198" s="10" t="n">
        <v>2025</v>
      </c>
      <c r="J198" s="2" t="str">
        <v>否</v>
      </c>
      <c r="K198" s="2" t="str">
        <v>1226-8615</v>
      </c>
      <c r="L198" s="2" t="str">
        <v>1876-7990</v>
      </c>
      <c r="M198" s="7" t="str">
        <v>ENTOMOLOGY(SCIE)</v>
      </c>
      <c r="N198" s="7" t="str">
        <v>两份公开汇编一致</v>
      </c>
      <c r="O198" s="7" t="str"/>
      <c r="P198" s="15" t="str">
        <v>JIF来源</v>
      </c>
      <c r="Q198" s="15" t="str">
        <v>分区来源</v>
      </c>
      <c r="R198" s="15" t="str"/>
      <c r="S198" s="14" t="str">
        <v>https://www.journals.elsevier.com/journal-of-asia-pacific-entomology</v>
      </c>
      <c r="T198" s="7" t="str">
        <v>ISSN匹配公开元数据；未逐站复核</v>
      </c>
      <c r="U198" s="2" t="str">
        <v>官网来源</v>
      </c>
      <c r="V198" s="2" t="n">
        <v>2026</v>
      </c>
    </row>
    <row r="199" ht="34" customHeight="1">
      <c r="A199" s="7" t="str">
        <v>JOURNAL OF NEMATOLOGY</v>
      </c>
      <c r="B199" s="7" t="str">
        <v>植物保护与昆虫</v>
      </c>
      <c r="C199" s="11" t="n">
        <v>4</v>
      </c>
      <c r="D199" s="12" t="n">
        <v>2</v>
      </c>
      <c r="E199" s="13" t="n">
        <v>2025</v>
      </c>
      <c r="F199" s="7" t="str">
        <v>其他</v>
      </c>
      <c r="G199" s="7" t="str">
        <v>领域期刊/新兴刊</v>
      </c>
      <c r="H199" s="7" t="str">
        <v>研究/方法/综合</v>
      </c>
      <c r="I199" s="10" t="n">
        <v>2025</v>
      </c>
      <c r="J199" s="2" t="str">
        <v>否</v>
      </c>
      <c r="K199" s="2" t="str">
        <v>0022-300X</v>
      </c>
      <c r="L199" s="2" t="str">
        <v>2640-396X</v>
      </c>
      <c r="M199" s="7" t="str">
        <v>ZOOLOGY(SCIE)</v>
      </c>
      <c r="N199" s="7" t="str">
        <v>两份公开汇编一致</v>
      </c>
      <c r="O199" s="7" t="str"/>
      <c r="P199" s="15" t="str">
        <v>JIF来源</v>
      </c>
      <c r="Q199" s="15" t="str">
        <v>分区来源</v>
      </c>
      <c r="R199" s="15" t="str"/>
      <c r="S199" s="14" t="str">
        <v>https://www.exeley.com/journal/journal_of_nematology</v>
      </c>
      <c r="T199" s="7" t="str">
        <v>ISSN匹配公开元数据；未逐站复核</v>
      </c>
      <c r="U199" s="2" t="str">
        <v>官网来源</v>
      </c>
      <c r="V199" s="2" t="n">
        <v>2026</v>
      </c>
    </row>
    <row r="200" ht="34" customHeight="1">
      <c r="A200" s="7" t="str">
        <v>APPLIED ENTOMOLOGY AND ZOOLOGY</v>
      </c>
      <c r="B200" s="7" t="str">
        <v>植物保护与昆虫</v>
      </c>
      <c r="C200" s="11" t="n">
        <v>4</v>
      </c>
      <c r="D200" s="12" t="n">
        <v>1</v>
      </c>
      <c r="E200" s="13" t="n">
        <v>2025</v>
      </c>
      <c r="F200" s="7" t="str">
        <v>其他</v>
      </c>
      <c r="G200" s="7" t="str">
        <v>领域期刊/新兴刊</v>
      </c>
      <c r="H200" s="7" t="str">
        <v>研究/方法/综合</v>
      </c>
      <c r="I200" s="10" t="n">
        <v>2025</v>
      </c>
      <c r="J200" s="2" t="str">
        <v>否</v>
      </c>
      <c r="K200" s="2" t="str">
        <v>0003-6862</v>
      </c>
      <c r="L200" s="2" t="str">
        <v>1347-605X</v>
      </c>
      <c r="M200" s="7" t="str">
        <v>ENTOMOLOGY(SCIE)</v>
      </c>
      <c r="N200" s="7" t="str">
        <v>公开汇编已匹配</v>
      </c>
      <c r="O200" s="7" t="str"/>
      <c r="P200" s="15" t="str">
        <v>JIF来源</v>
      </c>
      <c r="Q200" s="15" t="str">
        <v>分区来源</v>
      </c>
      <c r="R200" s="15" t="str"/>
      <c r="S200" s="14" t="str">
        <v>https://link.springer.com/journal/13355</v>
      </c>
      <c r="T200" s="7" t="str">
        <v>ISSN匹配公开元数据；未逐站复核</v>
      </c>
      <c r="U200" s="2" t="str">
        <v>官网来源</v>
      </c>
      <c r="V200" s="2" t="n">
        <v>2026</v>
      </c>
    </row>
    <row r="201" ht="34" customHeight="1">
      <c r="A201" s="7" t="str">
        <v>AUSTRALASIAN PLANT PATHOLOGY</v>
      </c>
      <c r="B201" s="7" t="str">
        <v>植物保护与昆虫</v>
      </c>
      <c r="C201" s="11" t="n">
        <v>4</v>
      </c>
      <c r="D201" s="12" t="n">
        <v>1.2</v>
      </c>
      <c r="E201" s="13" t="n">
        <v>2025</v>
      </c>
      <c r="F201" s="7" t="str">
        <v>其他</v>
      </c>
      <c r="G201" s="7" t="str">
        <v>领域期刊/新兴刊</v>
      </c>
      <c r="H201" s="7" t="str">
        <v>研究/方法/综合</v>
      </c>
      <c r="I201" s="10" t="n">
        <v>2025</v>
      </c>
      <c r="J201" s="2" t="str">
        <v>否</v>
      </c>
      <c r="K201" s="2" t="str">
        <v>0815-3191</v>
      </c>
      <c r="L201" s="2" t="str">
        <v>1448-6032</v>
      </c>
      <c r="M201" s="7" t="str">
        <v>PLANT SCIENCES(SCIE)</v>
      </c>
      <c r="N201" s="7" t="str">
        <v>公开汇编已匹配</v>
      </c>
      <c r="O201" s="7" t="str"/>
      <c r="P201" s="15" t="str">
        <v>JIF来源</v>
      </c>
      <c r="Q201" s="15" t="str">
        <v>分区来源</v>
      </c>
      <c r="R201" s="15" t="str"/>
      <c r="S201" s="14" t="str">
        <v>https://www.springer.com/journal/13313</v>
      </c>
      <c r="T201" s="7" t="str">
        <v>ISSN匹配公开元数据；未逐站复核</v>
      </c>
      <c r="U201" s="2" t="str">
        <v>官网来源</v>
      </c>
      <c r="V201" s="2" t="n">
        <v>2026</v>
      </c>
    </row>
    <row r="202" ht="34" customHeight="1">
      <c r="A202" s="7" t="str">
        <v>NEMATOLOGY</v>
      </c>
      <c r="B202" s="7" t="str">
        <v>植物保护与昆虫</v>
      </c>
      <c r="C202" s="11" t="n">
        <v>4</v>
      </c>
      <c r="D202" s="12" t="n">
        <v>1</v>
      </c>
      <c r="E202" s="13" t="n">
        <v>2025</v>
      </c>
      <c r="F202" s="7" t="str">
        <v>其他</v>
      </c>
      <c r="G202" s="7" t="str">
        <v>领域期刊/新兴刊</v>
      </c>
      <c r="H202" s="7" t="str">
        <v>研究/方法/综合</v>
      </c>
      <c r="I202" s="10" t="n">
        <v>2025</v>
      </c>
      <c r="J202" s="2" t="str">
        <v>否</v>
      </c>
      <c r="K202" s="2" t="str">
        <v>1388-5545</v>
      </c>
      <c r="L202" s="2" t="str">
        <v>1388-5545</v>
      </c>
      <c r="M202" s="7" t="str">
        <v>ZOOLOGY(SCIE)</v>
      </c>
      <c r="N202" s="7" t="str">
        <v>两份公开汇编一致</v>
      </c>
      <c r="O202" s="7" t="str"/>
      <c r="P202" s="15" t="str">
        <v>JIF来源</v>
      </c>
      <c r="Q202" s="15" t="str">
        <v>分区来源</v>
      </c>
      <c r="R202" s="15" t="str"/>
      <c r="S202" s="14" t="str">
        <v>http://www.brill.nl/publications/journals/nematology</v>
      </c>
      <c r="T202" s="7" t="str">
        <v>ISSN匹配公开元数据；未逐站复核</v>
      </c>
      <c r="U202" s="2" t="str">
        <v>官网来源</v>
      </c>
      <c r="V202" s="2" t="n">
        <v>2026</v>
      </c>
    </row>
    <row r="203" ht="34" customHeight="1">
      <c r="A203" s="7" t="str">
        <v>JOURNAL OF FORESTRY RESEARCH</v>
      </c>
      <c r="B203" s="7" t="str">
        <v>林业木材与草业</v>
      </c>
      <c r="C203" s="11" t="n">
        <v>1</v>
      </c>
      <c r="D203" s="12" t="n">
        <v>4.1</v>
      </c>
      <c r="E203" s="13" t="n">
        <v>2025</v>
      </c>
      <c r="F203" s="7" t="str">
        <v>其他</v>
      </c>
      <c r="G203" s="7" t="str">
        <v>领域期刊/新兴刊</v>
      </c>
      <c r="H203" s="7" t="str">
        <v>研究/方法/综合</v>
      </c>
      <c r="I203" s="10" t="n">
        <v>2025</v>
      </c>
      <c r="J203" s="2" t="str">
        <v>是</v>
      </c>
      <c r="K203" s="2" t="str">
        <v>1007-662X</v>
      </c>
      <c r="L203" s="2" t="str">
        <v>1993-0607</v>
      </c>
      <c r="M203" s="7" t="str">
        <v>FORESTRY(SCIE)</v>
      </c>
      <c r="N203" s="7" t="str">
        <v>两份公开汇编一致</v>
      </c>
      <c r="O203" s="7" t="str"/>
      <c r="P203" s="15" t="str">
        <v>JIF来源</v>
      </c>
      <c r="Q203" s="15" t="str">
        <v>分区来源</v>
      </c>
      <c r="R203" s="15" t="str"/>
      <c r="S203" s="14" t="str">
        <v>https://www.springer.com/journal/11676</v>
      </c>
      <c r="T203" s="7" t="str">
        <v>ISSN匹配公开元数据；未逐站复核</v>
      </c>
      <c r="U203" s="2" t="str">
        <v>官网来源</v>
      </c>
      <c r="V203" s="2" t="n">
        <v>2026</v>
      </c>
    </row>
    <row r="204" ht="34" customHeight="1">
      <c r="A204" s="7" t="str">
        <v>Forest Ecosystems</v>
      </c>
      <c r="B204" s="7" t="str">
        <v>林业木材与草业</v>
      </c>
      <c r="C204" s="11" t="n">
        <v>1</v>
      </c>
      <c r="D204" s="12" t="n">
        <v>5.4</v>
      </c>
      <c r="E204" s="13" t="n">
        <v>2025</v>
      </c>
      <c r="F204" s="7" t="str">
        <v>其他</v>
      </c>
      <c r="G204" s="7" t="str">
        <v>领域期刊/新兴刊</v>
      </c>
      <c r="H204" s="7" t="str">
        <v>研究/方法/综合</v>
      </c>
      <c r="I204" s="10" t="n">
        <v>2025</v>
      </c>
      <c r="J204" s="2" t="str">
        <v>是</v>
      </c>
      <c r="K204" s="2" t="str">
        <v>2095-6355</v>
      </c>
      <c r="L204" s="2" t="str">
        <v>2197-5620</v>
      </c>
      <c r="M204" s="7" t="str">
        <v>FORESTRY(SCIE)</v>
      </c>
      <c r="N204" s="7" t="str">
        <v>两份公开汇编一致</v>
      </c>
      <c r="O204" s="7" t="str"/>
      <c r="P204" s="15" t="str">
        <v>JIF来源</v>
      </c>
      <c r="Q204" s="15" t="str">
        <v>分区来源</v>
      </c>
      <c r="R204" s="15" t="str"/>
      <c r="S204" s="14" t="str">
        <v>https://forestecosyst.springeropen.com</v>
      </c>
      <c r="T204" s="7" t="str">
        <v>ISSN匹配公开元数据；未逐站复核</v>
      </c>
      <c r="U204" s="2" t="str">
        <v>官网来源</v>
      </c>
      <c r="V204" s="2" t="n">
        <v>2026</v>
      </c>
    </row>
    <row r="205" ht="34" customHeight="1">
      <c r="A205" s="7" t="str">
        <v>Forest Policy and Economics</v>
      </c>
      <c r="B205" s="7" t="str">
        <v>林业木材与草业</v>
      </c>
      <c r="C205" s="11" t="n">
        <v>1</v>
      </c>
      <c r="D205" s="12" t="n">
        <v>4.6</v>
      </c>
      <c r="E205" s="13" t="n">
        <v>2025</v>
      </c>
      <c r="F205" s="7" t="str">
        <v>其他</v>
      </c>
      <c r="G205" s="7" t="str">
        <v>领域期刊/新兴刊</v>
      </c>
      <c r="H205" s="7" t="str">
        <v>研究/方法/综合</v>
      </c>
      <c r="I205" s="10" t="n">
        <v>2025</v>
      </c>
      <c r="J205" s="2" t="str">
        <v>是</v>
      </c>
      <c r="K205" s="2" t="str">
        <v>1389-9341</v>
      </c>
      <c r="L205" s="2" t="str">
        <v>1872-7050</v>
      </c>
      <c r="M205" s="7" t="str">
        <v>ECONOMICS(SSCI);ENVIRONMENTAL STUDIES(SSCI);FORESTRY(SCIE)</v>
      </c>
      <c r="N205" s="7" t="str">
        <v>两份公开汇编一致</v>
      </c>
      <c r="O205" s="7" t="str"/>
      <c r="P205" s="15" t="str">
        <v>JIF来源</v>
      </c>
      <c r="Q205" s="15" t="str">
        <v>分区来源</v>
      </c>
      <c r="R205" s="15" t="str"/>
      <c r="S205" s="14" t="str">
        <v>https://www.journals.elsevier.com/forest-policy-and-economics</v>
      </c>
      <c r="T205" s="7" t="str">
        <v>ISSN匹配公开元数据；未逐站复核</v>
      </c>
      <c r="U205" s="2" t="str">
        <v>官网来源</v>
      </c>
      <c r="V205" s="2" t="n">
        <v>2026</v>
      </c>
    </row>
    <row r="206" ht="34" customHeight="1">
      <c r="A206" s="7" t="str">
        <v>URBAN FORESTRY &amp; URBAN GREENING</v>
      </c>
      <c r="B206" s="7" t="str">
        <v>林业木材与草业</v>
      </c>
      <c r="C206" s="11" t="n">
        <v>2</v>
      </c>
      <c r="D206" s="12" t="n">
        <v>8.2</v>
      </c>
      <c r="E206" s="13" t="n">
        <v>2025</v>
      </c>
      <c r="F206" s="7" t="str">
        <v>其他</v>
      </c>
      <c r="G206" s="7" t="str">
        <v>领域期刊/新兴刊</v>
      </c>
      <c r="H206" s="7" t="str">
        <v>研究/方法/综合</v>
      </c>
      <c r="I206" s="10" t="n">
        <v>2025</v>
      </c>
      <c r="J206" s="2" t="str">
        <v>是</v>
      </c>
      <c r="K206" s="2" t="str">
        <v>1618-8667</v>
      </c>
      <c r="L206" s="2" t="str">
        <v>1610-8167</v>
      </c>
      <c r="M206" s="7" t="str">
        <v>ENVIRONMENTAL STUDIES(SSCI);FORESTRY(SCIE);URBAN STUDIES(SSCI)</v>
      </c>
      <c r="N206" s="7" t="str">
        <v>两份公开汇编一致</v>
      </c>
      <c r="O206" s="7" t="str"/>
      <c r="P206" s="15" t="str">
        <v>JIF来源</v>
      </c>
      <c r="Q206" s="15" t="str">
        <v>分区来源</v>
      </c>
      <c r="R206" s="15" t="str"/>
      <c r="S206" s="14" t="str">
        <v>https://www.journals.elsevier.com/urban-forestry-and-urban-greening</v>
      </c>
      <c r="T206" s="7" t="str">
        <v>ISSN匹配公开元数据；未逐站复核</v>
      </c>
      <c r="U206" s="2" t="str">
        <v>官网来源</v>
      </c>
      <c r="V206" s="2" t="n">
        <v>2026</v>
      </c>
    </row>
    <row r="207" ht="34" customHeight="1">
      <c r="A207" s="7" t="str">
        <v>FOREST ECOLOGY AND MANAGEMENT</v>
      </c>
      <c r="B207" s="7" t="str">
        <v>林业木材与草业</v>
      </c>
      <c r="C207" s="11" t="n">
        <v>2</v>
      </c>
      <c r="D207" s="12" t="n">
        <v>4.2</v>
      </c>
      <c r="E207" s="13" t="n">
        <v>2025</v>
      </c>
      <c r="F207" s="7" t="str">
        <v>其他</v>
      </c>
      <c r="G207" s="7" t="str">
        <v>经典专业刊</v>
      </c>
      <c r="H207" s="7" t="str">
        <v>研究/方法/综合</v>
      </c>
      <c r="I207" s="10" t="n">
        <v>2025</v>
      </c>
      <c r="J207" s="2" t="str">
        <v>是</v>
      </c>
      <c r="K207" s="2" t="str">
        <v>0378-1127</v>
      </c>
      <c r="L207" s="2" t="str">
        <v>1872-7042</v>
      </c>
      <c r="M207" s="7" t="str">
        <v>FORESTRY(SCIE)</v>
      </c>
      <c r="N207" s="7" t="str">
        <v>两份公开汇编一致</v>
      </c>
      <c r="O207" s="7" t="str"/>
      <c r="P207" s="15" t="str">
        <v>JIF来源</v>
      </c>
      <c r="Q207" s="15" t="str">
        <v>分区来源</v>
      </c>
      <c r="R207" s="15" t="str"/>
      <c r="S207" s="14" t="str">
        <v>http://www.elsevier.com/locate/foreco</v>
      </c>
      <c r="T207" s="7" t="str">
        <v>ISSN匹配公开元数据；未逐站复核</v>
      </c>
      <c r="U207" s="2" t="str">
        <v>官网来源</v>
      </c>
      <c r="V207" s="2" t="n">
        <v>2026</v>
      </c>
    </row>
    <row r="208" ht="34" customHeight="1">
      <c r="A208" s="7" t="str">
        <v>TREE PHYSIOLOGY</v>
      </c>
      <c r="B208" s="7" t="str">
        <v>林业木材与草业</v>
      </c>
      <c r="C208" s="11" t="n">
        <v>2</v>
      </c>
      <c r="D208" s="12" t="n">
        <v>4</v>
      </c>
      <c r="E208" s="13" t="n">
        <v>2025</v>
      </c>
      <c r="F208" s="7" t="str">
        <v>其他</v>
      </c>
      <c r="G208" s="7" t="str">
        <v>经典专业刊</v>
      </c>
      <c r="H208" s="7" t="str">
        <v>研究/方法/综合</v>
      </c>
      <c r="I208" s="10" t="n">
        <v>2025</v>
      </c>
      <c r="J208" s="2" t="str">
        <v>是</v>
      </c>
      <c r="K208" s="2" t="str">
        <v>0829-318X</v>
      </c>
      <c r="L208" s="2" t="str">
        <v>1758-4469</v>
      </c>
      <c r="M208" s="7" t="str">
        <v>FORESTRY(SCIE)</v>
      </c>
      <c r="N208" s="7" t="str">
        <v>两份公开汇编一致</v>
      </c>
      <c r="O208" s="7" t="str"/>
      <c r="P208" s="15" t="str">
        <v>JIF来源</v>
      </c>
      <c r="Q208" s="15" t="str">
        <v>分区来源</v>
      </c>
      <c r="R208" s="15" t="str"/>
      <c r="S208" s="14" t="str">
        <v>http://treephys.oxfordjournals.org</v>
      </c>
      <c r="T208" s="7" t="str">
        <v>ISSN匹配公开元数据；未逐站复核</v>
      </c>
      <c r="U208" s="2" t="str">
        <v>官网来源</v>
      </c>
      <c r="V208" s="2" t="n">
        <v>2026</v>
      </c>
    </row>
    <row r="209" ht="34" customHeight="1">
      <c r="A209" s="7" t="str">
        <v>FORESTRY</v>
      </c>
      <c r="B209" s="7" t="str">
        <v>林业木材与草业</v>
      </c>
      <c r="C209" s="11" t="n">
        <v>2</v>
      </c>
      <c r="D209" s="12" t="n">
        <v>4.4</v>
      </c>
      <c r="E209" s="13" t="n">
        <v>2025</v>
      </c>
      <c r="F209" s="7" t="str">
        <v>其他</v>
      </c>
      <c r="G209" s="7" t="str">
        <v>经典专业刊</v>
      </c>
      <c r="H209" s="7" t="str">
        <v>研究/方法/综合</v>
      </c>
      <c r="I209" s="10" t="n">
        <v>2025</v>
      </c>
      <c r="J209" s="2" t="str">
        <v>否</v>
      </c>
      <c r="K209" s="2" t="str">
        <v>0015-752X</v>
      </c>
      <c r="L209" s="2" t="str">
        <v>1464-3626</v>
      </c>
      <c r="M209" s="7" t="str">
        <v>FORESTRY(SCIE)</v>
      </c>
      <c r="N209" s="7" t="str">
        <v>两份公开汇编一致</v>
      </c>
      <c r="O209" s="7" t="str"/>
      <c r="P209" s="15" t="str">
        <v>JIF来源</v>
      </c>
      <c r="Q209" s="15" t="str">
        <v>分区来源</v>
      </c>
      <c r="R209" s="15" t="str"/>
      <c r="S209" s="14" t="str">
        <v>https://academic.oup.com/forestry</v>
      </c>
      <c r="T209" s="7" t="str">
        <v>ISSN匹配公开元数据；未逐站复核</v>
      </c>
      <c r="U209" s="2" t="str">
        <v>官网来源</v>
      </c>
      <c r="V209" s="2" t="n">
        <v>2026</v>
      </c>
    </row>
    <row r="210" ht="34" customHeight="1">
      <c r="A210" s="7" t="str">
        <v>WOOD SCIENCE AND TECHNOLOGY</v>
      </c>
      <c r="B210" s="7" t="str">
        <v>林业木材与草业</v>
      </c>
      <c r="C210" s="11" t="n">
        <v>2</v>
      </c>
      <c r="D210" s="12" t="n">
        <v>3.2</v>
      </c>
      <c r="E210" s="13" t="n">
        <v>2025</v>
      </c>
      <c r="F210" s="7" t="str">
        <v>其他</v>
      </c>
      <c r="G210" s="7" t="str">
        <v>经典专业刊</v>
      </c>
      <c r="H210" s="7" t="str">
        <v>研究/方法/综合</v>
      </c>
      <c r="I210" s="10" t="n">
        <v>2025</v>
      </c>
      <c r="J210" s="2" t="str">
        <v>否</v>
      </c>
      <c r="K210" s="2" t="str">
        <v>0043-7719</v>
      </c>
      <c r="L210" s="2" t="str">
        <v>1432-5225</v>
      </c>
      <c r="M210" s="7" t="str">
        <v>FORESTRY(SCIE);MATERIALS SCIENCE, PAPER &amp; WOOD(SCIE)</v>
      </c>
      <c r="N210" s="7" t="str">
        <v>两份公开汇编一致</v>
      </c>
      <c r="O210" s="7" t="str"/>
      <c r="P210" s="15" t="str">
        <v>JIF来源</v>
      </c>
      <c r="Q210" s="15" t="str">
        <v>分区来源</v>
      </c>
      <c r="R210" s="15" t="str"/>
      <c r="S210" s="14" t="str">
        <v>https://link.springer.com/journal/226</v>
      </c>
      <c r="T210" s="7" t="str">
        <v>ISSN匹配公开元数据；未逐站复核</v>
      </c>
      <c r="U210" s="2" t="str">
        <v>官网来源</v>
      </c>
      <c r="V210" s="2" t="n">
        <v>2026</v>
      </c>
    </row>
    <row r="211" ht="34" customHeight="1">
      <c r="A211" s="7" t="str">
        <v>GRASS AND FORAGE SCIENCE</v>
      </c>
      <c r="B211" s="7" t="str">
        <v>林业木材与草业</v>
      </c>
      <c r="C211" s="11" t="n">
        <v>2</v>
      </c>
      <c r="D211" s="12" t="n">
        <v>2.6</v>
      </c>
      <c r="E211" s="13" t="n">
        <v>2025</v>
      </c>
      <c r="F211" s="7" t="str">
        <v>其他</v>
      </c>
      <c r="G211" s="7" t="str">
        <v>经典专业刊</v>
      </c>
      <c r="H211" s="7" t="str">
        <v>研究/方法/综合</v>
      </c>
      <c r="I211" s="10" t="n">
        <v>2025</v>
      </c>
      <c r="J211" s="2" t="str">
        <v>否</v>
      </c>
      <c r="K211" s="2" t="str">
        <v>0142-5242</v>
      </c>
      <c r="L211" s="2" t="str">
        <v>1365-2494</v>
      </c>
      <c r="M211" s="7" t="str">
        <v>AGRONOMY(SCIE)</v>
      </c>
      <c r="N211" s="7" t="str">
        <v>两份公开汇编一致</v>
      </c>
      <c r="O211" s="7" t="str"/>
      <c r="P211" s="15" t="str">
        <v>JIF来源</v>
      </c>
      <c r="Q211" s="15" t="str">
        <v>分区来源</v>
      </c>
      <c r="R211" s="15" t="str"/>
      <c r="S211" s="14" t="str">
        <v>https://onlinelibrary.wiley.com/journal/13652494</v>
      </c>
      <c r="T211" s="7" t="str">
        <v>ISSN匹配公开元数据；未逐站复核</v>
      </c>
      <c r="U211" s="2" t="str">
        <v>官网来源</v>
      </c>
      <c r="V211" s="2" t="n">
        <v>2026</v>
      </c>
    </row>
    <row r="212" ht="34" customHeight="1">
      <c r="A212" s="7" t="str">
        <v>EUROPEAN JOURNAL OF FOREST RESEARCH</v>
      </c>
      <c r="B212" s="7" t="str">
        <v>林业木材与草业</v>
      </c>
      <c r="C212" s="11" t="n">
        <v>2</v>
      </c>
      <c r="D212" s="12" t="n">
        <v>3.4</v>
      </c>
      <c r="E212" s="13" t="n">
        <v>2025</v>
      </c>
      <c r="F212" s="7" t="str">
        <v>其他</v>
      </c>
      <c r="G212" s="7" t="str">
        <v>领域期刊/新兴刊</v>
      </c>
      <c r="H212" s="7" t="str">
        <v>研究/方法/综合</v>
      </c>
      <c r="I212" s="10" t="n">
        <v>2025</v>
      </c>
      <c r="J212" s="2" t="str">
        <v>否</v>
      </c>
      <c r="K212" s="2" t="str">
        <v>1612-4669</v>
      </c>
      <c r="L212" s="2" t="str">
        <v>1612-4677</v>
      </c>
      <c r="M212" s="7" t="str">
        <v>FORESTRY(SCIE)</v>
      </c>
      <c r="N212" s="7" t="str">
        <v>两份公开汇编一致</v>
      </c>
      <c r="O212" s="7" t="str"/>
      <c r="P212" s="15" t="str">
        <v>JIF来源</v>
      </c>
      <c r="Q212" s="15" t="str">
        <v>分区来源</v>
      </c>
      <c r="R212" s="15" t="str"/>
      <c r="S212" s="14" t="str">
        <v>https://www.springer.com/journal/10342</v>
      </c>
      <c r="T212" s="7" t="str">
        <v>ISSN匹配公开元数据；未逐站复核</v>
      </c>
      <c r="U212" s="2" t="str">
        <v>官网来源</v>
      </c>
      <c r="V212" s="2" t="n">
        <v>2026</v>
      </c>
    </row>
    <row r="213" ht="34" customHeight="1">
      <c r="A213" s="7" t="str">
        <v>DENDROCHRONOLOGIA</v>
      </c>
      <c r="B213" s="7" t="str">
        <v>林业木材与草业</v>
      </c>
      <c r="C213" s="11" t="n">
        <v>2</v>
      </c>
      <c r="D213" s="12" t="n">
        <v>3.2</v>
      </c>
      <c r="E213" s="13" t="n">
        <v>2025</v>
      </c>
      <c r="F213" s="7" t="str">
        <v>其他</v>
      </c>
      <c r="G213" s="7" t="str">
        <v>领域期刊/新兴刊</v>
      </c>
      <c r="H213" s="7" t="str">
        <v>研究/方法/综合</v>
      </c>
      <c r="I213" s="10" t="n">
        <v>2025</v>
      </c>
      <c r="J213" s="2" t="str">
        <v>否</v>
      </c>
      <c r="K213" s="2" t="str">
        <v>1125-7865</v>
      </c>
      <c r="L213" s="2" t="str">
        <v>1612-0051</v>
      </c>
      <c r="M213" s="7" t="str">
        <v>FORESTRY(SCIE);GEOGRAPHY, PHYSICAL(SCIE)</v>
      </c>
      <c r="N213" s="7" t="str">
        <v>两份公开汇编一致</v>
      </c>
      <c r="O213" s="7" t="str"/>
      <c r="P213" s="15" t="str">
        <v>JIF来源</v>
      </c>
      <c r="Q213" s="15" t="str">
        <v>分区来源</v>
      </c>
      <c r="R213" s="15" t="str"/>
      <c r="S213" s="14" t="str">
        <v>https://www.journals.elsevier.com/dendrochronologia</v>
      </c>
      <c r="T213" s="7" t="str">
        <v>ISSN匹配公开元数据；未逐站复核</v>
      </c>
      <c r="U213" s="2" t="str">
        <v>官网来源</v>
      </c>
      <c r="V213" s="2" t="n">
        <v>2026</v>
      </c>
    </row>
    <row r="214" ht="34" customHeight="1">
      <c r="A214" s="7" t="str">
        <v>IAWA JOURNAL</v>
      </c>
      <c r="B214" s="7" t="str">
        <v>林业木材与草业</v>
      </c>
      <c r="C214" s="11" t="n">
        <v>3</v>
      </c>
      <c r="D214" s="12" t="n">
        <v>2.9</v>
      </c>
      <c r="E214" s="13" t="n">
        <v>2025</v>
      </c>
      <c r="F214" s="7" t="str">
        <v>其他</v>
      </c>
      <c r="G214" s="7" t="str">
        <v>领域期刊/新兴刊</v>
      </c>
      <c r="H214" s="7" t="str">
        <v>研究/方法/综合</v>
      </c>
      <c r="I214" s="10" t="n">
        <v>2025</v>
      </c>
      <c r="J214" s="2" t="str">
        <v>否</v>
      </c>
      <c r="K214" s="2" t="str">
        <v>0928-1541</v>
      </c>
      <c r="L214" s="2" t="str">
        <v>2294-1932</v>
      </c>
      <c r="M214" s="7" t="str">
        <v>FORESTRY(SCIE)</v>
      </c>
      <c r="N214" s="7" t="str">
        <v>两份公开汇编一致</v>
      </c>
      <c r="O214" s="7" t="str"/>
      <c r="P214" s="15" t="str">
        <v>JIF来源</v>
      </c>
      <c r="Q214" s="15" t="str">
        <v>分区来源</v>
      </c>
      <c r="R214" s="15" t="str"/>
      <c r="S214" s="14" t="str">
        <v>https://brill.com/view/journals/iawa/iawa-overview.xml</v>
      </c>
      <c r="T214" s="7" t="str">
        <v>出版社/期刊主页匹配</v>
      </c>
      <c r="U214" s="2" t="str">
        <v>官网来源</v>
      </c>
      <c r="V214" s="2" t="n">
        <v>2026</v>
      </c>
    </row>
    <row r="215" ht="34" customHeight="1">
      <c r="A215" s="7" t="str">
        <v>INTERNATIONAL JOURNAL OF WILDLAND FIRE</v>
      </c>
      <c r="B215" s="7" t="str">
        <v>林业木材与草业</v>
      </c>
      <c r="C215" s="11" t="n">
        <v>3</v>
      </c>
      <c r="D215" s="12" t="n">
        <v>3</v>
      </c>
      <c r="E215" s="13" t="n">
        <v>2025</v>
      </c>
      <c r="F215" s="7" t="str">
        <v>其他</v>
      </c>
      <c r="G215" s="7" t="str">
        <v>领域期刊/新兴刊</v>
      </c>
      <c r="H215" s="7" t="str">
        <v>研究/方法/综合</v>
      </c>
      <c r="I215" s="10" t="n">
        <v>2025</v>
      </c>
      <c r="J215" s="2" t="str">
        <v>否</v>
      </c>
      <c r="K215" s="2" t="str">
        <v>1049-8001</v>
      </c>
      <c r="L215" s="2" t="str">
        <v>1448-5516</v>
      </c>
      <c r="M215" s="7" t="str">
        <v>FORESTRY(SCIE)</v>
      </c>
      <c r="N215" s="7" t="str">
        <v>两份公开汇编一致</v>
      </c>
      <c r="O215" s="7" t="str"/>
      <c r="P215" s="15" t="str">
        <v>JIF来源</v>
      </c>
      <c r="Q215" s="15" t="str">
        <v>分区来源</v>
      </c>
      <c r="R215" s="15" t="str"/>
      <c r="S215" s="14" t="str">
        <v>http://www.publish.csiro.au/journals/ijwf</v>
      </c>
      <c r="T215" s="7" t="str">
        <v>ISSN匹配公开元数据；未逐站复核</v>
      </c>
      <c r="U215" s="2" t="str">
        <v>官网来源</v>
      </c>
      <c r="V215" s="2" t="n">
        <v>2026</v>
      </c>
    </row>
    <row r="216" ht="34" customHeight="1">
      <c r="A216" s="7" t="str">
        <v>ANNALS OF FOREST SCIENCE</v>
      </c>
      <c r="B216" s="7" t="str">
        <v>林业木材与草业</v>
      </c>
      <c r="C216" s="11" t="n">
        <v>3</v>
      </c>
      <c r="D216" s="12" t="n">
        <v>3.3</v>
      </c>
      <c r="E216" s="13" t="n">
        <v>2025</v>
      </c>
      <c r="F216" s="7" t="str">
        <v>其他</v>
      </c>
      <c r="G216" s="7" t="str">
        <v>领域期刊/新兴刊</v>
      </c>
      <c r="H216" s="7" t="str">
        <v>研究/方法/综合</v>
      </c>
      <c r="I216" s="10" t="n">
        <v>2025</v>
      </c>
      <c r="J216" s="2" t="str">
        <v>否</v>
      </c>
      <c r="K216" s="2" t="str">
        <v>1286-4560</v>
      </c>
      <c r="L216" s="2" t="str">
        <v>1297-966X</v>
      </c>
      <c r="M216" s="7" t="str">
        <v>FORESTRY(SCIE)</v>
      </c>
      <c r="N216" s="7" t="str">
        <v>两份公开汇编一致</v>
      </c>
      <c r="O216" s="7" t="str"/>
      <c r="P216" s="15" t="str">
        <v>JIF来源</v>
      </c>
      <c r="Q216" s="15" t="str">
        <v>分区来源</v>
      </c>
      <c r="R216" s="15" t="str"/>
      <c r="S216" s="14" t="str">
        <v>https://annforsci.biomedcentral.com/</v>
      </c>
      <c r="T216" s="7" t="str">
        <v>出版社/期刊主页匹配</v>
      </c>
      <c r="U216" s="2" t="str">
        <v>官网来源</v>
      </c>
      <c r="V216" s="2" t="n">
        <v>2026</v>
      </c>
    </row>
    <row r="217" ht="34" customHeight="1">
      <c r="A217" s="7" t="str">
        <v>European Journal of Wood and Wood Products</v>
      </c>
      <c r="B217" s="7" t="str">
        <v>林业木材与草业</v>
      </c>
      <c r="C217" s="11" t="n">
        <v>3</v>
      </c>
      <c r="D217" s="12" t="n">
        <v>2.7</v>
      </c>
      <c r="E217" s="13" t="n">
        <v>2025</v>
      </c>
      <c r="F217" s="7" t="str">
        <v>其他</v>
      </c>
      <c r="G217" s="7" t="str">
        <v>领域期刊/新兴刊</v>
      </c>
      <c r="H217" s="7" t="str">
        <v>研究/方法/综合</v>
      </c>
      <c r="I217" s="10" t="n">
        <v>2025</v>
      </c>
      <c r="J217" s="2" t="str">
        <v>否</v>
      </c>
      <c r="K217" s="2" t="str">
        <v>0018-3768</v>
      </c>
      <c r="L217" s="2" t="str">
        <v>1436-736X</v>
      </c>
      <c r="M217" s="7" t="str">
        <v>FORESTRY(SCIE);MATERIALS SCIENCE, PAPER &amp; WOOD(SCIE)</v>
      </c>
      <c r="N217" s="7" t="str">
        <v>两份公开汇编一致</v>
      </c>
      <c r="O217" s="7" t="str"/>
      <c r="P217" s="15" t="str">
        <v>JIF来源</v>
      </c>
      <c r="Q217" s="15" t="str">
        <v>分区来源</v>
      </c>
      <c r="R217" s="15" t="str"/>
      <c r="S217" s="14" t="str">
        <v>https://www.springer.com/journal/107</v>
      </c>
      <c r="T217" s="7" t="str">
        <v>ISSN匹配公开元数据；未逐站复核</v>
      </c>
      <c r="U217" s="2" t="str">
        <v>官网来源</v>
      </c>
      <c r="V217" s="2" t="n">
        <v>2026</v>
      </c>
    </row>
    <row r="218" ht="34" customHeight="1">
      <c r="A218" s="7" t="str">
        <v>Forests</v>
      </c>
      <c r="B218" s="7" t="str">
        <v>林业木材与草业</v>
      </c>
      <c r="C218" s="11" t="n">
        <v>3</v>
      </c>
      <c r="D218" s="12" t="n">
        <v>3.1</v>
      </c>
      <c r="E218" s="13" t="n">
        <v>2025</v>
      </c>
      <c r="F218" s="7" t="str">
        <v>其他</v>
      </c>
      <c r="G218" s="7" t="str">
        <v>领域期刊/新兴刊</v>
      </c>
      <c r="H218" s="7" t="str">
        <v>研究/方法/综合</v>
      </c>
      <c r="I218" s="10" t="n">
        <v>2025</v>
      </c>
      <c r="J218" s="2" t="str">
        <v>否</v>
      </c>
      <c r="K218" s="2" t="str"/>
      <c r="L218" s="2" t="str">
        <v>1999-4907</v>
      </c>
      <c r="M218" s="7" t="str">
        <v>FORESTRY(SCIE)</v>
      </c>
      <c r="N218" s="7" t="str">
        <v>两份公开汇编一致</v>
      </c>
      <c r="O218" s="7" t="str"/>
      <c r="P218" s="15" t="str">
        <v>JIF来源</v>
      </c>
      <c r="Q218" s="15" t="str">
        <v>分区来源</v>
      </c>
      <c r="R218" s="15" t="str"/>
      <c r="S218" s="14" t="str">
        <v>http://www.mdpi.com/journal/forests/</v>
      </c>
      <c r="T218" s="7" t="str">
        <v>ISSN匹配公开元数据；未逐站复核</v>
      </c>
      <c r="U218" s="2" t="str">
        <v>官网来源</v>
      </c>
      <c r="V218" s="2" t="n">
        <v>2026</v>
      </c>
    </row>
    <row r="219" ht="34" customHeight="1">
      <c r="A219" s="7" t="str">
        <v>JOURNAL OF WOOD SCIENCE</v>
      </c>
      <c r="B219" s="7" t="str">
        <v>林业木材与草业</v>
      </c>
      <c r="C219" s="11" t="n">
        <v>3</v>
      </c>
      <c r="D219" s="12" t="n">
        <v>2.5</v>
      </c>
      <c r="E219" s="13" t="n">
        <v>2025</v>
      </c>
      <c r="F219" s="7" t="str">
        <v>其他</v>
      </c>
      <c r="G219" s="7" t="str">
        <v>领域期刊/新兴刊</v>
      </c>
      <c r="H219" s="7" t="str">
        <v>研究/方法/综合</v>
      </c>
      <c r="I219" s="10" t="n">
        <v>2025</v>
      </c>
      <c r="J219" s="2" t="str">
        <v>否</v>
      </c>
      <c r="K219" s="2" t="str">
        <v>1435-0211</v>
      </c>
      <c r="L219" s="2" t="str">
        <v>1611-4663</v>
      </c>
      <c r="M219" s="7" t="str">
        <v>FORESTRY(SCIE);MATERIALS SCIENCE, PAPER &amp; WOOD(SCIE)</v>
      </c>
      <c r="N219" s="7" t="str">
        <v>两份公开汇编一致</v>
      </c>
      <c r="O219" s="7" t="str"/>
      <c r="P219" s="15" t="str">
        <v>JIF来源</v>
      </c>
      <c r="Q219" s="15" t="str">
        <v>分区来源</v>
      </c>
      <c r="R219" s="15" t="str"/>
      <c r="S219" s="14" t="str">
        <v>https://jwoodscience.springeropen.com/</v>
      </c>
      <c r="T219" s="7" t="str">
        <v>ISSN匹配公开元数据；未逐站复核</v>
      </c>
      <c r="U219" s="2" t="str">
        <v>官网来源</v>
      </c>
      <c r="V219" s="2" t="n">
        <v>2026</v>
      </c>
    </row>
    <row r="220" ht="34" customHeight="1">
      <c r="A220" s="7" t="str">
        <v>Rangeland Ecology &amp; Management</v>
      </c>
      <c r="B220" s="7" t="str">
        <v>林业木材与草业</v>
      </c>
      <c r="C220" s="11" t="n">
        <v>3</v>
      </c>
      <c r="D220" s="12" t="n">
        <v>2.9</v>
      </c>
      <c r="E220" s="13" t="n">
        <v>2025</v>
      </c>
      <c r="F220" s="7" t="str">
        <v>其他</v>
      </c>
      <c r="G220" s="7" t="str">
        <v>领域期刊/新兴刊</v>
      </c>
      <c r="H220" s="7" t="str">
        <v>研究/方法/综合</v>
      </c>
      <c r="I220" s="10" t="n">
        <v>2025</v>
      </c>
      <c r="J220" s="2" t="str">
        <v>否</v>
      </c>
      <c r="K220" s="2" t="str">
        <v>1550-7424</v>
      </c>
      <c r="L220" s="2" t="str">
        <v>1551-5028</v>
      </c>
      <c r="M220" s="7" t="str">
        <v>ECOLOGY(SCIE);ENVIRONMENTAL SCIENCES(SCIE)</v>
      </c>
      <c r="N220" s="7" t="str">
        <v>公开汇编已匹配</v>
      </c>
      <c r="O220" s="7" t="str"/>
      <c r="P220" s="15" t="str">
        <v>JIF来源</v>
      </c>
      <c r="Q220" s="15" t="str">
        <v>分区来源</v>
      </c>
      <c r="R220" s="15" t="str"/>
      <c r="S220" s="14" t="str">
        <v>https://www.journals.elsevier.com/rangeland-ecology-and-management</v>
      </c>
      <c r="T220" s="7" t="str">
        <v>ISSN匹配公开元数据；未逐站复核</v>
      </c>
      <c r="U220" s="2" t="str">
        <v>官网来源</v>
      </c>
      <c r="V220" s="2" t="n">
        <v>2026</v>
      </c>
    </row>
    <row r="221" ht="34" customHeight="1">
      <c r="A221" s="7" t="str">
        <v>AGROFORESTRY SYSTEMS</v>
      </c>
      <c r="B221" s="7" t="str">
        <v>林业木材与草业</v>
      </c>
      <c r="C221" s="11" t="n">
        <v>3</v>
      </c>
      <c r="D221" s="12" t="n">
        <v>3.2</v>
      </c>
      <c r="E221" s="13" t="n">
        <v>2025</v>
      </c>
      <c r="F221" s="7" t="str">
        <v>其他</v>
      </c>
      <c r="G221" s="7" t="str">
        <v>领域期刊/新兴刊</v>
      </c>
      <c r="H221" s="7" t="str">
        <v>研究/方法/综合</v>
      </c>
      <c r="I221" s="10" t="n">
        <v>2025</v>
      </c>
      <c r="J221" s="2" t="str">
        <v>否</v>
      </c>
      <c r="K221" s="2" t="str">
        <v>0167-4366</v>
      </c>
      <c r="L221" s="2" t="str">
        <v>1572-9680</v>
      </c>
      <c r="M221" s="7" t="str">
        <v>AGRONOMY(SCIE);FORESTRY(SCIE)</v>
      </c>
      <c r="N221" s="7" t="str">
        <v>两份公开汇编一致</v>
      </c>
      <c r="O221" s="7" t="str"/>
      <c r="P221" s="15" t="str">
        <v>JIF来源</v>
      </c>
      <c r="Q221" s="15" t="str">
        <v>分区来源</v>
      </c>
      <c r="R221" s="15" t="str"/>
      <c r="S221" s="14" t="str">
        <v>https://www.springer.com/journal/10457</v>
      </c>
      <c r="T221" s="7" t="str">
        <v>ISSN匹配公开元数据；未逐站复核</v>
      </c>
      <c r="U221" s="2" t="str">
        <v>官网来源</v>
      </c>
      <c r="V221" s="2" t="n">
        <v>2026</v>
      </c>
    </row>
    <row r="222" ht="34" customHeight="1">
      <c r="A222" s="7" t="str">
        <v>NEW FORESTS</v>
      </c>
      <c r="B222" s="7" t="str">
        <v>林业木材与草业</v>
      </c>
      <c r="C222" s="11" t="n">
        <v>3</v>
      </c>
      <c r="D222" s="12" t="n">
        <v>1.5</v>
      </c>
      <c r="E222" s="13" t="n">
        <v>2025</v>
      </c>
      <c r="F222" s="7" t="str">
        <v>其他</v>
      </c>
      <c r="G222" s="7" t="str">
        <v>领域期刊/新兴刊</v>
      </c>
      <c r="H222" s="7" t="str">
        <v>研究/方法/综合</v>
      </c>
      <c r="I222" s="10" t="n">
        <v>2025</v>
      </c>
      <c r="J222" s="2" t="str">
        <v>否</v>
      </c>
      <c r="K222" s="2" t="str">
        <v>0169-4286</v>
      </c>
      <c r="L222" s="2" t="str">
        <v>1573-5095</v>
      </c>
      <c r="M222" s="7" t="str">
        <v>FORESTRY(SCIE)</v>
      </c>
      <c r="N222" s="7" t="str">
        <v>公开汇编已匹配</v>
      </c>
      <c r="O222" s="7" t="str"/>
      <c r="P222" s="15" t="str">
        <v>JIF来源</v>
      </c>
      <c r="Q222" s="15" t="str">
        <v>分区来源</v>
      </c>
      <c r="R222" s="15" t="str"/>
      <c r="S222" s="14" t="str">
        <v>https://link.springer.com/journal/11056</v>
      </c>
      <c r="T222" s="7" t="str">
        <v>ISSN匹配公开元数据；未逐站复核</v>
      </c>
      <c r="U222" s="2" t="str">
        <v>官网来源</v>
      </c>
      <c r="V222" s="2" t="n">
        <v>2026</v>
      </c>
    </row>
    <row r="223" ht="34" customHeight="1">
      <c r="A223" s="7" t="str">
        <v>HOLZFORSCHUNG</v>
      </c>
      <c r="B223" s="7" t="str">
        <v>林业木材与草业</v>
      </c>
      <c r="C223" s="11" t="n">
        <v>3</v>
      </c>
      <c r="D223" s="12" t="n">
        <v>1.9</v>
      </c>
      <c r="E223" s="13" t="n">
        <v>2025</v>
      </c>
      <c r="F223" s="7" t="str">
        <v>其他</v>
      </c>
      <c r="G223" s="7" t="str">
        <v>经典专业刊</v>
      </c>
      <c r="H223" s="7" t="str">
        <v>研究/方法/综合</v>
      </c>
      <c r="I223" s="10" t="n">
        <v>2025</v>
      </c>
      <c r="J223" s="2" t="str">
        <v>否</v>
      </c>
      <c r="K223" s="2" t="str">
        <v>0018-3830</v>
      </c>
      <c r="L223" s="2" t="str">
        <v>1437-434X</v>
      </c>
      <c r="M223" s="7" t="str">
        <v>FORESTRY(SCIE);MATERIALS SCIENCE, PAPER &amp; WOOD(SCIE)</v>
      </c>
      <c r="N223" s="7" t="str">
        <v>两份公开汇编一致</v>
      </c>
      <c r="O223" s="7" t="str"/>
      <c r="P223" s="15" t="str">
        <v>JIF来源</v>
      </c>
      <c r="Q223" s="15" t="str">
        <v>分区来源</v>
      </c>
      <c r="R223" s="15" t="str"/>
      <c r="S223" s="14" t="str">
        <v>http://www.degruyter.com/view/j/hfsg</v>
      </c>
      <c r="T223" s="7" t="str">
        <v>ISSN匹配公开元数据；未逐站复核</v>
      </c>
      <c r="U223" s="2" t="str">
        <v>官网来源</v>
      </c>
      <c r="V223" s="2" t="n">
        <v>2026</v>
      </c>
    </row>
    <row r="224" ht="34" customHeight="1">
      <c r="A224" s="7" t="str">
        <v>CANADIAN JOURNAL OF FOREST RESEARCH</v>
      </c>
      <c r="B224" s="7" t="str">
        <v>林业木材与草业</v>
      </c>
      <c r="C224" s="11" t="n">
        <v>3</v>
      </c>
      <c r="D224" s="12" t="n">
        <v>2.3</v>
      </c>
      <c r="E224" s="13" t="n">
        <v>2025</v>
      </c>
      <c r="F224" s="7" t="str">
        <v>其他</v>
      </c>
      <c r="G224" s="7" t="str">
        <v>经典专业刊</v>
      </c>
      <c r="H224" s="7" t="str">
        <v>研究/方法/综合</v>
      </c>
      <c r="I224" s="10" t="n">
        <v>2025</v>
      </c>
      <c r="J224" s="2" t="str">
        <v>否</v>
      </c>
      <c r="K224" s="2" t="str">
        <v>0045-5067</v>
      </c>
      <c r="L224" s="2" t="str">
        <v>1208-6037</v>
      </c>
      <c r="M224" s="7" t="str">
        <v>FORESTRY(SCIE)</v>
      </c>
      <c r="N224" s="7" t="str">
        <v>两份公开汇编一致</v>
      </c>
      <c r="O224" s="7" t="str"/>
      <c r="P224" s="15" t="str">
        <v>JIF来源</v>
      </c>
      <c r="Q224" s="15" t="str">
        <v>分区来源</v>
      </c>
      <c r="R224" s="15" t="str"/>
      <c r="S224" s="14" t="str">
        <v>http://www.nrcresearchpress.com/journal/cjfr</v>
      </c>
      <c r="T224" s="7" t="str">
        <v>ISSN匹配公开元数据；未逐站复核</v>
      </c>
      <c r="U224" s="2" t="str">
        <v>官网来源</v>
      </c>
      <c r="V224" s="2" t="n">
        <v>2026</v>
      </c>
    </row>
    <row r="225" ht="34" customHeight="1">
      <c r="A225" s="7" t="str">
        <v>SCANDINAVIAN JOURNAL OF FOREST RESEARCH</v>
      </c>
      <c r="B225" s="7" t="str">
        <v>林业木材与草业</v>
      </c>
      <c r="C225" s="11" t="n">
        <v>3</v>
      </c>
      <c r="D225" s="12" t="n">
        <v>1.8</v>
      </c>
      <c r="E225" s="13" t="n">
        <v>2025</v>
      </c>
      <c r="F225" s="7" t="str">
        <v>其他</v>
      </c>
      <c r="G225" s="7" t="str">
        <v>领域期刊/新兴刊</v>
      </c>
      <c r="H225" s="7" t="str">
        <v>研究/方法/综合</v>
      </c>
      <c r="I225" s="10" t="n">
        <v>2025</v>
      </c>
      <c r="J225" s="2" t="str">
        <v>否</v>
      </c>
      <c r="K225" s="2" t="str">
        <v>0282-7581</v>
      </c>
      <c r="L225" s="2" t="str">
        <v>1651-1891</v>
      </c>
      <c r="M225" s="7" t="str">
        <v>FORESTRY(SCIE)</v>
      </c>
      <c r="N225" s="7" t="str">
        <v>公开汇编已匹配</v>
      </c>
      <c r="O225" s="7" t="str"/>
      <c r="P225" s="15" t="str">
        <v>JIF来源</v>
      </c>
      <c r="Q225" s="15" t="str">
        <v>分区来源</v>
      </c>
      <c r="R225" s="15" t="str"/>
      <c r="S225" s="14" t="str">
        <v>https://www.tandfonline.com/toc/sfor20/current</v>
      </c>
      <c r="T225" s="7" t="str">
        <v>ISSN匹配公开元数据；未逐站复核</v>
      </c>
      <c r="U225" s="2" t="str">
        <v>官网来源</v>
      </c>
      <c r="V225" s="2" t="n">
        <v>2026</v>
      </c>
    </row>
    <row r="226" ht="34" customHeight="1">
      <c r="A226" s="7" t="str">
        <v>SILVA FENNICA</v>
      </c>
      <c r="B226" s="7" t="str">
        <v>林业木材与草业</v>
      </c>
      <c r="C226" s="11" t="n">
        <v>4</v>
      </c>
      <c r="D226" s="12" t="n">
        <v>2.1</v>
      </c>
      <c r="E226" s="13" t="n">
        <v>2025</v>
      </c>
      <c r="F226" s="7" t="str">
        <v>其他</v>
      </c>
      <c r="G226" s="7" t="str">
        <v>领域期刊/新兴刊</v>
      </c>
      <c r="H226" s="7" t="str">
        <v>研究/方法/综合</v>
      </c>
      <c r="I226" s="10" t="n">
        <v>2025</v>
      </c>
      <c r="J226" s="2" t="str">
        <v>否</v>
      </c>
      <c r="K226" s="2" t="str">
        <v>0037-5330</v>
      </c>
      <c r="L226" s="2" t="str">
        <v>2242-4075</v>
      </c>
      <c r="M226" s="7" t="str">
        <v>FORESTRY(SCIE)</v>
      </c>
      <c r="N226" s="7" t="str">
        <v>两份公开汇编一致</v>
      </c>
      <c r="O226" s="7" t="str"/>
      <c r="P226" s="15" t="str">
        <v>JIF来源</v>
      </c>
      <c r="Q226" s="15" t="str">
        <v>分区来源</v>
      </c>
      <c r="R226" s="15" t="str"/>
      <c r="S226" s="14" t="str">
        <v>http://www.silvafennica.fi</v>
      </c>
      <c r="T226" s="7" t="str">
        <v>ISSN匹配公开元数据；未逐站复核</v>
      </c>
      <c r="U226" s="2" t="str">
        <v>官网来源</v>
      </c>
      <c r="V226" s="2" t="n">
        <v>2026</v>
      </c>
    </row>
    <row r="227" ht="34" customHeight="1">
      <c r="A227" s="7" t="str">
        <v>iForest-Biogeosciences and Forestry</v>
      </c>
      <c r="B227" s="7" t="str">
        <v>林业木材与草业</v>
      </c>
      <c r="C227" s="11" t="n">
        <v>4</v>
      </c>
      <c r="D227" s="12" t="n">
        <v>2</v>
      </c>
      <c r="E227" s="13" t="n">
        <v>2025</v>
      </c>
      <c r="F227" s="7" t="str">
        <v>其他</v>
      </c>
      <c r="G227" s="7" t="str">
        <v>领域期刊/新兴刊</v>
      </c>
      <c r="H227" s="7" t="str">
        <v>研究/方法/综合</v>
      </c>
      <c r="I227" s="10" t="n">
        <v>2025</v>
      </c>
      <c r="J227" s="2" t="str">
        <v>否</v>
      </c>
      <c r="K227" s="2" t="str">
        <v>1971-7458</v>
      </c>
      <c r="L227" s="2" t="str">
        <v>1971-7458</v>
      </c>
      <c r="M227" s="7" t="str">
        <v>FORESTRY(SCIE)</v>
      </c>
      <c r="N227" s="7" t="str">
        <v>两份公开汇编一致</v>
      </c>
      <c r="O227" s="7" t="str"/>
      <c r="P227" s="15" t="str">
        <v>JIF来源</v>
      </c>
      <c r="Q227" s="15" t="str">
        <v>分区来源</v>
      </c>
      <c r="R227" s="15" t="str"/>
      <c r="S227" s="14" t="str">
        <v>http://www.sisef.it/iforest</v>
      </c>
      <c r="T227" s="7" t="str">
        <v>ISSN匹配公开元数据；未逐站复核</v>
      </c>
      <c r="U227" s="2" t="str">
        <v>官网来源</v>
      </c>
      <c r="V227" s="2" t="n">
        <v>2026</v>
      </c>
    </row>
    <row r="228" ht="34" customHeight="1">
      <c r="A228" s="7" t="str">
        <v>BioResources</v>
      </c>
      <c r="B228" s="7" t="str">
        <v>林业木材与草业</v>
      </c>
      <c r="C228" s="11" t="n">
        <v>4</v>
      </c>
      <c r="D228" s="12" t="n">
        <v>2.2</v>
      </c>
      <c r="E228" s="13" t="n">
        <v>2025</v>
      </c>
      <c r="F228" s="7" t="str">
        <v>其他</v>
      </c>
      <c r="G228" s="7" t="str">
        <v>领域期刊/新兴刊</v>
      </c>
      <c r="H228" s="7" t="str">
        <v>研究/方法/综合</v>
      </c>
      <c r="I228" s="10" t="n">
        <v>2025</v>
      </c>
      <c r="J228" s="2" t="str">
        <v>否</v>
      </c>
      <c r="K228" s="2" t="str">
        <v>1930-2126</v>
      </c>
      <c r="L228" s="2" t="str">
        <v>1930-2126</v>
      </c>
      <c r="M228" s="7" t="str">
        <v>MATERIALS SCIENCE, PAPER &amp; WOOD(SCIE)</v>
      </c>
      <c r="N228" s="7" t="str">
        <v>两份公开汇编一致</v>
      </c>
      <c r="O228" s="7" t="str"/>
      <c r="P228" s="15" t="str">
        <v>JIF来源</v>
      </c>
      <c r="Q228" s="15" t="str">
        <v>分区来源</v>
      </c>
      <c r="R228" s="15" t="str"/>
      <c r="S228" s="14" t="str">
        <v>https://bioresources.cnr.ncsu.edu/</v>
      </c>
      <c r="T228" s="7" t="str">
        <v>ISSN匹配公开元数据；未逐站复核</v>
      </c>
      <c r="U228" s="2" t="str">
        <v>官网来源</v>
      </c>
      <c r="V228" s="2" t="n">
        <v>2026</v>
      </c>
    </row>
    <row r="229" ht="34" customHeight="1">
      <c r="A229" s="7" t="str">
        <v>FOREST SCIENCE</v>
      </c>
      <c r="B229" s="7" t="str">
        <v>林业木材与草业</v>
      </c>
      <c r="C229" s="11" t="n">
        <v>4</v>
      </c>
      <c r="D229" s="12" t="n">
        <v>2.2</v>
      </c>
      <c r="E229" s="13" t="n">
        <v>2025</v>
      </c>
      <c r="F229" s="7" t="str">
        <v>其他</v>
      </c>
      <c r="G229" s="7" t="str">
        <v>经典专业刊</v>
      </c>
      <c r="H229" s="7" t="str">
        <v>研究/方法/综合</v>
      </c>
      <c r="I229" s="10" t="n">
        <v>2025</v>
      </c>
      <c r="J229" s="2" t="str">
        <v>否</v>
      </c>
      <c r="K229" s="2" t="str">
        <v>0015-749X</v>
      </c>
      <c r="L229" s="2" t="str">
        <v>1938-3738</v>
      </c>
      <c r="M229" s="7" t="str">
        <v>FORESTRY(SCIE)</v>
      </c>
      <c r="N229" s="7" t="str">
        <v>公开汇编已匹配</v>
      </c>
      <c r="O229" s="7" t="str"/>
      <c r="P229" s="15" t="str">
        <v>JIF来源</v>
      </c>
      <c r="Q229" s="15" t="str">
        <v>分区来源</v>
      </c>
      <c r="R229" s="15" t="str"/>
      <c r="S229" s="14" t="str">
        <v>https://academic.oup.com/forestscience</v>
      </c>
      <c r="T229" s="7" t="str">
        <v>ISSN匹配公开元数据；未逐站复核</v>
      </c>
      <c r="U229" s="2" t="str">
        <v>官网来源</v>
      </c>
      <c r="V229" s="2" t="n">
        <v>2026</v>
      </c>
    </row>
    <row r="230" ht="34" customHeight="1">
      <c r="A230" s="7" t="str">
        <v>FOREST PRODUCTS JOURNAL</v>
      </c>
      <c r="B230" s="7" t="str">
        <v>林业木材与草业</v>
      </c>
      <c r="C230" s="11" t="n">
        <v>4</v>
      </c>
      <c r="D230" s="12" t="n">
        <v>1.7</v>
      </c>
      <c r="E230" s="13" t="n">
        <v>2025</v>
      </c>
      <c r="F230" s="7" t="str">
        <v>其他</v>
      </c>
      <c r="G230" s="7" t="str">
        <v>领域期刊/新兴刊</v>
      </c>
      <c r="H230" s="7" t="str">
        <v>研究/方法/综合</v>
      </c>
      <c r="I230" s="10" t="n">
        <v>2025</v>
      </c>
      <c r="J230" s="2" t="str">
        <v>否</v>
      </c>
      <c r="K230" s="2" t="str">
        <v>0015-7473</v>
      </c>
      <c r="L230" s="2" t="str">
        <v>0015-7473</v>
      </c>
      <c r="M230" s="7" t="str">
        <v>FORESTRY(SCIE);MATERIALS SCIENCE, PAPER &amp; WOOD(SCIE)</v>
      </c>
      <c r="N230" s="7" t="str">
        <v>公开汇编已匹配</v>
      </c>
      <c r="O230" s="7" t="str"/>
      <c r="P230" s="15" t="str">
        <v>JIF来源</v>
      </c>
      <c r="Q230" s="15" t="str">
        <v>分区来源</v>
      </c>
      <c r="R230" s="15" t="str"/>
      <c r="S230" s="14" t="str">
        <v>https://meridian.allenpress.com/fpj</v>
      </c>
      <c r="T230" s="7" t="str">
        <v>出版社/期刊主页匹配</v>
      </c>
      <c r="U230" s="2" t="str">
        <v>官网来源</v>
      </c>
      <c r="V230" s="2" t="n">
        <v>2026</v>
      </c>
    </row>
    <row r="231" ht="34" customHeight="1">
      <c r="A231" s="7" t="str">
        <v>GRASSLAND SCIENCE</v>
      </c>
      <c r="B231" s="7" t="str">
        <v>林业木材与草业</v>
      </c>
      <c r="C231" s="11" t="n">
        <v>4</v>
      </c>
      <c r="D231" s="12" t="n">
        <v>1.2</v>
      </c>
      <c r="E231" s="13" t="n">
        <v>2025</v>
      </c>
      <c r="F231" s="7" t="str">
        <v>其他</v>
      </c>
      <c r="G231" s="7" t="str">
        <v>领域期刊/新兴刊</v>
      </c>
      <c r="H231" s="7" t="str">
        <v>研究/方法/综合</v>
      </c>
      <c r="I231" s="10" t="n">
        <v>2025</v>
      </c>
      <c r="J231" s="2" t="str">
        <v>否</v>
      </c>
      <c r="K231" s="2" t="str">
        <v>1744-6961</v>
      </c>
      <c r="L231" s="2" t="str">
        <v>1744-697X</v>
      </c>
      <c r="M231" s="7" t="str">
        <v>AGRICULTURE, MULTIDISCIPLINARY(SCIE);AGRONOMY(SCIE)</v>
      </c>
      <c r="N231" s="7" t="str">
        <v>公开汇编已匹配</v>
      </c>
      <c r="O231" s="7" t="str"/>
      <c r="P231" s="15" t="str">
        <v>JIF来源</v>
      </c>
      <c r="Q231" s="15" t="str">
        <v>分区来源</v>
      </c>
      <c r="R231" s="15" t="str"/>
      <c r="S231" s="14" t="str">
        <v>https://onlinelibrary.wiley.com/journal/1744697X</v>
      </c>
      <c r="T231" s="7" t="str">
        <v>ISSN匹配公开元数据；未逐站复核</v>
      </c>
      <c r="U231" s="2" t="str">
        <v>官网来源</v>
      </c>
      <c r="V231" s="2" t="n">
        <v>2026</v>
      </c>
    </row>
    <row r="232" ht="34" customHeight="1">
      <c r="A232" s="7" t="str">
        <v>SILVAE GENETICA</v>
      </c>
      <c r="B232" s="7" t="str">
        <v>林业木材与草业</v>
      </c>
      <c r="C232" s="11" t="n">
        <v>4</v>
      </c>
      <c r="D232" s="12" t="n">
        <v>1</v>
      </c>
      <c r="E232" s="13" t="n">
        <v>2025</v>
      </c>
      <c r="F232" s="7" t="str">
        <v>其他</v>
      </c>
      <c r="G232" s="7" t="str">
        <v>领域期刊/新兴刊</v>
      </c>
      <c r="H232" s="7" t="str">
        <v>研究/方法/综合</v>
      </c>
      <c r="I232" s="10" t="n">
        <v>2025</v>
      </c>
      <c r="J232" s="2" t="str">
        <v>否</v>
      </c>
      <c r="K232" s="2" t="str">
        <v>0037-5349</v>
      </c>
      <c r="L232" s="2" t="str">
        <v>2509-8934</v>
      </c>
      <c r="M232" s="7" t="str">
        <v>FORESTRY(SCIE);GENETICS &amp; HEREDITY(SCIE)</v>
      </c>
      <c r="N232" s="7" t="str">
        <v>公开汇编已匹配</v>
      </c>
      <c r="O232" s="7" t="str"/>
      <c r="P232" s="15" t="str">
        <v>JIF来源</v>
      </c>
      <c r="Q232" s="15" t="str">
        <v>分区来源</v>
      </c>
      <c r="R232" s="15" t="str"/>
      <c r="S232" s="14" t="str">
        <v>https://content.sciendo.com/view/journals/sg/sg-overview.xml</v>
      </c>
      <c r="T232" s="7" t="str">
        <v>ISSN匹配公开元数据；未逐站复核</v>
      </c>
      <c r="U232" s="2" t="str">
        <v>官网来源</v>
      </c>
      <c r="V232" s="2" t="n">
        <v>2026</v>
      </c>
    </row>
    <row r="233" ht="34" customHeight="1">
      <c r="A233" s="7" t="str">
        <v>WOOD RESEARCH</v>
      </c>
      <c r="B233" s="7" t="str">
        <v>林业木材与草业</v>
      </c>
      <c r="C233" s="11" t="n">
        <v>4</v>
      </c>
      <c r="D233" s="12" t="n">
        <v>1</v>
      </c>
      <c r="E233" s="13" t="n">
        <v>2025</v>
      </c>
      <c r="F233" s="7" t="str">
        <v>其他</v>
      </c>
      <c r="G233" s="7" t="str">
        <v>领域期刊/新兴刊</v>
      </c>
      <c r="H233" s="7" t="str">
        <v>研究/方法/综合</v>
      </c>
      <c r="I233" s="10" t="n">
        <v>2025</v>
      </c>
      <c r="J233" s="2" t="str">
        <v>否</v>
      </c>
      <c r="K233" s="2" t="str">
        <v>1336-4561</v>
      </c>
      <c r="L233" s="2" t="str"/>
      <c r="M233" s="7" t="str">
        <v>MATERIALS SCIENCE, PAPER &amp; WOOD(SCIE)</v>
      </c>
      <c r="N233" s="7" t="str">
        <v>公开汇编已匹配</v>
      </c>
      <c r="O233" s="7" t="str"/>
      <c r="P233" s="15" t="str">
        <v>JIF来源</v>
      </c>
      <c r="Q233" s="15" t="str">
        <v>分区来源</v>
      </c>
      <c r="R233" s="15" t="str"/>
      <c r="S233" s="14" t="str">
        <v>http://www.woodresearch.sk/cms/</v>
      </c>
      <c r="T233" s="7" t="str">
        <v>出版社/期刊主页匹配</v>
      </c>
      <c r="U233" s="2" t="str">
        <v>官网来源</v>
      </c>
      <c r="V233" s="2" t="n">
        <v>2026</v>
      </c>
    </row>
    <row r="234" ht="34" customHeight="1">
      <c r="A234" s="7" t="str">
        <v>RANGELAND JOURNAL</v>
      </c>
      <c r="B234" s="7" t="str">
        <v>林业木材与草业</v>
      </c>
      <c r="C234" s="11" t="n">
        <v>4</v>
      </c>
      <c r="D234" s="12"/>
      <c r="E234" s="13" t="n">
        <v>2025</v>
      </c>
      <c r="F234" s="7" t="str">
        <v>其他</v>
      </c>
      <c r="G234" s="7" t="str">
        <v>领域期刊/新兴刊</v>
      </c>
      <c r="H234" s="7" t="str">
        <v>研究/方法/综合</v>
      </c>
      <c r="I234" s="10" t="n">
        <v>2025</v>
      </c>
      <c r="J234" s="2" t="str">
        <v>否</v>
      </c>
      <c r="K234" s="2" t="str">
        <v>1036-9872</v>
      </c>
      <c r="L234" s="2" t="str">
        <v>1834-7541</v>
      </c>
      <c r="M234" s="7" t="str">
        <v>ECOLOGY(SCIE)</v>
      </c>
      <c r="N234" s="7" t="str">
        <v>2025 JIF未检得/未给值</v>
      </c>
      <c r="O234" s="7" t="str">
        <v>所用2026发布来源未检得2025 JIF数值；未沿用往年指标。</v>
      </c>
      <c r="P234" s="15" t="str">
        <v>JIF来源</v>
      </c>
      <c r="Q234" s="15" t="str">
        <v>分区来源</v>
      </c>
      <c r="R234" s="15" t="str"/>
      <c r="S234" s="14" t="str">
        <v>https://www.publish.csiro.au/rj</v>
      </c>
      <c r="T234" s="7" t="str">
        <v>ISSN匹配公开元数据；未逐站复核</v>
      </c>
      <c r="U234" s="2" t="str">
        <v>官网来源</v>
      </c>
      <c r="V234" s="2" t="n">
        <v>2026</v>
      </c>
    </row>
    <row r="235" ht="34" customHeight="1">
      <c r="A235" s="7" t="str">
        <v>WOOD AND FIBER SCIENCE</v>
      </c>
      <c r="B235" s="7" t="str">
        <v>林业木材与草业</v>
      </c>
      <c r="C235" s="11" t="n">
        <v>4</v>
      </c>
      <c r="D235" s="12" t="n">
        <v>1.3</v>
      </c>
      <c r="E235" s="13" t="n">
        <v>2025</v>
      </c>
      <c r="F235" s="7" t="str">
        <v>其他</v>
      </c>
      <c r="G235" s="7" t="str">
        <v>领域期刊/新兴刊</v>
      </c>
      <c r="H235" s="7" t="str">
        <v>研究/方法/综合</v>
      </c>
      <c r="I235" s="10" t="n">
        <v>2025</v>
      </c>
      <c r="J235" s="2" t="str">
        <v>否</v>
      </c>
      <c r="K235" s="2" t="str">
        <v>0735-6161</v>
      </c>
      <c r="L235" s="2" t="str">
        <v>0735-6161</v>
      </c>
      <c r="M235" s="7" t="str">
        <v>FORESTRY(SCIE);MATERIALS SCIENCE, PAPER &amp; WOOD(SCIE);MATERIALS SCIENCE, TEXTILES(SCIE)</v>
      </c>
      <c r="N235" s="7" t="str">
        <v>公开汇编已匹配</v>
      </c>
      <c r="O235" s="7" t="str"/>
      <c r="P235" s="15" t="str">
        <v>JIF来源</v>
      </c>
      <c r="Q235" s="15" t="str">
        <v>分区来源</v>
      </c>
      <c r="R235" s="15" t="str"/>
      <c r="S235" s="14" t="str">
        <v>https://wfs.swst.org/index.php/wfs</v>
      </c>
      <c r="T235" s="7" t="str">
        <v>ISSN匹配公开元数据；未逐站复核</v>
      </c>
      <c r="U235" s="2" t="str">
        <v>官网来源</v>
      </c>
      <c r="V235" s="2" t="n">
        <v>2026</v>
      </c>
    </row>
    <row r="236" ht="34" customHeight="1">
      <c r="A236" s="7" t="str">
        <v>Grassland Research</v>
      </c>
      <c r="B236" s="7" t="str">
        <v>林业木材与草业</v>
      </c>
      <c r="C236" s="11"/>
      <c r="D236" s="12" t="n">
        <v>2.8</v>
      </c>
      <c r="E236" s="13" t="n">
        <v>2025</v>
      </c>
      <c r="F236" s="7" t="str">
        <v>其他</v>
      </c>
      <c r="G236" s="7" t="str">
        <v>领域期刊/新兴刊</v>
      </c>
      <c r="H236" s="7" t="str">
        <v>研究/方法/综合</v>
      </c>
      <c r="I236" s="10" t="n">
        <v>2025</v>
      </c>
      <c r="J236" s="2" t="str">
        <v>未检得</v>
      </c>
      <c r="K236" s="2" t="str">
        <v>2097-051X</v>
      </c>
      <c r="L236" s="2" t="str">
        <v>2770-1743</v>
      </c>
      <c r="M236" s="7" t="str">
        <v>AGRONOMY(ESCI);PLANT SCIENCES(ESCI)</v>
      </c>
      <c r="N236" s="7" t="str">
        <v>两份公开汇编一致</v>
      </c>
      <c r="O236" s="7" t="str"/>
      <c r="P236" s="15" t="str">
        <v>JIF来源</v>
      </c>
      <c r="Q236" s="15" t="str"/>
      <c r="R236" s="15" t="str"/>
      <c r="S236" s="14" t="str">
        <v>https://onlinelibrary.wiley.com/journal/27701743</v>
      </c>
      <c r="T236" s="7" t="str">
        <v>出版社/期刊主页匹配</v>
      </c>
      <c r="U236" s="2" t="str">
        <v>官网来源</v>
      </c>
      <c r="V236" s="2" t="n">
        <v>2026</v>
      </c>
    </row>
    <row r="237" ht="34" customHeight="1">
      <c r="A237" s="7" t="str">
        <v>Animal Nutrition</v>
      </c>
      <c r="B237" s="7" t="str">
        <v>畜牧动物营养与繁殖</v>
      </c>
      <c r="C237" s="11" t="n">
        <v>1</v>
      </c>
      <c r="D237" s="12" t="n">
        <v>8.3</v>
      </c>
      <c r="E237" s="13" t="n">
        <v>2025</v>
      </c>
      <c r="F237" s="7" t="str">
        <v>其他</v>
      </c>
      <c r="G237" s="7" t="str">
        <v>领域期刊/新兴刊</v>
      </c>
      <c r="H237" s="7" t="str">
        <v>研究/方法/综合</v>
      </c>
      <c r="I237" s="10" t="n">
        <v>2025</v>
      </c>
      <c r="J237" s="2" t="str">
        <v>是</v>
      </c>
      <c r="K237" s="2" t="str">
        <v>2405-6383</v>
      </c>
      <c r="L237" s="2" t="str">
        <v>2405-6545</v>
      </c>
      <c r="M237" s="7" t="str">
        <v>AGRICULTURE, DAIRY &amp; ANIMAL SCIENCE(SCIE);VETERINARY SCIENCES(SCIE)</v>
      </c>
      <c r="N237" s="7" t="str">
        <v>两份公开汇编一致</v>
      </c>
      <c r="O237" s="7" t="str"/>
      <c r="P237" s="15" t="str">
        <v>JIF来源</v>
      </c>
      <c r="Q237" s="15" t="str">
        <v>分区来源</v>
      </c>
      <c r="R237" s="15" t="str"/>
      <c r="S237" s="14" t="str">
        <v>http://www.sciencedirect.com/science/journal/24056545</v>
      </c>
      <c r="T237" s="7" t="str">
        <v>ISSN匹配公开元数据；未逐站复核</v>
      </c>
      <c r="U237" s="2" t="str">
        <v>官网来源</v>
      </c>
      <c r="V237" s="2" t="n">
        <v>2026</v>
      </c>
    </row>
    <row r="238" ht="34" customHeight="1">
      <c r="A238" s="7" t="str">
        <v>Journal of Animal Science and Biotechnology</v>
      </c>
      <c r="B238" s="7" t="str">
        <v>畜牧动物营养与繁殖</v>
      </c>
      <c r="C238" s="11" t="n">
        <v>1</v>
      </c>
      <c r="D238" s="12" t="n">
        <v>7.9</v>
      </c>
      <c r="E238" s="13" t="n">
        <v>2025</v>
      </c>
      <c r="F238" s="7" t="str">
        <v>其他</v>
      </c>
      <c r="G238" s="7" t="str">
        <v>领域期刊/新兴刊</v>
      </c>
      <c r="H238" s="7" t="str">
        <v>研究/方法/综合</v>
      </c>
      <c r="I238" s="10" t="n">
        <v>2025</v>
      </c>
      <c r="J238" s="2" t="str">
        <v>是</v>
      </c>
      <c r="K238" s="2" t="str">
        <v>1674-9782</v>
      </c>
      <c r="L238" s="2" t="str">
        <v>2049-1891</v>
      </c>
      <c r="M238" s="7" t="str">
        <v>AGRICULTURE, DAIRY &amp; ANIMAL SCIENCE(SCIE)</v>
      </c>
      <c r="N238" s="7" t="str">
        <v>两份公开汇编一致</v>
      </c>
      <c r="O238" s="7" t="str"/>
      <c r="P238" s="15" t="str">
        <v>JIF来源</v>
      </c>
      <c r="Q238" s="15" t="str">
        <v>分区来源</v>
      </c>
      <c r="R238" s="15" t="str"/>
      <c r="S238" s="14" t="str">
        <v>https://jasbsci.biomedcentral.com/</v>
      </c>
      <c r="T238" s="7" t="str">
        <v>ISSN匹配公开元数据；未逐站复核</v>
      </c>
      <c r="U238" s="2" t="str">
        <v>官网来源</v>
      </c>
      <c r="V238" s="2" t="n">
        <v>2026</v>
      </c>
    </row>
    <row r="239" ht="34" customHeight="1">
      <c r="A239" s="7" t="str">
        <v>MEAT SCIENCE</v>
      </c>
      <c r="B239" s="7" t="str">
        <v>畜牧动物营养与繁殖</v>
      </c>
      <c r="C239" s="11" t="n">
        <v>1</v>
      </c>
      <c r="D239" s="12" t="n">
        <v>6.4</v>
      </c>
      <c r="E239" s="13" t="n">
        <v>2025</v>
      </c>
      <c r="F239" s="7" t="str">
        <v>其他</v>
      </c>
      <c r="G239" s="7" t="str">
        <v>经典专业刊</v>
      </c>
      <c r="H239" s="7" t="str">
        <v>研究/方法/综合</v>
      </c>
      <c r="I239" s="10" t="n">
        <v>2025</v>
      </c>
      <c r="J239" s="2" t="str">
        <v>是</v>
      </c>
      <c r="K239" s="2" t="str">
        <v>0309-1740</v>
      </c>
      <c r="L239" s="2" t="str">
        <v>1873-4138</v>
      </c>
      <c r="M239" s="7" t="str">
        <v>FOOD SCIENCE &amp; TECHNOLOGY(SCIE)</v>
      </c>
      <c r="N239" s="7" t="str">
        <v>两份公开汇编一致</v>
      </c>
      <c r="O239" s="7" t="str"/>
      <c r="P239" s="15" t="str">
        <v>JIF来源</v>
      </c>
      <c r="Q239" s="15" t="str">
        <v>分区来源</v>
      </c>
      <c r="R239" s="15" t="str"/>
      <c r="S239" s="14" t="str">
        <v>https://www.journals.elsevier.com/meat-science</v>
      </c>
      <c r="T239" s="7" t="str">
        <v>ISSN匹配公开元数据；未逐站复核</v>
      </c>
      <c r="U239" s="2" t="str">
        <v>官网来源</v>
      </c>
      <c r="V239" s="2" t="n">
        <v>2026</v>
      </c>
    </row>
    <row r="240" ht="34" customHeight="1">
      <c r="A240" s="7" t="str">
        <v>JOURNAL OF DAIRY SCIENCE</v>
      </c>
      <c r="B240" s="7" t="str">
        <v>畜牧动物营养与繁殖</v>
      </c>
      <c r="C240" s="11" t="n">
        <v>1</v>
      </c>
      <c r="D240" s="12" t="n">
        <v>4.7</v>
      </c>
      <c r="E240" s="13" t="n">
        <v>2025</v>
      </c>
      <c r="F240" s="7" t="str">
        <v>其他</v>
      </c>
      <c r="G240" s="7" t="str">
        <v>经典专业刊</v>
      </c>
      <c r="H240" s="7" t="str">
        <v>研究/方法/综合</v>
      </c>
      <c r="I240" s="10" t="n">
        <v>2025</v>
      </c>
      <c r="J240" s="2" t="str">
        <v>是</v>
      </c>
      <c r="K240" s="2" t="str">
        <v>0022-0302</v>
      </c>
      <c r="L240" s="2" t="str">
        <v>1525-3198</v>
      </c>
      <c r="M240" s="7" t="str">
        <v>AGRICULTURE, DAIRY &amp; ANIMAL SCIENCE(SCIE);FOOD SCIENCE &amp; TECHNOLOGY(SCIE)</v>
      </c>
      <c r="N240" s="7" t="str">
        <v>两份公开汇编一致</v>
      </c>
      <c r="O240" s="7" t="str"/>
      <c r="P240" s="15" t="str">
        <v>JIF来源</v>
      </c>
      <c r="Q240" s="15" t="str">
        <v>分区来源</v>
      </c>
      <c r="R240" s="15" t="str"/>
      <c r="S240" s="14" t="str">
        <v>https://www.journals.elsevier.com/journal-of-dairy-science</v>
      </c>
      <c r="T240" s="7" t="str">
        <v>ISSN匹配公开元数据；未逐站复核</v>
      </c>
      <c r="U240" s="2" t="str">
        <v>官网来源</v>
      </c>
      <c r="V240" s="2" t="n">
        <v>2026</v>
      </c>
    </row>
    <row r="241" ht="34" customHeight="1">
      <c r="A241" s="7" t="str">
        <v>Animal</v>
      </c>
      <c r="B241" s="7" t="str">
        <v>畜牧动物营养与繁殖</v>
      </c>
      <c r="C241" s="11" t="n">
        <v>1</v>
      </c>
      <c r="D241" s="12" t="n">
        <v>4.1</v>
      </c>
      <c r="E241" s="13" t="n">
        <v>2025</v>
      </c>
      <c r="F241" s="7" t="str">
        <v>其他</v>
      </c>
      <c r="G241" s="7" t="str">
        <v>领域期刊/新兴刊</v>
      </c>
      <c r="H241" s="7" t="str">
        <v>研究/方法/综合</v>
      </c>
      <c r="I241" s="10" t="n">
        <v>2025</v>
      </c>
      <c r="J241" s="2" t="str">
        <v>是</v>
      </c>
      <c r="K241" s="2" t="str">
        <v>1751-7311</v>
      </c>
      <c r="L241" s="2" t="str">
        <v>1751-732X</v>
      </c>
      <c r="M241" s="7" t="str">
        <v>AGRICULTURE, DAIRY &amp; ANIMAL SCIENCE(SCIE);VETERINARY SCIENCES(SCIE)</v>
      </c>
      <c r="N241" s="7" t="str">
        <v>两份公开汇编一致</v>
      </c>
      <c r="O241" s="7" t="str"/>
      <c r="P241" s="15" t="str">
        <v>JIF来源</v>
      </c>
      <c r="Q241" s="15" t="str">
        <v>分区来源</v>
      </c>
      <c r="R241" s="15" t="str"/>
      <c r="S241" s="14" t="str">
        <v>https://www.journals.elsevier.com/animal</v>
      </c>
      <c r="T241" s="7" t="str">
        <v>ISSN匹配公开元数据；未逐站复核</v>
      </c>
      <c r="U241" s="2" t="str">
        <v>官网来源</v>
      </c>
      <c r="V241" s="2" t="n">
        <v>2026</v>
      </c>
    </row>
    <row r="242" ht="34" customHeight="1">
      <c r="A242" s="7" t="str">
        <v>GENETICS SELECTION EVOLUTION</v>
      </c>
      <c r="B242" s="7" t="str">
        <v>畜牧动物营养与繁殖</v>
      </c>
      <c r="C242" s="11" t="n">
        <v>1</v>
      </c>
      <c r="D242" s="12" t="n">
        <v>4.4</v>
      </c>
      <c r="E242" s="13" t="n">
        <v>2025</v>
      </c>
      <c r="F242" s="7" t="str">
        <v>其他</v>
      </c>
      <c r="G242" s="7" t="str">
        <v>领域期刊/新兴刊</v>
      </c>
      <c r="H242" s="7" t="str">
        <v>研究/方法/综合</v>
      </c>
      <c r="I242" s="10" t="n">
        <v>2025</v>
      </c>
      <c r="J242" s="2" t="str">
        <v>是</v>
      </c>
      <c r="K242" s="2" t="str">
        <v>0999-193X</v>
      </c>
      <c r="L242" s="2" t="str">
        <v>1297-9686</v>
      </c>
      <c r="M242" s="7" t="str">
        <v>AGRICULTURE, DAIRY &amp; ANIMAL SCIENCE(SCIE);GENETICS &amp; HEREDITY(SCIE)</v>
      </c>
      <c r="N242" s="7" t="str">
        <v>两份公开汇编一致</v>
      </c>
      <c r="O242" s="7" t="str"/>
      <c r="P242" s="15" t="str">
        <v>JIF来源</v>
      </c>
      <c r="Q242" s="15" t="str">
        <v>分区来源</v>
      </c>
      <c r="R242" s="15" t="str"/>
      <c r="S242" s="14" t="str">
        <v>https://link.springer.com/journal/12711</v>
      </c>
      <c r="T242" s="7" t="str">
        <v>ISSN匹配公开元数据；未逐站复核</v>
      </c>
      <c r="U242" s="2" t="str">
        <v>官网来源</v>
      </c>
      <c r="V242" s="2" t="n">
        <v>2026</v>
      </c>
    </row>
    <row r="243" ht="34" customHeight="1">
      <c r="A243" s="7" t="str">
        <v>POULTRY SCIENCE</v>
      </c>
      <c r="B243" s="7" t="str">
        <v>畜牧动物营养与繁殖</v>
      </c>
      <c r="C243" s="11" t="n">
        <v>2</v>
      </c>
      <c r="D243" s="12" t="n">
        <v>4.5</v>
      </c>
      <c r="E243" s="13" t="n">
        <v>2025</v>
      </c>
      <c r="F243" s="7" t="str">
        <v>其他</v>
      </c>
      <c r="G243" s="7" t="str">
        <v>经典专业刊</v>
      </c>
      <c r="H243" s="7" t="str">
        <v>研究/方法/综合</v>
      </c>
      <c r="I243" s="10" t="n">
        <v>2025</v>
      </c>
      <c r="J243" s="2" t="str">
        <v>是</v>
      </c>
      <c r="K243" s="2" t="str">
        <v>0032-5791</v>
      </c>
      <c r="L243" s="2" t="str">
        <v>1525-3171</v>
      </c>
      <c r="M243" s="7" t="str">
        <v>AGRICULTURE, DAIRY &amp; ANIMAL SCIENCE(SCIE)</v>
      </c>
      <c r="N243" s="7" t="str">
        <v>两份公开汇编一致</v>
      </c>
      <c r="O243" s="7" t="str"/>
      <c r="P243" s="15" t="str">
        <v>JIF来源</v>
      </c>
      <c r="Q243" s="15" t="str">
        <v>分区来源</v>
      </c>
      <c r="R243" s="15" t="str"/>
      <c r="S243" s="14" t="str">
        <v>https://www.journals.elsevier.com/poultry-science</v>
      </c>
      <c r="T243" s="7" t="str">
        <v>ISSN匹配公开元数据；未逐站复核</v>
      </c>
      <c r="U243" s="2" t="str">
        <v>官网来源</v>
      </c>
      <c r="V243" s="2" t="n">
        <v>2026</v>
      </c>
    </row>
    <row r="244" ht="34" customHeight="1">
      <c r="A244" s="7" t="str">
        <v>REPRODUCTION</v>
      </c>
      <c r="B244" s="7" t="str">
        <v>畜牧动物营养与繁殖</v>
      </c>
      <c r="C244" s="11" t="n">
        <v>2</v>
      </c>
      <c r="D244" s="12" t="n">
        <v>3.4</v>
      </c>
      <c r="E244" s="13" t="n">
        <v>2025</v>
      </c>
      <c r="F244" s="7" t="str">
        <v>其他</v>
      </c>
      <c r="G244" s="7" t="str">
        <v>经典专业刊</v>
      </c>
      <c r="H244" s="7" t="str">
        <v>研究/方法/综合</v>
      </c>
      <c r="I244" s="10" t="n">
        <v>2025</v>
      </c>
      <c r="J244" s="2" t="str">
        <v>否</v>
      </c>
      <c r="K244" s="2" t="str">
        <v>1470-1626</v>
      </c>
      <c r="L244" s="2" t="str">
        <v>1741-7899</v>
      </c>
      <c r="M244" s="7" t="str">
        <v>DEVELOPMENTAL BIOLOGY(SCIE);REPRODUCTIVE BIOLOGY(SCIE)</v>
      </c>
      <c r="N244" s="7" t="str">
        <v>两份公开汇编一致</v>
      </c>
      <c r="O244" s="7" t="str"/>
      <c r="P244" s="15" t="str">
        <v>JIF来源</v>
      </c>
      <c r="Q244" s="15" t="str">
        <v>分区来源</v>
      </c>
      <c r="R244" s="15" t="str"/>
      <c r="S244" s="14" t="str">
        <v>http://www.reproduction-online.org/</v>
      </c>
      <c r="T244" s="7" t="str">
        <v>ISSN匹配公开元数据；未逐站复核</v>
      </c>
      <c r="U244" s="2" t="str">
        <v>官网来源</v>
      </c>
      <c r="V244" s="2" t="n">
        <v>2026</v>
      </c>
    </row>
    <row r="245" ht="34" customHeight="1">
      <c r="A245" s="7" t="str">
        <v>WORLDS POULTRY SCIENCE JOURNAL</v>
      </c>
      <c r="B245" s="7" t="str">
        <v>畜牧动物营养与繁殖</v>
      </c>
      <c r="C245" s="11" t="n">
        <v>2</v>
      </c>
      <c r="D245" s="12" t="n">
        <v>3.4</v>
      </c>
      <c r="E245" s="13" t="n">
        <v>2025</v>
      </c>
      <c r="F245" s="7" t="str">
        <v>其他</v>
      </c>
      <c r="G245" s="7" t="str">
        <v>领域期刊/新兴刊</v>
      </c>
      <c r="H245" s="7" t="str">
        <v>研究/方法/综合</v>
      </c>
      <c r="I245" s="10" t="n">
        <v>2025</v>
      </c>
      <c r="J245" s="2" t="str">
        <v>否</v>
      </c>
      <c r="K245" s="2" t="str">
        <v>0043-9339</v>
      </c>
      <c r="L245" s="2" t="str">
        <v>1743-4777</v>
      </c>
      <c r="M245" s="7" t="str">
        <v>AGRICULTURE, DAIRY &amp; ANIMAL SCIENCE(SCIE)</v>
      </c>
      <c r="N245" s="7" t="str">
        <v>两份公开汇编一致</v>
      </c>
      <c r="O245" s="7" t="str"/>
      <c r="P245" s="15" t="str">
        <v>JIF来源</v>
      </c>
      <c r="Q245" s="15" t="str">
        <v>分区来源</v>
      </c>
      <c r="R245" s="15" t="str"/>
      <c r="S245" s="14" t="str">
        <v>https://www.tandfonline.com/toc/twps20/current</v>
      </c>
      <c r="T245" s="7" t="str">
        <v>ISSN匹配公开元数据；未逐站复核</v>
      </c>
      <c r="U245" s="2" t="str">
        <v>官网来源</v>
      </c>
      <c r="V245" s="2" t="n">
        <v>2026</v>
      </c>
    </row>
    <row r="246" ht="34" customHeight="1">
      <c r="A246" s="7" t="str">
        <v>ANIMAL REPRODUCTION SCIENCE</v>
      </c>
      <c r="B246" s="7" t="str">
        <v>畜牧动物营养与繁殖</v>
      </c>
      <c r="C246" s="11" t="n">
        <v>2</v>
      </c>
      <c r="D246" s="12" t="n">
        <v>2.6</v>
      </c>
      <c r="E246" s="13" t="n">
        <v>2025</v>
      </c>
      <c r="F246" s="7" t="str">
        <v>其他</v>
      </c>
      <c r="G246" s="7" t="str">
        <v>领域期刊/新兴刊</v>
      </c>
      <c r="H246" s="7" t="str">
        <v>研究/方法/综合</v>
      </c>
      <c r="I246" s="10" t="n">
        <v>2025</v>
      </c>
      <c r="J246" s="2" t="str">
        <v>否</v>
      </c>
      <c r="K246" s="2" t="str">
        <v>0378-4320</v>
      </c>
      <c r="L246" s="2" t="str">
        <v>1873-2232</v>
      </c>
      <c r="M246" s="7" t="str">
        <v>AGRICULTURE, DAIRY &amp; ANIMAL SCIENCE(SCIE);REPRODUCTIVE BIOLOGY(SCIE);VETERINARY SCIENCES(SCIE)</v>
      </c>
      <c r="N246" s="7" t="str">
        <v>两份公开汇编一致</v>
      </c>
      <c r="O246" s="7" t="str"/>
      <c r="P246" s="15" t="str">
        <v>JIF来源</v>
      </c>
      <c r="Q246" s="15" t="str">
        <v>分区来源</v>
      </c>
      <c r="R246" s="15" t="str"/>
      <c r="S246" s="14" t="str">
        <v>https://www.journals.elsevier.com/animal-reproduction-science</v>
      </c>
      <c r="T246" s="7" t="str">
        <v>ISSN匹配公开元数据；未逐站复核</v>
      </c>
      <c r="U246" s="2" t="str">
        <v>官网来源</v>
      </c>
      <c r="V246" s="2" t="n">
        <v>2026</v>
      </c>
    </row>
    <row r="247" ht="34" customHeight="1">
      <c r="A247" s="7" t="str">
        <v>BIOLOGY OF REPRODUCTION</v>
      </c>
      <c r="B247" s="7" t="str">
        <v>畜牧动物营养与繁殖</v>
      </c>
      <c r="C247" s="11" t="n">
        <v>2</v>
      </c>
      <c r="D247" s="12" t="n">
        <v>3.2</v>
      </c>
      <c r="E247" s="13" t="n">
        <v>2025</v>
      </c>
      <c r="F247" s="7" t="str">
        <v>其他</v>
      </c>
      <c r="G247" s="7" t="str">
        <v>经典专业刊</v>
      </c>
      <c r="H247" s="7" t="str">
        <v>研究/方法/综合</v>
      </c>
      <c r="I247" s="10" t="n">
        <v>2025</v>
      </c>
      <c r="J247" s="2" t="str">
        <v>否</v>
      </c>
      <c r="K247" s="2" t="str">
        <v>0006-3363</v>
      </c>
      <c r="L247" s="2" t="str">
        <v>1529-7268</v>
      </c>
      <c r="M247" s="7" t="str">
        <v>REPRODUCTIVE BIOLOGY(SCIE)</v>
      </c>
      <c r="N247" s="7" t="str">
        <v>两份公开汇编一致</v>
      </c>
      <c r="O247" s="7" t="str"/>
      <c r="P247" s="15" t="str">
        <v>JIF来源</v>
      </c>
      <c r="Q247" s="15" t="str">
        <v>分区来源</v>
      </c>
      <c r="R247" s="15" t="str"/>
      <c r="S247" s="14" t="str">
        <v>https://academic.oup.com/biolreprod/issue</v>
      </c>
      <c r="T247" s="7" t="str">
        <v>ISSN匹配公开元数据；未逐站复核</v>
      </c>
      <c r="U247" s="2" t="str">
        <v>官网来源</v>
      </c>
      <c r="V247" s="2" t="n">
        <v>2026</v>
      </c>
    </row>
    <row r="248" ht="34" customHeight="1">
      <c r="A248" s="7" t="str">
        <v>JOURNAL OF ANIMAL SCIENCE</v>
      </c>
      <c r="B248" s="7" t="str">
        <v>畜牧动物营养与繁殖</v>
      </c>
      <c r="C248" s="11" t="n">
        <v>2</v>
      </c>
      <c r="D248" s="12" t="n">
        <v>3.7</v>
      </c>
      <c r="E248" s="13" t="n">
        <v>2025</v>
      </c>
      <c r="F248" s="7" t="str">
        <v>其他</v>
      </c>
      <c r="G248" s="7" t="str">
        <v>经典专业刊</v>
      </c>
      <c r="H248" s="7" t="str">
        <v>研究/方法/综合</v>
      </c>
      <c r="I248" s="10" t="n">
        <v>2025</v>
      </c>
      <c r="J248" s="2" t="str">
        <v>否</v>
      </c>
      <c r="K248" s="2" t="str">
        <v>0021-8812</v>
      </c>
      <c r="L248" s="2" t="str">
        <v>1525-3163</v>
      </c>
      <c r="M248" s="7" t="str">
        <v>AGRICULTURE, DAIRY &amp; ANIMAL SCIENCE(SCIE)</v>
      </c>
      <c r="N248" s="7" t="str">
        <v>两份公开汇编一致</v>
      </c>
      <c r="O248" s="7" t="str"/>
      <c r="P248" s="15" t="str">
        <v>JIF来源</v>
      </c>
      <c r="Q248" s="15" t="str">
        <v>分区来源</v>
      </c>
      <c r="R248" s="15" t="str"/>
      <c r="S248" s="14" t="str">
        <v>https://academic.oup.com/jas</v>
      </c>
      <c r="T248" s="7" t="str">
        <v>ISSN匹配公开元数据；未逐站复核</v>
      </c>
      <c r="U248" s="2" t="str">
        <v>官网来源</v>
      </c>
      <c r="V248" s="2" t="n">
        <v>2026</v>
      </c>
    </row>
    <row r="249" ht="34" customHeight="1">
      <c r="A249" s="7" t="str">
        <v>ANIMAL FEED SCIENCE AND TECHNOLOGY</v>
      </c>
      <c r="B249" s="7" t="str">
        <v>畜牧动物营养与繁殖</v>
      </c>
      <c r="C249" s="11" t="n">
        <v>2</v>
      </c>
      <c r="D249" s="12" t="n">
        <v>3.2</v>
      </c>
      <c r="E249" s="13" t="n">
        <v>2025</v>
      </c>
      <c r="F249" s="7" t="str">
        <v>其他</v>
      </c>
      <c r="G249" s="7" t="str">
        <v>经典专业刊</v>
      </c>
      <c r="H249" s="7" t="str">
        <v>研究/方法/综合</v>
      </c>
      <c r="I249" s="10" t="n">
        <v>2025</v>
      </c>
      <c r="J249" s="2" t="str">
        <v>否</v>
      </c>
      <c r="K249" s="2" t="str">
        <v>0377-8401</v>
      </c>
      <c r="L249" s="2" t="str">
        <v>1873-2216</v>
      </c>
      <c r="M249" s="7" t="str">
        <v>AGRICULTURE, DAIRY &amp; ANIMAL SCIENCE(SCIE)</v>
      </c>
      <c r="N249" s="7" t="str">
        <v>两份公开汇编一致</v>
      </c>
      <c r="O249" s="7" t="str"/>
      <c r="P249" s="15" t="str">
        <v>JIF来源</v>
      </c>
      <c r="Q249" s="15" t="str">
        <v>分区来源</v>
      </c>
      <c r="R249" s="15" t="str"/>
      <c r="S249" s="14" t="str">
        <v>https://www.journals.elsevier.com/animal-feed-science-and-technology</v>
      </c>
      <c r="T249" s="7" t="str">
        <v>ISSN匹配公开元数据；未逐站复核</v>
      </c>
      <c r="U249" s="2" t="str">
        <v>官网来源</v>
      </c>
      <c r="V249" s="2" t="n">
        <v>2026</v>
      </c>
    </row>
    <row r="250" ht="34" customHeight="1">
      <c r="A250" s="7" t="str">
        <v>Animals</v>
      </c>
      <c r="B250" s="7" t="str">
        <v>畜牧动物营养与繁殖</v>
      </c>
      <c r="C250" s="11" t="n">
        <v>2</v>
      </c>
      <c r="D250" s="12" t="n">
        <v>3.2</v>
      </c>
      <c r="E250" s="13" t="n">
        <v>2025</v>
      </c>
      <c r="F250" s="7" t="str">
        <v>其他</v>
      </c>
      <c r="G250" s="7" t="str">
        <v>领域期刊/新兴刊</v>
      </c>
      <c r="H250" s="7" t="str">
        <v>研究/方法/综合</v>
      </c>
      <c r="I250" s="10" t="n">
        <v>2025</v>
      </c>
      <c r="J250" s="2" t="str">
        <v>否</v>
      </c>
      <c r="K250" s="2" t="str">
        <v>2076-2615</v>
      </c>
      <c r="L250" s="2" t="str">
        <v>2076-2615</v>
      </c>
      <c r="M250" s="7" t="str">
        <v>AGRICULTURE, DAIRY &amp; ANIMAL SCIENCE(SCIE);VETERINARY SCIENCES(SCIE)</v>
      </c>
      <c r="N250" s="7" t="str">
        <v>两份公开汇编一致</v>
      </c>
      <c r="O250" s="7" t="str"/>
      <c r="P250" s="15" t="str">
        <v>JIF来源</v>
      </c>
      <c r="Q250" s="15" t="str">
        <v>分区来源</v>
      </c>
      <c r="R250" s="15" t="str"/>
      <c r="S250" s="14" t="str">
        <v>http://www.mdpi.com/journal/animals/</v>
      </c>
      <c r="T250" s="7" t="str">
        <v>ISSN匹配公开元数据；未逐站复核</v>
      </c>
      <c r="U250" s="2" t="str">
        <v>官网来源</v>
      </c>
      <c r="V250" s="2" t="n">
        <v>2026</v>
      </c>
    </row>
    <row r="251" ht="34" customHeight="1">
      <c r="A251" s="7" t="str">
        <v>Animal Bioscience</v>
      </c>
      <c r="B251" s="7" t="str">
        <v>畜牧动物营养与繁殖</v>
      </c>
      <c r="C251" s="11" t="n">
        <v>2</v>
      </c>
      <c r="D251" s="12" t="n">
        <v>3.2</v>
      </c>
      <c r="E251" s="13" t="n">
        <v>2025</v>
      </c>
      <c r="F251" s="7" t="str">
        <v>其他</v>
      </c>
      <c r="G251" s="7" t="str">
        <v>领域期刊/新兴刊</v>
      </c>
      <c r="H251" s="7" t="str">
        <v>研究/方法/综合</v>
      </c>
      <c r="I251" s="10" t="n">
        <v>2025</v>
      </c>
      <c r="J251" s="2" t="str">
        <v>否</v>
      </c>
      <c r="K251" s="2" t="str">
        <v>2765-0189</v>
      </c>
      <c r="L251" s="2" t="str">
        <v>2765-0235</v>
      </c>
      <c r="M251" s="7" t="str">
        <v>AGRICULTURE, DAIRY &amp; ANIMAL SCIENCE(SCIE)</v>
      </c>
      <c r="N251" s="7" t="str">
        <v>两份公开汇编一致</v>
      </c>
      <c r="O251" s="7" t="str"/>
      <c r="P251" s="15" t="str">
        <v>JIF来源</v>
      </c>
      <c r="Q251" s="15" t="str">
        <v>分区来源</v>
      </c>
      <c r="R251" s="15" t="str"/>
      <c r="S251" s="14" t="str">
        <v>https://www.animbiosci.org/index.php</v>
      </c>
      <c r="T251" s="7" t="str">
        <v>ISSN匹配公开元数据；未逐站复核</v>
      </c>
      <c r="U251" s="2" t="str">
        <v>官网来源</v>
      </c>
      <c r="V251" s="2" t="n">
        <v>2026</v>
      </c>
    </row>
    <row r="252" ht="34" customHeight="1">
      <c r="A252" s="7" t="str">
        <v>THERIOGENOLOGY</v>
      </c>
      <c r="B252" s="7" t="str">
        <v>畜牧动物营养与繁殖</v>
      </c>
      <c r="C252" s="11" t="n">
        <v>2</v>
      </c>
      <c r="D252" s="12" t="n">
        <v>2.9</v>
      </c>
      <c r="E252" s="13" t="n">
        <v>2025</v>
      </c>
      <c r="F252" s="7" t="str">
        <v>其他</v>
      </c>
      <c r="G252" s="7" t="str">
        <v>经典专业刊</v>
      </c>
      <c r="H252" s="7" t="str">
        <v>研究/方法/综合</v>
      </c>
      <c r="I252" s="10" t="n">
        <v>2025</v>
      </c>
      <c r="J252" s="2" t="str">
        <v>否</v>
      </c>
      <c r="K252" s="2" t="str">
        <v>0093-691X</v>
      </c>
      <c r="L252" s="2" t="str">
        <v>1879-3231</v>
      </c>
      <c r="M252" s="7" t="str">
        <v>REPRODUCTIVE BIOLOGY(SCIE);VETERINARY SCIENCES(SCIE)</v>
      </c>
      <c r="N252" s="7" t="str">
        <v>两份公开汇编一致</v>
      </c>
      <c r="O252" s="7" t="str"/>
      <c r="P252" s="15" t="str">
        <v>JIF来源</v>
      </c>
      <c r="Q252" s="15" t="str">
        <v>分区来源</v>
      </c>
      <c r="R252" s="15" t="str"/>
      <c r="S252" s="14" t="str">
        <v>https://www.journals.elsevier.com/theriogenology</v>
      </c>
      <c r="T252" s="7" t="str">
        <v>ISSN匹配公开元数据；未逐站复核</v>
      </c>
      <c r="U252" s="2" t="str">
        <v>官网来源</v>
      </c>
      <c r="V252" s="2" t="n">
        <v>2026</v>
      </c>
    </row>
    <row r="253" ht="34" customHeight="1">
      <c r="A253" s="7" t="str">
        <v>DOMESTIC ANIMAL ENDOCRINOLOGY</v>
      </c>
      <c r="B253" s="7" t="str">
        <v>畜牧动物营养与繁殖</v>
      </c>
      <c r="C253" s="11" t="n">
        <v>2</v>
      </c>
      <c r="D253" s="12" t="n">
        <v>1.7</v>
      </c>
      <c r="E253" s="13" t="n">
        <v>2025</v>
      </c>
      <c r="F253" s="7" t="str">
        <v>其他</v>
      </c>
      <c r="G253" s="7" t="str">
        <v>领域期刊/新兴刊</v>
      </c>
      <c r="H253" s="7" t="str">
        <v>研究/方法/综合</v>
      </c>
      <c r="I253" s="10" t="n">
        <v>2025</v>
      </c>
      <c r="J253" s="2" t="str">
        <v>否</v>
      </c>
      <c r="K253" s="2" t="str">
        <v>0739-7240</v>
      </c>
      <c r="L253" s="2" t="str">
        <v>1879-0054</v>
      </c>
      <c r="M253" s="7" t="str">
        <v>AGRICULTURE, DAIRY &amp; ANIMAL SCIENCE(SCIE);ENDOCRINOLOGY &amp; METABOLISM(SCIE)</v>
      </c>
      <c r="N253" s="7" t="str">
        <v>公开汇编已匹配</v>
      </c>
      <c r="O253" s="7" t="str"/>
      <c r="P253" s="15" t="str">
        <v>JIF来源</v>
      </c>
      <c r="Q253" s="15" t="str">
        <v>分区来源</v>
      </c>
      <c r="R253" s="15" t="str"/>
      <c r="S253" s="14" t="str">
        <v>https://www.journals.elsevier.com/domestic-animal-endocrinology</v>
      </c>
      <c r="T253" s="7" t="str">
        <v>ISSN匹配公开元数据；未逐站复核</v>
      </c>
      <c r="U253" s="2" t="str">
        <v>官网来源</v>
      </c>
      <c r="V253" s="2" t="n">
        <v>2026</v>
      </c>
    </row>
    <row r="254" ht="34" customHeight="1">
      <c r="A254" s="7" t="str">
        <v>APPLIED ANIMAL BEHAVIOUR SCIENCE</v>
      </c>
      <c r="B254" s="7" t="str">
        <v>畜牧动物营养与繁殖</v>
      </c>
      <c r="C254" s="11" t="n">
        <v>2</v>
      </c>
      <c r="D254" s="12" t="n">
        <v>2.6</v>
      </c>
      <c r="E254" s="13" t="n">
        <v>2025</v>
      </c>
      <c r="F254" s="7" t="str">
        <v>其他</v>
      </c>
      <c r="G254" s="7" t="str">
        <v>领域期刊/新兴刊</v>
      </c>
      <c r="H254" s="7" t="str">
        <v>研究/方法/综合</v>
      </c>
      <c r="I254" s="10" t="n">
        <v>2025</v>
      </c>
      <c r="J254" s="2" t="str">
        <v>否</v>
      </c>
      <c r="K254" s="2" t="str">
        <v>0168-1591</v>
      </c>
      <c r="L254" s="2" t="str">
        <v>1872-9045</v>
      </c>
      <c r="M254" s="7" t="str">
        <v>AGRICULTURE, DAIRY &amp; ANIMAL SCIENCE(SCIE);BEHAVIORAL SCIENCES(SCIE);VETERINARY SCIENCES(SCIE)</v>
      </c>
      <c r="N254" s="7" t="str">
        <v>两份公开汇编一致</v>
      </c>
      <c r="O254" s="7" t="str"/>
      <c r="P254" s="15" t="str">
        <v>JIF来源</v>
      </c>
      <c r="Q254" s="15" t="str">
        <v>分区来源</v>
      </c>
      <c r="R254" s="15" t="str"/>
      <c r="S254" s="14" t="str">
        <v>https://www.journals.elsevier.com/applied-animal-behaviour-science</v>
      </c>
      <c r="T254" s="7" t="str">
        <v>ISSN匹配公开元数据；未逐站复核</v>
      </c>
      <c r="U254" s="2" t="str">
        <v>官网来源</v>
      </c>
      <c r="V254" s="2" t="n">
        <v>2026</v>
      </c>
    </row>
    <row r="255" ht="34" customHeight="1">
      <c r="A255" s="7" t="str">
        <v>JOURNAL OF AGRICULTURAL &amp; ENVIRONMENTAL ETHICS</v>
      </c>
      <c r="B255" s="7" t="str">
        <v>畜牧动物营养与繁殖</v>
      </c>
      <c r="C255" s="11" t="n">
        <v>3</v>
      </c>
      <c r="D255" s="12" t="n">
        <v>1.7</v>
      </c>
      <c r="E255" s="13" t="n">
        <v>2025</v>
      </c>
      <c r="F255" s="7" t="str">
        <v>其他</v>
      </c>
      <c r="G255" s="7" t="str">
        <v>领域期刊/新兴刊</v>
      </c>
      <c r="H255" s="7" t="str">
        <v>研究/方法/综合</v>
      </c>
      <c r="I255" s="10" t="n">
        <v>2025</v>
      </c>
      <c r="J255" s="2" t="str">
        <v>否</v>
      </c>
      <c r="K255" s="2" t="str">
        <v>1187-7863</v>
      </c>
      <c r="L255" s="2" t="str">
        <v>1573-322X</v>
      </c>
      <c r="M255" s="7" t="str">
        <v>AGRICULTURE, MULTIDISCIPLINARY(SCIE);ENVIRONMENTAL SCIENCES(SCIE);ETHICS(SSCI);HISTORY &amp; PHILOSOPHY OF SCIENCE(AHCI, SCIE)</v>
      </c>
      <c r="N255" s="7" t="str">
        <v>两份公开汇编一致</v>
      </c>
      <c r="O255" s="7" t="str"/>
      <c r="P255" s="15" t="str">
        <v>JIF来源</v>
      </c>
      <c r="Q255" s="15" t="str">
        <v>分区来源</v>
      </c>
      <c r="R255" s="15" t="str"/>
      <c r="S255" s="14" t="str">
        <v>https://www.springer.com/journal/10806</v>
      </c>
      <c r="T255" s="7" t="str">
        <v>ISSN匹配公开元数据；未逐站复核</v>
      </c>
      <c r="U255" s="2" t="str">
        <v>官网来源</v>
      </c>
      <c r="V255" s="2" t="n">
        <v>2026</v>
      </c>
    </row>
    <row r="256" ht="34" customHeight="1">
      <c r="A256" s="7" t="str">
        <v>JOURNAL OF ANIMAL PHYSIOLOGY AND ANIMAL NUTRITION</v>
      </c>
      <c r="B256" s="7" t="str">
        <v>畜牧动物营养与繁殖</v>
      </c>
      <c r="C256" s="11" t="n">
        <v>3</v>
      </c>
      <c r="D256" s="12" t="n">
        <v>2.8</v>
      </c>
      <c r="E256" s="13" t="n">
        <v>2025</v>
      </c>
      <c r="F256" s="7" t="str">
        <v>其他</v>
      </c>
      <c r="G256" s="7" t="str">
        <v>领域期刊/新兴刊</v>
      </c>
      <c r="H256" s="7" t="str">
        <v>研究/方法/综合</v>
      </c>
      <c r="I256" s="10" t="n">
        <v>2025</v>
      </c>
      <c r="J256" s="2" t="str">
        <v>否</v>
      </c>
      <c r="K256" s="2" t="str">
        <v>0931-2439</v>
      </c>
      <c r="L256" s="2" t="str">
        <v>1439-0396</v>
      </c>
      <c r="M256" s="7" t="str">
        <v>AGRICULTURE, DAIRY &amp; ANIMAL SCIENCE(SCIE);VETERINARY SCIENCES(SCIE)</v>
      </c>
      <c r="N256" s="7" t="str">
        <v>两份公开汇编一致</v>
      </c>
      <c r="O256" s="7" t="str"/>
      <c r="P256" s="15" t="str">
        <v>JIF来源</v>
      </c>
      <c r="Q256" s="15" t="str">
        <v>分区来源</v>
      </c>
      <c r="R256" s="15" t="str"/>
      <c r="S256" s="14" t="str">
        <v>https://onlinelibrary.wiley.com/journal/14390396</v>
      </c>
      <c r="T256" s="7" t="str">
        <v>ISSN匹配公开元数据；未逐站复核</v>
      </c>
      <c r="U256" s="2" t="str">
        <v>官网来源</v>
      </c>
      <c r="V256" s="2" t="n">
        <v>2026</v>
      </c>
    </row>
    <row r="257" ht="34" customHeight="1">
      <c r="A257" s="7" t="str">
        <v>ANIMAL WELFARE</v>
      </c>
      <c r="B257" s="7" t="str">
        <v>畜牧动物营养与繁殖</v>
      </c>
      <c r="C257" s="11" t="n">
        <v>3</v>
      </c>
      <c r="D257" s="12" t="n">
        <v>2.9</v>
      </c>
      <c r="E257" s="13" t="n">
        <v>2025</v>
      </c>
      <c r="F257" s="7" t="str">
        <v>其他</v>
      </c>
      <c r="G257" s="7" t="str">
        <v>领域期刊/新兴刊</v>
      </c>
      <c r="H257" s="7" t="str">
        <v>研究/方法/综合</v>
      </c>
      <c r="I257" s="10" t="n">
        <v>2025</v>
      </c>
      <c r="J257" s="2" t="str">
        <v>否</v>
      </c>
      <c r="K257" s="2" t="str">
        <v>0962-7286</v>
      </c>
      <c r="L257" s="2" t="str">
        <v>2054-1538</v>
      </c>
      <c r="M257" s="7" t="str">
        <v>VETERINARY SCIENCES(SCIE);ZOOLOGY(SCIE)</v>
      </c>
      <c r="N257" s="7" t="str">
        <v>两份公开汇编一致</v>
      </c>
      <c r="O257" s="7" t="str"/>
      <c r="P257" s="15" t="str">
        <v>JIF来源</v>
      </c>
      <c r="Q257" s="15" t="str">
        <v>分区来源</v>
      </c>
      <c r="R257" s="15" t="str"/>
      <c r="S257" s="14" t="str">
        <v>https://www.cambridge.org/core/journals/animal-welfare</v>
      </c>
      <c r="T257" s="7" t="str">
        <v>ISSN匹配公开元数据；未逐站复核</v>
      </c>
      <c r="U257" s="2" t="str">
        <v>官网来源</v>
      </c>
      <c r="V257" s="2" t="n">
        <v>2026</v>
      </c>
    </row>
    <row r="258" ht="34" customHeight="1">
      <c r="A258" s="7" t="str">
        <v>JOURNAL OF APPLIED POULTRY RESEARCH</v>
      </c>
      <c r="B258" s="7" t="str">
        <v>畜牧动物营养与繁殖</v>
      </c>
      <c r="C258" s="11" t="n">
        <v>3</v>
      </c>
      <c r="D258" s="12" t="n">
        <v>2.3</v>
      </c>
      <c r="E258" s="13" t="n">
        <v>2025</v>
      </c>
      <c r="F258" s="7" t="str">
        <v>其他</v>
      </c>
      <c r="G258" s="7" t="str">
        <v>领域期刊/新兴刊</v>
      </c>
      <c r="H258" s="7" t="str">
        <v>研究/方法/综合</v>
      </c>
      <c r="I258" s="10" t="n">
        <v>2025</v>
      </c>
      <c r="J258" s="2" t="str">
        <v>否</v>
      </c>
      <c r="K258" s="2" t="str">
        <v>1056-6171</v>
      </c>
      <c r="L258" s="2" t="str">
        <v>1537-0437</v>
      </c>
      <c r="M258" s="7" t="str">
        <v>AGRICULTURE, DAIRY &amp; ANIMAL SCIENCE(SCIE)</v>
      </c>
      <c r="N258" s="7" t="str">
        <v>两份公开汇编一致</v>
      </c>
      <c r="O258" s="7" t="str"/>
      <c r="P258" s="15" t="str">
        <v>JIF来源</v>
      </c>
      <c r="Q258" s="15" t="str">
        <v>分区来源</v>
      </c>
      <c r="R258" s="15" t="str"/>
      <c r="S258" s="14" t="str">
        <v>https://www.journals.elsevier.com/journal-of-applied-poultry-research</v>
      </c>
      <c r="T258" s="7" t="str">
        <v>ISSN匹配公开元数据；未逐站复核</v>
      </c>
      <c r="U258" s="2" t="str">
        <v>官网来源</v>
      </c>
      <c r="V258" s="2" t="n">
        <v>2026</v>
      </c>
    </row>
    <row r="259" ht="34" customHeight="1">
      <c r="A259" s="7" t="str">
        <v>Livestock Science</v>
      </c>
      <c r="B259" s="7" t="str">
        <v>畜牧动物营养与繁殖</v>
      </c>
      <c r="C259" s="11" t="n">
        <v>3</v>
      </c>
      <c r="D259" s="12" t="n">
        <v>2.2</v>
      </c>
      <c r="E259" s="13" t="n">
        <v>2025</v>
      </c>
      <c r="F259" s="7" t="str">
        <v>其他</v>
      </c>
      <c r="G259" s="7" t="str">
        <v>领域期刊/新兴刊</v>
      </c>
      <c r="H259" s="7" t="str">
        <v>研究/方法/综合</v>
      </c>
      <c r="I259" s="10" t="n">
        <v>2025</v>
      </c>
      <c r="J259" s="2" t="str">
        <v>否</v>
      </c>
      <c r="K259" s="2" t="str">
        <v>1871-1413</v>
      </c>
      <c r="L259" s="2" t="str">
        <v>1878-0490</v>
      </c>
      <c r="M259" s="7" t="str">
        <v>AGRICULTURE, DAIRY &amp; ANIMAL SCIENCE(SCIE)</v>
      </c>
      <c r="N259" s="7" t="str">
        <v>两份公开汇编一致</v>
      </c>
      <c r="O259" s="7" t="str"/>
      <c r="P259" s="15" t="str">
        <v>JIF来源</v>
      </c>
      <c r="Q259" s="15" t="str">
        <v>分区来源</v>
      </c>
      <c r="R259" s="15" t="str"/>
      <c r="S259" s="14" t="str">
        <v>https://www.journals.elsevier.com/livestock-science</v>
      </c>
      <c r="T259" s="7" t="str">
        <v>ISSN匹配公开元数据；未逐站复核</v>
      </c>
      <c r="U259" s="2" t="str">
        <v>官网来源</v>
      </c>
      <c r="V259" s="2" t="n">
        <v>2026</v>
      </c>
    </row>
    <row r="260" ht="34" customHeight="1">
      <c r="A260" s="7" t="str">
        <v>ANIMAL BIOTECHNOLOGY</v>
      </c>
      <c r="B260" s="7" t="str">
        <v>畜牧动物营养与繁殖</v>
      </c>
      <c r="C260" s="11" t="n">
        <v>3</v>
      </c>
      <c r="D260" s="12" t="n">
        <v>2</v>
      </c>
      <c r="E260" s="13" t="n">
        <v>2025</v>
      </c>
      <c r="F260" s="7" t="str">
        <v>其他</v>
      </c>
      <c r="G260" s="7" t="str">
        <v>领域期刊/新兴刊</v>
      </c>
      <c r="H260" s="7" t="str">
        <v>研究/方法/综合</v>
      </c>
      <c r="I260" s="10" t="n">
        <v>2025</v>
      </c>
      <c r="J260" s="2" t="str">
        <v>否</v>
      </c>
      <c r="K260" s="2" t="str">
        <v>1049-5398</v>
      </c>
      <c r="L260" s="2" t="str">
        <v>1532-2378</v>
      </c>
      <c r="M260" s="7" t="str">
        <v>AGRICULTURE, DAIRY &amp; ANIMAL SCIENCE(SCIE);BIOTECHNOLOGY &amp; APPLIED MICROBIOLOGY(SCIE)</v>
      </c>
      <c r="N260" s="7" t="str">
        <v>公开汇编已匹配</v>
      </c>
      <c r="O260" s="7" t="str"/>
      <c r="P260" s="15" t="str">
        <v>JIF来源</v>
      </c>
      <c r="Q260" s="15" t="str">
        <v>分区来源</v>
      </c>
      <c r="R260" s="15" t="str"/>
      <c r="S260" s="14" t="str">
        <v>https://www.tandfonline.com/toc/labt20/current</v>
      </c>
      <c r="T260" s="7" t="str">
        <v>ISSN匹配公开元数据；未逐站复核</v>
      </c>
      <c r="U260" s="2" t="str">
        <v>官网来源</v>
      </c>
      <c r="V260" s="2" t="n">
        <v>2026</v>
      </c>
    </row>
    <row r="261" ht="34" customHeight="1">
      <c r="A261" s="7" t="str">
        <v>REPRODUCTION IN DOMESTIC ANIMALS</v>
      </c>
      <c r="B261" s="7" t="str">
        <v>畜牧动物营养与繁殖</v>
      </c>
      <c r="C261" s="11" t="n">
        <v>3</v>
      </c>
      <c r="D261" s="12" t="n">
        <v>1.7</v>
      </c>
      <c r="E261" s="13" t="n">
        <v>2025</v>
      </c>
      <c r="F261" s="7" t="str">
        <v>其他</v>
      </c>
      <c r="G261" s="7" t="str">
        <v>领域期刊/新兴刊</v>
      </c>
      <c r="H261" s="7" t="str">
        <v>研究/方法/综合</v>
      </c>
      <c r="I261" s="10" t="n">
        <v>2025</v>
      </c>
      <c r="J261" s="2" t="str">
        <v>否</v>
      </c>
      <c r="K261" s="2" t="str">
        <v>0936-6768</v>
      </c>
      <c r="L261" s="2" t="str">
        <v>1439-0531</v>
      </c>
      <c r="M261" s="7" t="str">
        <v>AGRICULTURE, DAIRY &amp; ANIMAL SCIENCE(SCIE);REPRODUCTIVE BIOLOGY(SCIE);VETERINARY SCIENCES(SCIE)</v>
      </c>
      <c r="N261" s="7" t="str">
        <v>两份公开汇编一致</v>
      </c>
      <c r="O261" s="7" t="str"/>
      <c r="P261" s="15" t="str">
        <v>JIF来源</v>
      </c>
      <c r="Q261" s="15" t="str">
        <v>分区来源</v>
      </c>
      <c r="R261" s="15" t="str"/>
      <c r="S261" s="14" t="str">
        <v>https://onlinelibrary.wiley.com/journal/14390531</v>
      </c>
      <c r="T261" s="7" t="str">
        <v>ISSN匹配公开元数据；未逐站复核</v>
      </c>
      <c r="U261" s="2" t="str">
        <v>官网来源</v>
      </c>
      <c r="V261" s="2" t="n">
        <v>2026</v>
      </c>
    </row>
    <row r="262" ht="34" customHeight="1">
      <c r="A262" s="7" t="str">
        <v>TROPICAL ANIMAL HEALTH AND PRODUCTION</v>
      </c>
      <c r="B262" s="7" t="str">
        <v>畜牧动物营养与繁殖</v>
      </c>
      <c r="C262" s="11" t="n">
        <v>3</v>
      </c>
      <c r="D262" s="12" t="n">
        <v>2</v>
      </c>
      <c r="E262" s="13" t="n">
        <v>2025</v>
      </c>
      <c r="F262" s="7" t="str">
        <v>其他</v>
      </c>
      <c r="G262" s="7" t="str">
        <v>领域期刊/新兴刊</v>
      </c>
      <c r="H262" s="7" t="str">
        <v>研究/方法/综合</v>
      </c>
      <c r="I262" s="10" t="n">
        <v>2025</v>
      </c>
      <c r="J262" s="2" t="str">
        <v>否</v>
      </c>
      <c r="K262" s="2" t="str">
        <v>0049-4747</v>
      </c>
      <c r="L262" s="2" t="str">
        <v>1573-7438</v>
      </c>
      <c r="M262" s="7" t="str">
        <v>AGRICULTURE, DAIRY &amp; ANIMAL SCIENCE(SCIE);VETERINARY SCIENCES(SCIE)</v>
      </c>
      <c r="N262" s="7" t="str">
        <v>两份公开汇编一致</v>
      </c>
      <c r="O262" s="7" t="str"/>
      <c r="P262" s="15" t="str">
        <v>JIF来源</v>
      </c>
      <c r="Q262" s="15" t="str">
        <v>分区来源</v>
      </c>
      <c r="R262" s="15" t="str"/>
      <c r="S262" s="14" t="str">
        <v>https://link.springer.com/journal/11250</v>
      </c>
      <c r="T262" s="7" t="str">
        <v>ISSN匹配公开元数据；未逐站复核</v>
      </c>
      <c r="U262" s="2" t="str">
        <v>官网来源</v>
      </c>
      <c r="V262" s="2" t="n">
        <v>2026</v>
      </c>
    </row>
    <row r="263" ht="34" customHeight="1">
      <c r="A263" s="7" t="str">
        <v>Archives Animal Breeding</v>
      </c>
      <c r="B263" s="7" t="str">
        <v>畜牧动物营养与繁殖</v>
      </c>
      <c r="C263" s="11" t="n">
        <v>3</v>
      </c>
      <c r="D263" s="12" t="n">
        <v>1.9</v>
      </c>
      <c r="E263" s="13" t="n">
        <v>2025</v>
      </c>
      <c r="F263" s="7" t="str">
        <v>其他</v>
      </c>
      <c r="G263" s="7" t="str">
        <v>领域期刊/新兴刊</v>
      </c>
      <c r="H263" s="7" t="str">
        <v>研究/方法/综合</v>
      </c>
      <c r="I263" s="10" t="n">
        <v>2025</v>
      </c>
      <c r="J263" s="2" t="str">
        <v>否</v>
      </c>
      <c r="K263" s="2" t="str">
        <v>0003-9438</v>
      </c>
      <c r="L263" s="2" t="str">
        <v>2363-9822</v>
      </c>
      <c r="M263" s="7" t="str">
        <v>AGRICULTURE, DAIRY &amp; ANIMAL SCIENCE(SCIE)</v>
      </c>
      <c r="N263" s="7" t="str">
        <v>两份公开汇编一致</v>
      </c>
      <c r="O263" s="7" t="str"/>
      <c r="P263" s="15" t="str">
        <v>JIF来源</v>
      </c>
      <c r="Q263" s="15" t="str">
        <v>分区来源</v>
      </c>
      <c r="R263" s="15" t="str"/>
      <c r="S263" s="14" t="str">
        <v>http://www.archives-animal-breeding.net/</v>
      </c>
      <c r="T263" s="7" t="str">
        <v>ISSN匹配公开元数据；未逐站复核</v>
      </c>
      <c r="U263" s="2" t="str">
        <v>官网来源</v>
      </c>
      <c r="V263" s="2" t="n">
        <v>2026</v>
      </c>
    </row>
    <row r="264" ht="34" customHeight="1">
      <c r="A264" s="7" t="str">
        <v>SMALL RUMINANT RESEARCH</v>
      </c>
      <c r="B264" s="7" t="str">
        <v>畜牧动物营养与繁殖</v>
      </c>
      <c r="C264" s="11" t="n">
        <v>3</v>
      </c>
      <c r="D264" s="12" t="n">
        <v>1.8</v>
      </c>
      <c r="E264" s="13" t="n">
        <v>2025</v>
      </c>
      <c r="F264" s="7" t="str">
        <v>其他</v>
      </c>
      <c r="G264" s="7" t="str">
        <v>领域期刊/新兴刊</v>
      </c>
      <c r="H264" s="7" t="str">
        <v>研究/方法/综合</v>
      </c>
      <c r="I264" s="10" t="n">
        <v>2025</v>
      </c>
      <c r="J264" s="2" t="str">
        <v>否</v>
      </c>
      <c r="K264" s="2" t="str">
        <v>0921-4488</v>
      </c>
      <c r="L264" s="2" t="str">
        <v>1879-0941</v>
      </c>
      <c r="M264" s="7" t="str">
        <v>AGRICULTURE, DAIRY &amp; ANIMAL SCIENCE(SCIE)</v>
      </c>
      <c r="N264" s="7" t="str">
        <v>两份公开汇编一致</v>
      </c>
      <c r="O264" s="7" t="str"/>
      <c r="P264" s="15" t="str">
        <v>JIF来源</v>
      </c>
      <c r="Q264" s="15" t="str">
        <v>分区来源</v>
      </c>
      <c r="R264" s="15" t="str"/>
      <c r="S264" s="14" t="str">
        <v>https://www.journals.elsevier.com/small-ruminant-research</v>
      </c>
      <c r="T264" s="7" t="str">
        <v>ISSN匹配公开元数据；未逐站复核</v>
      </c>
      <c r="U264" s="2" t="str">
        <v>官网来源</v>
      </c>
      <c r="V264" s="2" t="n">
        <v>2026</v>
      </c>
    </row>
    <row r="265" ht="34" customHeight="1">
      <c r="A265" s="7" t="str">
        <v>ANIMAL SCIENCE JOURNAL</v>
      </c>
      <c r="B265" s="7" t="str">
        <v>畜牧动物营养与繁殖</v>
      </c>
      <c r="C265" s="11" t="n">
        <v>3</v>
      </c>
      <c r="D265" s="12" t="n">
        <v>1.6</v>
      </c>
      <c r="E265" s="13" t="n">
        <v>2025</v>
      </c>
      <c r="F265" s="7" t="str">
        <v>其他</v>
      </c>
      <c r="G265" s="7" t="str">
        <v>领域期刊/新兴刊</v>
      </c>
      <c r="H265" s="7" t="str">
        <v>研究/方法/综合</v>
      </c>
      <c r="I265" s="10" t="n">
        <v>2025</v>
      </c>
      <c r="J265" s="2" t="str">
        <v>否</v>
      </c>
      <c r="K265" s="2" t="str">
        <v>1344-3941</v>
      </c>
      <c r="L265" s="2" t="str">
        <v>1740-0929</v>
      </c>
      <c r="M265" s="7" t="str">
        <v>AGRICULTURE, DAIRY &amp; ANIMAL SCIENCE(SCIE)</v>
      </c>
      <c r="N265" s="7" t="str">
        <v>公开汇编已匹配</v>
      </c>
      <c r="O265" s="7" t="str"/>
      <c r="P265" s="15" t="str">
        <v>JIF来源</v>
      </c>
      <c r="Q265" s="15" t="str">
        <v>分区来源</v>
      </c>
      <c r="R265" s="15" t="str"/>
      <c r="S265" s="14" t="str">
        <v>https://onlinelibrary.wiley.com/journal/17400929</v>
      </c>
      <c r="T265" s="7" t="str">
        <v>ISSN匹配公开元数据；未逐站复核</v>
      </c>
      <c r="U265" s="2" t="str">
        <v>官网来源</v>
      </c>
      <c r="V265" s="2" t="n">
        <v>2026</v>
      </c>
    </row>
    <row r="266" ht="34" customHeight="1">
      <c r="A266" s="7" t="str">
        <v>JOURNAL OF DAIRY RESEARCH</v>
      </c>
      <c r="B266" s="7" t="str">
        <v>畜牧动物营养与繁殖</v>
      </c>
      <c r="C266" s="11" t="n">
        <v>3</v>
      </c>
      <c r="D266" s="12" t="n">
        <v>1.6</v>
      </c>
      <c r="E266" s="13" t="n">
        <v>2025</v>
      </c>
      <c r="F266" s="7" t="str">
        <v>其他</v>
      </c>
      <c r="G266" s="7" t="str">
        <v>领域期刊/新兴刊</v>
      </c>
      <c r="H266" s="7" t="str">
        <v>研究/方法/综合</v>
      </c>
      <c r="I266" s="10" t="n">
        <v>2025</v>
      </c>
      <c r="J266" s="2" t="str">
        <v>否</v>
      </c>
      <c r="K266" s="2" t="str">
        <v>0022-0299</v>
      </c>
      <c r="L266" s="2" t="str">
        <v>1469-7629</v>
      </c>
      <c r="M266" s="7" t="str">
        <v>AGRICULTURE, DAIRY &amp; ANIMAL SCIENCE(SCIE);FOOD SCIENCE &amp; TECHNOLOGY(SCIE)</v>
      </c>
      <c r="N266" s="7" t="str">
        <v>公开汇编已匹配</v>
      </c>
      <c r="O266" s="7" t="str"/>
      <c r="P266" s="15" t="str">
        <v>JIF来源</v>
      </c>
      <c r="Q266" s="15" t="str">
        <v>分区来源</v>
      </c>
      <c r="R266" s="15" t="str"/>
      <c r="S266" s="14" t="str">
        <v>http://journals.cambridge.org/action/displayjournal?jid=dar</v>
      </c>
      <c r="T266" s="7" t="str">
        <v>ISSN匹配公开元数据；未逐站复核</v>
      </c>
      <c r="U266" s="2" t="str">
        <v>官网来源</v>
      </c>
      <c r="V266" s="2" t="n">
        <v>2026</v>
      </c>
    </row>
    <row r="267" ht="34" customHeight="1">
      <c r="A267" s="7" t="str">
        <v>Annals of Animal Science</v>
      </c>
      <c r="B267" s="7" t="str">
        <v>畜牧动物营养与繁殖</v>
      </c>
      <c r="C267" s="11" t="n">
        <v>4</v>
      </c>
      <c r="D267" s="12" t="n">
        <v>2.9</v>
      </c>
      <c r="E267" s="13" t="n">
        <v>2025</v>
      </c>
      <c r="F267" s="7" t="str">
        <v>其他</v>
      </c>
      <c r="G267" s="7" t="str">
        <v>领域期刊/新兴刊</v>
      </c>
      <c r="H267" s="7" t="str">
        <v>研究/方法/综合</v>
      </c>
      <c r="I267" s="10" t="n">
        <v>2025</v>
      </c>
      <c r="J267" s="2" t="str">
        <v>否</v>
      </c>
      <c r="K267" s="2" t="str">
        <v>1642-3402</v>
      </c>
      <c r="L267" s="2" t="str">
        <v>2300-8733</v>
      </c>
      <c r="M267" s="7" t="str">
        <v>AGRICULTURE, DAIRY &amp; ANIMAL SCIENCE(SCIE)</v>
      </c>
      <c r="N267" s="7" t="str">
        <v>两份公开汇编一致</v>
      </c>
      <c r="O267" s="7" t="str"/>
      <c r="P267" s="15" t="str">
        <v>JIF来源</v>
      </c>
      <c r="Q267" s="15" t="str">
        <v>分区来源</v>
      </c>
      <c r="R267" s="15" t="str"/>
      <c r="S267" s="14" t="str">
        <v>http://www.izoo.krakow.pl/annals_of_animal_science.html</v>
      </c>
      <c r="T267" s="7" t="str">
        <v>ISSN匹配公开元数据；未逐站复核</v>
      </c>
      <c r="U267" s="2" t="str">
        <v>官网来源</v>
      </c>
      <c r="V267" s="2" t="n">
        <v>2026</v>
      </c>
    </row>
    <row r="268" ht="34" customHeight="1">
      <c r="A268" s="7" t="str">
        <v>ANIMAL GENETICS</v>
      </c>
      <c r="B268" s="7" t="str">
        <v>畜牧动物营养与繁殖</v>
      </c>
      <c r="C268" s="11" t="n">
        <v>4</v>
      </c>
      <c r="D268" s="12" t="n">
        <v>2.2</v>
      </c>
      <c r="E268" s="13" t="n">
        <v>2025</v>
      </c>
      <c r="F268" s="7" t="str">
        <v>其他</v>
      </c>
      <c r="G268" s="7" t="str">
        <v>领域期刊/新兴刊</v>
      </c>
      <c r="H268" s="7" t="str">
        <v>研究/方法/综合</v>
      </c>
      <c r="I268" s="10" t="n">
        <v>2025</v>
      </c>
      <c r="J268" s="2" t="str">
        <v>否</v>
      </c>
      <c r="K268" s="2" t="str">
        <v>0268-9146</v>
      </c>
      <c r="L268" s="2" t="str">
        <v>1365-2052</v>
      </c>
      <c r="M268" s="7" t="str">
        <v>AGRICULTURE, DAIRY &amp; ANIMAL SCIENCE(SCIE);GENETICS &amp; HEREDITY(SCIE)</v>
      </c>
      <c r="N268" s="7" t="str">
        <v>两份公开汇编一致</v>
      </c>
      <c r="O268" s="7" t="str"/>
      <c r="P268" s="15" t="str">
        <v>JIF来源</v>
      </c>
      <c r="Q268" s="15" t="str">
        <v>分区来源</v>
      </c>
      <c r="R268" s="15" t="str"/>
      <c r="S268" s="14" t="str">
        <v>https://onlinelibrary.wiley.com/journal/13652052</v>
      </c>
      <c r="T268" s="7" t="str">
        <v>ISSN匹配公开元数据；未逐站复核</v>
      </c>
      <c r="U268" s="2" t="str">
        <v>官网来源</v>
      </c>
      <c r="V268" s="2" t="n">
        <v>2026</v>
      </c>
    </row>
    <row r="269" ht="34" customHeight="1">
      <c r="A269" s="7" t="str">
        <v>BRITISH POULTRY SCIENCE</v>
      </c>
      <c r="B269" s="7" t="str">
        <v>畜牧动物营养与繁殖</v>
      </c>
      <c r="C269" s="11" t="n">
        <v>4</v>
      </c>
      <c r="D269" s="12" t="n">
        <v>1.7</v>
      </c>
      <c r="E269" s="13" t="n">
        <v>2025</v>
      </c>
      <c r="F269" s="7" t="str">
        <v>其他</v>
      </c>
      <c r="G269" s="7" t="str">
        <v>经典专业刊</v>
      </c>
      <c r="H269" s="7" t="str">
        <v>研究/方法/综合</v>
      </c>
      <c r="I269" s="10" t="n">
        <v>2025</v>
      </c>
      <c r="J269" s="2" t="str">
        <v>否</v>
      </c>
      <c r="K269" s="2" t="str">
        <v>0007-1668</v>
      </c>
      <c r="L269" s="2" t="str">
        <v>1466-1799</v>
      </c>
      <c r="M269" s="7" t="str">
        <v>AGRICULTURE, DAIRY &amp; ANIMAL SCIENCE(SCIE)</v>
      </c>
      <c r="N269" s="7" t="str">
        <v>两份公开汇编一致</v>
      </c>
      <c r="O269" s="7" t="str"/>
      <c r="P269" s="15" t="str">
        <v>JIF来源</v>
      </c>
      <c r="Q269" s="15" t="str">
        <v>分区来源</v>
      </c>
      <c r="R269" s="15" t="str"/>
      <c r="S269" s="14" t="str">
        <v>https://www.tandfonline.com/toc/cbps20/current</v>
      </c>
      <c r="T269" s="7" t="str">
        <v>ISSN匹配公开元数据；未逐站复核</v>
      </c>
      <c r="U269" s="2" t="str">
        <v>官网来源</v>
      </c>
      <c r="V269" s="2" t="n">
        <v>2026</v>
      </c>
    </row>
    <row r="270" ht="34" customHeight="1">
      <c r="A270" s="7" t="str">
        <v>World Rabbit Science</v>
      </c>
      <c r="B270" s="7" t="str">
        <v>畜牧动物营养与繁殖</v>
      </c>
      <c r="C270" s="11" t="n">
        <v>4</v>
      </c>
      <c r="D270" s="12" t="n">
        <v>1.2</v>
      </c>
      <c r="E270" s="13" t="n">
        <v>2025</v>
      </c>
      <c r="F270" s="7" t="str">
        <v>其他</v>
      </c>
      <c r="G270" s="7" t="str">
        <v>领域期刊/新兴刊</v>
      </c>
      <c r="H270" s="7" t="str">
        <v>研究/方法/综合</v>
      </c>
      <c r="I270" s="10" t="n">
        <v>2025</v>
      </c>
      <c r="J270" s="2" t="str">
        <v>否</v>
      </c>
      <c r="K270" s="2" t="str">
        <v>1257-5011</v>
      </c>
      <c r="L270" s="2" t="str">
        <v>1989-8886</v>
      </c>
      <c r="M270" s="7" t="str">
        <v>AGRICULTURE, DAIRY &amp; ANIMAL SCIENCE(SCIE)</v>
      </c>
      <c r="N270" s="7" t="str">
        <v>公开汇编已匹配</v>
      </c>
      <c r="O270" s="7" t="str"/>
      <c r="P270" s="15" t="str">
        <v>JIF来源</v>
      </c>
      <c r="Q270" s="15" t="str">
        <v>分区来源</v>
      </c>
      <c r="R270" s="15" t="str"/>
      <c r="S270" s="14" t="str">
        <v>https://polipapers.upv.es/index.php/wrs</v>
      </c>
      <c r="T270" s="7" t="str">
        <v>ISSN匹配公开元数据；未逐站复核</v>
      </c>
      <c r="U270" s="2" t="str">
        <v>官网来源</v>
      </c>
      <c r="V270" s="2" t="n">
        <v>2026</v>
      </c>
    </row>
    <row r="271" ht="34" customHeight="1">
      <c r="A271" s="7" t="str">
        <v>Animal Production Science</v>
      </c>
      <c r="B271" s="7" t="str">
        <v>畜牧动物营养与繁殖</v>
      </c>
      <c r="C271" s="11" t="n">
        <v>4</v>
      </c>
      <c r="D271" s="12" t="n">
        <v>1.3</v>
      </c>
      <c r="E271" s="13" t="n">
        <v>2025</v>
      </c>
      <c r="F271" s="7" t="str">
        <v>其他</v>
      </c>
      <c r="G271" s="7" t="str">
        <v>领域期刊/新兴刊</v>
      </c>
      <c r="H271" s="7" t="str">
        <v>研究/方法/综合</v>
      </c>
      <c r="I271" s="10" t="n">
        <v>2025</v>
      </c>
      <c r="J271" s="2" t="str">
        <v>否</v>
      </c>
      <c r="K271" s="2" t="str">
        <v>1836-0939</v>
      </c>
      <c r="L271" s="2" t="str">
        <v>1836-5787</v>
      </c>
      <c r="M271" s="7" t="str">
        <v>AGRICULTURE, DAIRY &amp; ANIMAL SCIENCE(SCIE)</v>
      </c>
      <c r="N271" s="7" t="str">
        <v>公开汇编已匹配</v>
      </c>
      <c r="O271" s="7" t="str"/>
      <c r="P271" s="15" t="str">
        <v>JIF来源</v>
      </c>
      <c r="Q271" s="15" t="str">
        <v>分区来源</v>
      </c>
      <c r="R271" s="15" t="str"/>
      <c r="S271" s="14" t="str">
        <v>http://www.publish.csiro.au/an</v>
      </c>
      <c r="T271" s="7" t="str">
        <v>ISSN匹配公开元数据；未逐站复核</v>
      </c>
      <c r="U271" s="2" t="str">
        <v>官网来源</v>
      </c>
      <c r="V271" s="2" t="n">
        <v>2026</v>
      </c>
    </row>
    <row r="272" ht="34" customHeight="1">
      <c r="A272" s="7" t="str">
        <v>CANADIAN JOURNAL OF ANIMAL SCIENCE</v>
      </c>
      <c r="B272" s="7" t="str">
        <v>畜牧动物营养与繁殖</v>
      </c>
      <c r="C272" s="11" t="n">
        <v>4</v>
      </c>
      <c r="D272" s="12" t="n">
        <v>1.1</v>
      </c>
      <c r="E272" s="13" t="n">
        <v>2025</v>
      </c>
      <c r="F272" s="7" t="str">
        <v>其他</v>
      </c>
      <c r="G272" s="7" t="str">
        <v>领域期刊/新兴刊</v>
      </c>
      <c r="H272" s="7" t="str">
        <v>研究/方法/综合</v>
      </c>
      <c r="I272" s="10" t="n">
        <v>2025</v>
      </c>
      <c r="J272" s="2" t="str">
        <v>否</v>
      </c>
      <c r="K272" s="2" t="str">
        <v>0008-3984</v>
      </c>
      <c r="L272" s="2" t="str">
        <v>1918-1825</v>
      </c>
      <c r="M272" s="7" t="str">
        <v>AGRICULTURE, DAIRY &amp; ANIMAL SCIENCE(SCIE)</v>
      </c>
      <c r="N272" s="7" t="str">
        <v>公开汇编已匹配</v>
      </c>
      <c r="O272" s="7" t="str"/>
      <c r="P272" s="15" t="str">
        <v>JIF来源</v>
      </c>
      <c r="Q272" s="15" t="str">
        <v>分区来源</v>
      </c>
      <c r="R272" s="15" t="str"/>
      <c r="S272" s="14" t="str">
        <v>http://pubs.aic.ca/journal/cjas</v>
      </c>
      <c r="T272" s="7" t="str">
        <v>ISSN匹配公开元数据；未逐站复核</v>
      </c>
      <c r="U272" s="2" t="str">
        <v>官网来源</v>
      </c>
      <c r="V272" s="2" t="n">
        <v>2026</v>
      </c>
    </row>
    <row r="273" ht="34" customHeight="1">
      <c r="A273" s="7" t="str">
        <v>TRENDS IN PARASITOLOGY</v>
      </c>
      <c r="B273" s="7" t="str">
        <v>兽医与寄生虫</v>
      </c>
      <c r="C273" s="11" t="n">
        <v>2</v>
      </c>
      <c r="D273" s="12" t="n">
        <v>7.6</v>
      </c>
      <c r="E273" s="13" t="n">
        <v>2025</v>
      </c>
      <c r="F273" s="7" t="str">
        <v>Cell Press（含合作刊）</v>
      </c>
      <c r="G273" s="7" t="str">
        <v>领域期刊/新兴刊</v>
      </c>
      <c r="H273" s="7" t="str">
        <v>综述为主</v>
      </c>
      <c r="I273" s="10" t="n">
        <v>2025</v>
      </c>
      <c r="J273" s="2" t="str">
        <v>否</v>
      </c>
      <c r="K273" s="2" t="str">
        <v>1471-4922</v>
      </c>
      <c r="L273" s="2" t="str">
        <v>1471-5007</v>
      </c>
      <c r="M273" s="7" t="str">
        <v>PARASITOLOGY(SCIE)</v>
      </c>
      <c r="N273" s="7" t="str">
        <v>两份公开汇编一致</v>
      </c>
      <c r="O273" s="7" t="str"/>
      <c r="P273" s="15" t="str">
        <v>JIF来源</v>
      </c>
      <c r="Q273" s="15" t="str">
        <v>分区来源</v>
      </c>
      <c r="R273" s="15" t="str"/>
      <c r="S273" s="14" t="str">
        <v>https://www.journals.elsevier.com/trends-in-parasitology</v>
      </c>
      <c r="T273" s="7" t="str">
        <v>ISSN匹配公开元数据；未逐站复核</v>
      </c>
      <c r="U273" s="2" t="str">
        <v>官网来源</v>
      </c>
      <c r="V273" s="2" t="n">
        <v>2026</v>
      </c>
    </row>
    <row r="274" ht="34" customHeight="1">
      <c r="A274" s="7" t="str">
        <v>One Health</v>
      </c>
      <c r="B274" s="7" t="str">
        <v>兽医与寄生虫</v>
      </c>
      <c r="C274" s="11" t="n">
        <v>2</v>
      </c>
      <c r="D274" s="12" t="n">
        <v>5.3</v>
      </c>
      <c r="E274" s="13" t="n">
        <v>2025</v>
      </c>
      <c r="F274" s="7" t="str">
        <v>其他</v>
      </c>
      <c r="G274" s="7" t="str">
        <v>领域期刊/新兴刊</v>
      </c>
      <c r="H274" s="7" t="str">
        <v>研究/方法/综合</v>
      </c>
      <c r="I274" s="10" t="n">
        <v>2025</v>
      </c>
      <c r="J274" s="2" t="str">
        <v>否</v>
      </c>
      <c r="K274" s="2" t="str"/>
      <c r="L274" s="2" t="str">
        <v>2352-7714</v>
      </c>
      <c r="M274" s="7" t="str">
        <v>INFECTIOUS DISEASES(SCIE);PUBLIC, ENVIRONMENTAL &amp; OCCUPATIONAL HEALTH(SCIE)</v>
      </c>
      <c r="N274" s="7" t="str">
        <v>两份公开汇编一致</v>
      </c>
      <c r="O274" s="7" t="str"/>
      <c r="P274" s="15" t="str">
        <v>JIF来源</v>
      </c>
      <c r="Q274" s="15" t="str">
        <v>分区来源</v>
      </c>
      <c r="R274" s="15" t="str"/>
      <c r="S274" s="14" t="str">
        <v>https://www.journals.elsevier.com/one-health</v>
      </c>
      <c r="T274" s="7" t="str">
        <v>ISSN匹配公开元数据；未逐站复核</v>
      </c>
      <c r="U274" s="2" t="str">
        <v>官网来源</v>
      </c>
      <c r="V274" s="2" t="n">
        <v>2026</v>
      </c>
    </row>
    <row r="275" ht="34" customHeight="1">
      <c r="A275" s="7" t="str">
        <v>Parasites &amp; Vectors</v>
      </c>
      <c r="B275" s="7" t="str">
        <v>兽医与寄生虫</v>
      </c>
      <c r="C275" s="11" t="n">
        <v>2</v>
      </c>
      <c r="D275" s="12" t="n">
        <v>3.7</v>
      </c>
      <c r="E275" s="13" t="n">
        <v>2025</v>
      </c>
      <c r="F275" s="7" t="str">
        <v>其他</v>
      </c>
      <c r="G275" s="7" t="str">
        <v>领域期刊/新兴刊</v>
      </c>
      <c r="H275" s="7" t="str">
        <v>研究/方法/综合</v>
      </c>
      <c r="I275" s="10" t="n">
        <v>2025</v>
      </c>
      <c r="J275" s="2" t="str">
        <v>否</v>
      </c>
      <c r="K275" s="2" t="str">
        <v>1756-3305</v>
      </c>
      <c r="L275" s="2" t="str">
        <v>1756-3305</v>
      </c>
      <c r="M275" s="7" t="str">
        <v>PARASITOLOGY(SCIE);TROPICAL MEDICINE(SCIE)</v>
      </c>
      <c r="N275" s="7" t="str">
        <v>两份公开汇编一致</v>
      </c>
      <c r="O275" s="7" t="str"/>
      <c r="P275" s="15" t="str">
        <v>JIF来源</v>
      </c>
      <c r="Q275" s="15" t="str">
        <v>分区来源</v>
      </c>
      <c r="R275" s="15" t="str"/>
      <c r="S275" s="14" t="str">
        <v>http://www.parasitesandvectors.com/</v>
      </c>
      <c r="T275" s="7" t="str">
        <v>ISSN匹配公开元数据；未逐站复核</v>
      </c>
      <c r="U275" s="2" t="str">
        <v>官网来源</v>
      </c>
      <c r="V275" s="2" t="n">
        <v>2026</v>
      </c>
    </row>
    <row r="276" ht="34" customHeight="1">
      <c r="A276" s="7" t="str">
        <v>VETERINARY RESEARCH</v>
      </c>
      <c r="B276" s="7" t="str">
        <v>兽医与寄生虫</v>
      </c>
      <c r="C276" s="11" t="n">
        <v>2</v>
      </c>
      <c r="D276" s="12" t="n">
        <v>3.8</v>
      </c>
      <c r="E276" s="13" t="n">
        <v>2025</v>
      </c>
      <c r="F276" s="7" t="str">
        <v>其他</v>
      </c>
      <c r="G276" s="7" t="str">
        <v>经典专业刊</v>
      </c>
      <c r="H276" s="7" t="str">
        <v>研究/方法/综合</v>
      </c>
      <c r="I276" s="10" t="n">
        <v>2025</v>
      </c>
      <c r="J276" s="2" t="str">
        <v>否</v>
      </c>
      <c r="K276" s="2" t="str">
        <v>0928-4249</v>
      </c>
      <c r="L276" s="2" t="str">
        <v>1297-9716</v>
      </c>
      <c r="M276" s="7" t="str">
        <v>VETERINARY SCIENCES(SCIE)</v>
      </c>
      <c r="N276" s="7" t="str">
        <v>两份公开汇编一致</v>
      </c>
      <c r="O276" s="7" t="str"/>
      <c r="P276" s="15" t="str">
        <v>JIF来源</v>
      </c>
      <c r="Q276" s="15" t="str">
        <v>分区来源</v>
      </c>
      <c r="R276" s="15" t="str"/>
      <c r="S276" s="14" t="str">
        <v>https://veterinaryresearch.biomedcentral.com/</v>
      </c>
      <c r="T276" s="7" t="str">
        <v>ISSN匹配公开元数据；未逐站复核</v>
      </c>
      <c r="U276" s="2" t="str">
        <v>官网来源</v>
      </c>
      <c r="V276" s="2" t="n">
        <v>2026</v>
      </c>
    </row>
    <row r="277" ht="34" customHeight="1">
      <c r="A277" s="7" t="str">
        <v>INTERNATIONAL JOURNAL FOR PARASITOLOGY</v>
      </c>
      <c r="B277" s="7" t="str">
        <v>兽医与寄生虫</v>
      </c>
      <c r="C277" s="11" t="n">
        <v>2</v>
      </c>
      <c r="D277" s="12" t="n">
        <v>3.3</v>
      </c>
      <c r="E277" s="13" t="n">
        <v>2025</v>
      </c>
      <c r="F277" s="7" t="str">
        <v>其他</v>
      </c>
      <c r="G277" s="7" t="str">
        <v>领域期刊/新兴刊</v>
      </c>
      <c r="H277" s="7" t="str">
        <v>研究/方法/综合</v>
      </c>
      <c r="I277" s="10" t="n">
        <v>2025</v>
      </c>
      <c r="J277" s="2" t="str">
        <v>否</v>
      </c>
      <c r="K277" s="2" t="str">
        <v>0020-7519</v>
      </c>
      <c r="L277" s="2" t="str">
        <v>1879-0135</v>
      </c>
      <c r="M277" s="7" t="str">
        <v>PARASITOLOGY(SCIE)</v>
      </c>
      <c r="N277" s="7" t="str">
        <v>两份公开汇编一致</v>
      </c>
      <c r="O277" s="7" t="str"/>
      <c r="P277" s="15" t="str">
        <v>JIF来源</v>
      </c>
      <c r="Q277" s="15" t="str">
        <v>分区来源</v>
      </c>
      <c r="R277" s="15" t="str"/>
      <c r="S277" s="14" t="str">
        <v>http://www.elsevier.com/wps/find/journaldescription.cws_home/353/description#description</v>
      </c>
      <c r="T277" s="7" t="str">
        <v>ISSN匹配公开元数据；未逐站复核</v>
      </c>
      <c r="U277" s="2" t="str">
        <v>官网来源</v>
      </c>
      <c r="V277" s="2" t="n">
        <v>2026</v>
      </c>
    </row>
    <row r="278" ht="34" customHeight="1">
      <c r="A278" s="7" t="str">
        <v>Porcine Health Management</v>
      </c>
      <c r="B278" s="7" t="str">
        <v>兽医与寄生虫</v>
      </c>
      <c r="C278" s="11" t="n">
        <v>2</v>
      </c>
      <c r="D278" s="12" t="n">
        <v>3.2</v>
      </c>
      <c r="E278" s="13" t="n">
        <v>2025</v>
      </c>
      <c r="F278" s="7" t="str">
        <v>其他</v>
      </c>
      <c r="G278" s="7" t="str">
        <v>领域期刊/新兴刊</v>
      </c>
      <c r="H278" s="7" t="str">
        <v>研究/方法/综合</v>
      </c>
      <c r="I278" s="10" t="n">
        <v>2025</v>
      </c>
      <c r="J278" s="2" t="str">
        <v>否</v>
      </c>
      <c r="K278" s="2" t="str"/>
      <c r="L278" s="2" t="str">
        <v>2055-5660</v>
      </c>
      <c r="M278" s="7" t="str">
        <v>VETERINARY SCIENCES(SCIE)</v>
      </c>
      <c r="N278" s="7" t="str">
        <v>两份公开汇编一致</v>
      </c>
      <c r="O278" s="7" t="str"/>
      <c r="P278" s="15" t="str">
        <v>JIF来源</v>
      </c>
      <c r="Q278" s="15" t="str">
        <v>分区来源</v>
      </c>
      <c r="R278" s="15" t="str"/>
      <c r="S278" s="14" t="str">
        <v>https://porcinehealthmanagement.biomedcentral.com/</v>
      </c>
      <c r="T278" s="7" t="str">
        <v>ISSN匹配公开元数据；未逐站复核</v>
      </c>
      <c r="U278" s="2" t="str">
        <v>官网来源</v>
      </c>
      <c r="V278" s="2" t="n">
        <v>2026</v>
      </c>
    </row>
    <row r="279" ht="34" customHeight="1">
      <c r="A279" s="7" t="str">
        <v>VETERINARY JOURNAL</v>
      </c>
      <c r="B279" s="7" t="str">
        <v>兽医与寄生虫</v>
      </c>
      <c r="C279" s="11" t="n">
        <v>2</v>
      </c>
      <c r="D279" s="12" t="n">
        <v>2.7</v>
      </c>
      <c r="E279" s="13" t="n">
        <v>2025</v>
      </c>
      <c r="F279" s="7" t="str">
        <v>其他</v>
      </c>
      <c r="G279" s="7" t="str">
        <v>领域期刊/新兴刊</v>
      </c>
      <c r="H279" s="7" t="str">
        <v>研究/方法/综合</v>
      </c>
      <c r="I279" s="10" t="n">
        <v>2025</v>
      </c>
      <c r="J279" s="2" t="str">
        <v>否</v>
      </c>
      <c r="K279" s="2" t="str">
        <v>1090-0233</v>
      </c>
      <c r="L279" s="2" t="str">
        <v>1532-2971</v>
      </c>
      <c r="M279" s="7" t="str">
        <v>VETERINARY SCIENCES(SCIE)</v>
      </c>
      <c r="N279" s="7" t="str">
        <v>两份公开汇编一致</v>
      </c>
      <c r="O279" s="7" t="str"/>
      <c r="P279" s="15" t="str">
        <v>JIF来源</v>
      </c>
      <c r="Q279" s="15" t="str">
        <v>分区来源</v>
      </c>
      <c r="R279" s="15" t="str"/>
      <c r="S279" s="14" t="str">
        <v>https://www.journals.elsevier.com/the-veterinary-journal</v>
      </c>
      <c r="T279" s="7" t="str">
        <v>ISSN匹配公开元数据；未逐站复核</v>
      </c>
      <c r="U279" s="2" t="str">
        <v>官网来源</v>
      </c>
      <c r="V279" s="2" t="n">
        <v>2026</v>
      </c>
    </row>
    <row r="280" ht="34" customHeight="1">
      <c r="A280" s="7" t="str">
        <v>Transboundary and Emerging Diseases</v>
      </c>
      <c r="B280" s="7" t="str">
        <v>兽医与寄生虫</v>
      </c>
      <c r="C280" s="11" t="n">
        <v>2</v>
      </c>
      <c r="D280" s="12" t="n">
        <v>2.6</v>
      </c>
      <c r="E280" s="13" t="n">
        <v>2025</v>
      </c>
      <c r="F280" s="7" t="str">
        <v>其他</v>
      </c>
      <c r="G280" s="7" t="str">
        <v>领域期刊/新兴刊</v>
      </c>
      <c r="H280" s="7" t="str">
        <v>研究/方法/综合</v>
      </c>
      <c r="I280" s="10" t="n">
        <v>2025</v>
      </c>
      <c r="J280" s="2" t="str">
        <v>否</v>
      </c>
      <c r="K280" s="2" t="str">
        <v>1865-1674</v>
      </c>
      <c r="L280" s="2" t="str">
        <v>1865-1682</v>
      </c>
      <c r="M280" s="7" t="str">
        <v>INFECTIOUS DISEASES(SCIE);VETERINARY SCIENCES(SCIE)</v>
      </c>
      <c r="N280" s="7" t="str">
        <v>两份公开汇编一致</v>
      </c>
      <c r="O280" s="7" t="str"/>
      <c r="P280" s="15" t="str">
        <v>JIF来源</v>
      </c>
      <c r="Q280" s="15" t="str">
        <v>分区来源</v>
      </c>
      <c r="R280" s="15" t="str"/>
      <c r="S280" s="14" t="str">
        <v>https://onlinelibrary.wiley.com/journal/18651682</v>
      </c>
      <c r="T280" s="7" t="str">
        <v>ISSN匹配公开元数据；未逐站复核</v>
      </c>
      <c r="U280" s="2" t="str">
        <v>官网来源</v>
      </c>
      <c r="V280" s="2" t="n">
        <v>2026</v>
      </c>
    </row>
    <row r="281" ht="34" customHeight="1">
      <c r="A281" s="7" t="str">
        <v>Frontiers in Veterinary Science</v>
      </c>
      <c r="B281" s="7" t="str">
        <v>兽医与寄生虫</v>
      </c>
      <c r="C281" s="11" t="n">
        <v>2</v>
      </c>
      <c r="D281" s="12" t="n">
        <v>3.1</v>
      </c>
      <c r="E281" s="13" t="n">
        <v>2025</v>
      </c>
      <c r="F281" s="7" t="str">
        <v>其他</v>
      </c>
      <c r="G281" s="7" t="str">
        <v>领域期刊/新兴刊</v>
      </c>
      <c r="H281" s="7" t="str">
        <v>研究/方法/综合</v>
      </c>
      <c r="I281" s="10" t="n">
        <v>2025</v>
      </c>
      <c r="J281" s="2" t="str">
        <v>否</v>
      </c>
      <c r="K281" s="2" t="str"/>
      <c r="L281" s="2" t="str">
        <v>2297-1769</v>
      </c>
      <c r="M281" s="7" t="str">
        <v>VETERINARY SCIENCES(SCIE)</v>
      </c>
      <c r="N281" s="7" t="str">
        <v>两份公开汇编一致</v>
      </c>
      <c r="O281" s="7" t="str"/>
      <c r="P281" s="15" t="str">
        <v>JIF来源</v>
      </c>
      <c r="Q281" s="15" t="str">
        <v>分区来源</v>
      </c>
      <c r="R281" s="15" t="str"/>
      <c r="S281" s="14" t="str">
        <v>http://www.frontiersin.org/Veterinary_Science</v>
      </c>
      <c r="T281" s="7" t="str">
        <v>ISSN匹配公开元数据；未逐站复核</v>
      </c>
      <c r="U281" s="2" t="str">
        <v>官网来源</v>
      </c>
      <c r="V281" s="2" t="n">
        <v>2026</v>
      </c>
    </row>
    <row r="282" ht="34" customHeight="1">
      <c r="A282" s="7" t="str">
        <v>VETERINARY MICROBIOLOGY</v>
      </c>
      <c r="B282" s="7" t="str">
        <v>兽医与寄生虫</v>
      </c>
      <c r="C282" s="11" t="n">
        <v>2</v>
      </c>
      <c r="D282" s="12" t="n">
        <v>2.8</v>
      </c>
      <c r="E282" s="13" t="n">
        <v>2025</v>
      </c>
      <c r="F282" s="7" t="str">
        <v>其他</v>
      </c>
      <c r="G282" s="7" t="str">
        <v>经典专业刊</v>
      </c>
      <c r="H282" s="7" t="str">
        <v>研究/方法/综合</v>
      </c>
      <c r="I282" s="10" t="n">
        <v>2025</v>
      </c>
      <c r="J282" s="2" t="str">
        <v>否</v>
      </c>
      <c r="K282" s="2" t="str">
        <v>0378-1135</v>
      </c>
      <c r="L282" s="2" t="str">
        <v>1873-2542</v>
      </c>
      <c r="M282" s="7" t="str">
        <v>MICROBIOLOGY(SCIE);VETERINARY SCIENCES(SCIE)</v>
      </c>
      <c r="N282" s="7" t="str">
        <v>两份公开汇编一致</v>
      </c>
      <c r="O282" s="7" t="str"/>
      <c r="P282" s="15" t="str">
        <v>JIF来源</v>
      </c>
      <c r="Q282" s="15" t="str">
        <v>分区来源</v>
      </c>
      <c r="R282" s="15" t="str"/>
      <c r="S282" s="14" t="str">
        <v>https://www.journals.elsevier.com/veterinary-microbiology</v>
      </c>
      <c r="T282" s="7" t="str">
        <v>ISSN匹配公开元数据；未逐站复核</v>
      </c>
      <c r="U282" s="2" t="str">
        <v>官网来源</v>
      </c>
      <c r="V282" s="2" t="n">
        <v>2026</v>
      </c>
    </row>
    <row r="283" ht="34" customHeight="1">
      <c r="A283" s="7" t="str">
        <v>BMC Veterinary Research</v>
      </c>
      <c r="B283" s="7" t="str">
        <v>兽医与寄生虫</v>
      </c>
      <c r="C283" s="11" t="n">
        <v>2</v>
      </c>
      <c r="D283" s="12" t="n">
        <v>3.1</v>
      </c>
      <c r="E283" s="13" t="n">
        <v>2025</v>
      </c>
      <c r="F283" s="7" t="str">
        <v>其他</v>
      </c>
      <c r="G283" s="7" t="str">
        <v>领域期刊/新兴刊</v>
      </c>
      <c r="H283" s="7" t="str">
        <v>研究/方法/综合</v>
      </c>
      <c r="I283" s="10" t="n">
        <v>2025</v>
      </c>
      <c r="J283" s="2" t="str">
        <v>否</v>
      </c>
      <c r="K283" s="2" t="str"/>
      <c r="L283" s="2" t="str">
        <v>1746-6148</v>
      </c>
      <c r="M283" s="7" t="str">
        <v>VETERINARY SCIENCES(SCIE)</v>
      </c>
      <c r="N283" s="7" t="str">
        <v>两份公开汇编一致</v>
      </c>
      <c r="O283" s="7" t="str"/>
      <c r="P283" s="15" t="str">
        <v>JIF来源</v>
      </c>
      <c r="Q283" s="15" t="str">
        <v>分区来源</v>
      </c>
      <c r="R283" s="15" t="str"/>
      <c r="S283" s="14" t="str">
        <v>https://bmcvetres.biomedcentral.com/</v>
      </c>
      <c r="T283" s="7" t="str">
        <v>ISSN匹配公开元数据；未逐站复核</v>
      </c>
      <c r="U283" s="2" t="str">
        <v>官网来源</v>
      </c>
      <c r="V283" s="2" t="n">
        <v>2026</v>
      </c>
    </row>
    <row r="284" ht="34" customHeight="1">
      <c r="A284" s="7" t="str">
        <v>PREVENTIVE VETERINARY MEDICINE</v>
      </c>
      <c r="B284" s="7" t="str">
        <v>兽医与寄生虫</v>
      </c>
      <c r="C284" s="11" t="n">
        <v>2</v>
      </c>
      <c r="D284" s="12" t="n">
        <v>2.8</v>
      </c>
      <c r="E284" s="13" t="n">
        <v>2025</v>
      </c>
      <c r="F284" s="7" t="str">
        <v>其他</v>
      </c>
      <c r="G284" s="7" t="str">
        <v>领域期刊/新兴刊</v>
      </c>
      <c r="H284" s="7" t="str">
        <v>研究/方法/综合</v>
      </c>
      <c r="I284" s="10" t="n">
        <v>2025</v>
      </c>
      <c r="J284" s="2" t="str">
        <v>否</v>
      </c>
      <c r="K284" s="2" t="str">
        <v>0167-5877</v>
      </c>
      <c r="L284" s="2" t="str">
        <v>1873-1716</v>
      </c>
      <c r="M284" s="7" t="str">
        <v>VETERINARY SCIENCES(SCIE)</v>
      </c>
      <c r="N284" s="7" t="str">
        <v>两份公开汇编一致</v>
      </c>
      <c r="O284" s="7" t="str"/>
      <c r="P284" s="15" t="str">
        <v>JIF来源</v>
      </c>
      <c r="Q284" s="15" t="str">
        <v>分区来源</v>
      </c>
      <c r="R284" s="15" t="str"/>
      <c r="S284" s="14" t="str">
        <v>https://www.journals.elsevier.com/preventive-veterinary-medicine</v>
      </c>
      <c r="T284" s="7" t="str">
        <v>ISSN匹配公开元数据；未逐站复核</v>
      </c>
      <c r="U284" s="2" t="str">
        <v>官网来源</v>
      </c>
      <c r="V284" s="2" t="n">
        <v>2026</v>
      </c>
    </row>
    <row r="285" ht="34" customHeight="1">
      <c r="A285" s="7" t="str">
        <v>EQUINE VETERINARY JOURNAL</v>
      </c>
      <c r="B285" s="7" t="str">
        <v>兽医与寄生虫</v>
      </c>
      <c r="C285" s="11" t="n">
        <v>2</v>
      </c>
      <c r="D285" s="12" t="n">
        <v>2.4</v>
      </c>
      <c r="E285" s="13" t="n">
        <v>2025</v>
      </c>
      <c r="F285" s="7" t="str">
        <v>其他</v>
      </c>
      <c r="G285" s="7" t="str">
        <v>领域期刊/新兴刊</v>
      </c>
      <c r="H285" s="7" t="str">
        <v>研究/方法/综合</v>
      </c>
      <c r="I285" s="10" t="n">
        <v>2025</v>
      </c>
      <c r="J285" s="2" t="str">
        <v>否</v>
      </c>
      <c r="K285" s="2" t="str">
        <v>0425-1644</v>
      </c>
      <c r="L285" s="2" t="str">
        <v>2042-3306</v>
      </c>
      <c r="M285" s="7" t="str">
        <v>VETERINARY SCIENCES(SCIE)</v>
      </c>
      <c r="N285" s="7" t="str">
        <v>两份公开汇编一致</v>
      </c>
      <c r="O285" s="7" t="str"/>
      <c r="P285" s="15" t="str">
        <v>JIF来源</v>
      </c>
      <c r="Q285" s="15" t="str">
        <v>分区来源</v>
      </c>
      <c r="R285" s="15" t="str"/>
      <c r="S285" s="14" t="str">
        <v>https://onlinelibrary.wiley.com/journal/20423306</v>
      </c>
      <c r="T285" s="7" t="str">
        <v>ISSN匹配公开元数据；未逐站复核</v>
      </c>
      <c r="U285" s="2" t="str">
        <v>官网来源</v>
      </c>
      <c r="V285" s="2" t="n">
        <v>2026</v>
      </c>
    </row>
    <row r="286" ht="34" customHeight="1">
      <c r="A286" s="7" t="str">
        <v>JOURNAL OF VETERINARY INTERNAL MEDICINE</v>
      </c>
      <c r="B286" s="7" t="str">
        <v>兽医与寄生虫</v>
      </c>
      <c r="C286" s="11" t="n">
        <v>2</v>
      </c>
      <c r="D286" s="12" t="n">
        <v>2.4</v>
      </c>
      <c r="E286" s="13" t="n">
        <v>2025</v>
      </c>
      <c r="F286" s="7" t="str">
        <v>其他</v>
      </c>
      <c r="G286" s="7" t="str">
        <v>领域期刊/新兴刊</v>
      </c>
      <c r="H286" s="7" t="str">
        <v>研究/方法/综合</v>
      </c>
      <c r="I286" s="10" t="n">
        <v>2025</v>
      </c>
      <c r="J286" s="2" t="str">
        <v>是</v>
      </c>
      <c r="K286" s="2" t="str">
        <v>0891-6640</v>
      </c>
      <c r="L286" s="2" t="str">
        <v>1939-1676</v>
      </c>
      <c r="M286" s="7" t="str">
        <v>VETERINARY SCIENCES(SCIE)</v>
      </c>
      <c r="N286" s="7" t="str">
        <v>两份公开汇编一致</v>
      </c>
      <c r="O286" s="7" t="str"/>
      <c r="P286" s="15" t="str">
        <v>JIF来源</v>
      </c>
      <c r="Q286" s="15" t="str">
        <v>分区来源</v>
      </c>
      <c r="R286" s="15" t="str"/>
      <c r="S286" s="14" t="str">
        <v>https://onlinelibrary.wiley.com/journal/19391676</v>
      </c>
      <c r="T286" s="7" t="str">
        <v>ISSN匹配公开元数据；未逐站复核</v>
      </c>
      <c r="U286" s="2" t="str">
        <v>官网来源</v>
      </c>
      <c r="V286" s="2" t="n">
        <v>2026</v>
      </c>
    </row>
    <row r="287" ht="34" customHeight="1">
      <c r="A287" s="7" t="str">
        <v>VETERINARY PATHOLOGY</v>
      </c>
      <c r="B287" s="7" t="str">
        <v>兽医与寄生虫</v>
      </c>
      <c r="C287" s="11" t="n">
        <v>2</v>
      </c>
      <c r="D287" s="12" t="n">
        <v>2.3</v>
      </c>
      <c r="E287" s="13" t="n">
        <v>2025</v>
      </c>
      <c r="F287" s="7" t="str">
        <v>其他</v>
      </c>
      <c r="G287" s="7" t="str">
        <v>经典专业刊</v>
      </c>
      <c r="H287" s="7" t="str">
        <v>研究/方法/综合</v>
      </c>
      <c r="I287" s="10" t="n">
        <v>2025</v>
      </c>
      <c r="J287" s="2" t="str">
        <v>否</v>
      </c>
      <c r="K287" s="2" t="str">
        <v>0300-9858</v>
      </c>
      <c r="L287" s="2" t="str">
        <v>1544-2217</v>
      </c>
      <c r="M287" s="7" t="str">
        <v>PATHOLOGY(SCIE);VETERINARY SCIENCES(SCIE)</v>
      </c>
      <c r="N287" s="7" t="str">
        <v>两份公开汇编一致</v>
      </c>
      <c r="O287" s="7" t="str"/>
      <c r="P287" s="15" t="str">
        <v>JIF来源</v>
      </c>
      <c r="Q287" s="15" t="str">
        <v>分区来源</v>
      </c>
      <c r="R287" s="15" t="str"/>
      <c r="S287" s="14" t="str">
        <v>http://vet.sagepub.com/</v>
      </c>
      <c r="T287" s="7" t="str">
        <v>ISSN匹配公开元数据；未逐站复核</v>
      </c>
      <c r="U287" s="2" t="str">
        <v>官网来源</v>
      </c>
      <c r="V287" s="2" t="n">
        <v>2026</v>
      </c>
    </row>
    <row r="288" ht="34" customHeight="1">
      <c r="A288" s="7" t="str">
        <v>ACTA TROPICA</v>
      </c>
      <c r="B288" s="7" t="str">
        <v>兽医与寄生虫</v>
      </c>
      <c r="C288" s="11" t="n">
        <v>3</v>
      </c>
      <c r="D288" s="12" t="n">
        <v>2.6</v>
      </c>
      <c r="E288" s="13" t="n">
        <v>2025</v>
      </c>
      <c r="F288" s="7" t="str">
        <v>其他</v>
      </c>
      <c r="G288" s="7" t="str">
        <v>领域期刊/新兴刊</v>
      </c>
      <c r="H288" s="7" t="str">
        <v>研究/方法/综合</v>
      </c>
      <c r="I288" s="10" t="n">
        <v>2025</v>
      </c>
      <c r="J288" s="2" t="str">
        <v>否</v>
      </c>
      <c r="K288" s="2" t="str">
        <v>0001-706X</v>
      </c>
      <c r="L288" s="2" t="str">
        <v>1873-6254</v>
      </c>
      <c r="M288" s="7" t="str">
        <v>PARASITOLOGY(SCIE);TROPICAL MEDICINE(SCIE)</v>
      </c>
      <c r="N288" s="7" t="str">
        <v>两份公开汇编一致</v>
      </c>
      <c r="O288" s="7" t="str"/>
      <c r="P288" s="15" t="str">
        <v>JIF来源</v>
      </c>
      <c r="Q288" s="15" t="str">
        <v>分区来源</v>
      </c>
      <c r="R288" s="15" t="str"/>
      <c r="S288" s="14" t="str">
        <v>https://www.journals.elsevier.com/acta-tropica</v>
      </c>
      <c r="T288" s="7" t="str">
        <v>ISSN匹配公开元数据；未逐站复核</v>
      </c>
      <c r="U288" s="2" t="str">
        <v>官网来源</v>
      </c>
      <c r="V288" s="2" t="n">
        <v>2026</v>
      </c>
    </row>
    <row r="289" ht="34" customHeight="1">
      <c r="A289" s="7" t="str">
        <v>PARASITOLOGY</v>
      </c>
      <c r="B289" s="7" t="str">
        <v>兽医与寄生虫</v>
      </c>
      <c r="C289" s="11" t="n">
        <v>3</v>
      </c>
      <c r="D289" s="12" t="n">
        <v>2.5</v>
      </c>
      <c r="E289" s="13" t="n">
        <v>2025</v>
      </c>
      <c r="F289" s="7" t="str">
        <v>其他</v>
      </c>
      <c r="G289" s="7" t="str">
        <v>领域期刊/新兴刊</v>
      </c>
      <c r="H289" s="7" t="str">
        <v>研究/方法/综合</v>
      </c>
      <c r="I289" s="10" t="n">
        <v>2025</v>
      </c>
      <c r="J289" s="2" t="str">
        <v>否</v>
      </c>
      <c r="K289" s="2" t="str">
        <v>0031-1820</v>
      </c>
      <c r="L289" s="2" t="str">
        <v>1469-8161</v>
      </c>
      <c r="M289" s="7" t="str">
        <v>PARASITOLOGY(SCIE)</v>
      </c>
      <c r="N289" s="7" t="str">
        <v>两份公开汇编一致</v>
      </c>
      <c r="O289" s="7" t="str"/>
      <c r="P289" s="15" t="str">
        <v>JIF来源</v>
      </c>
      <c r="Q289" s="15" t="str">
        <v>分区来源</v>
      </c>
      <c r="R289" s="15" t="str"/>
      <c r="S289" s="14" t="str">
        <v>https://www.cambridge.org/core/journals/parasitology</v>
      </c>
      <c r="T289" s="7" t="str">
        <v>ISSN匹配公开元数据；未逐站复核</v>
      </c>
      <c r="U289" s="2" t="str">
        <v>官网来源</v>
      </c>
      <c r="V289" s="2" t="n">
        <v>2026</v>
      </c>
    </row>
    <row r="290" ht="34" customHeight="1">
      <c r="A290" s="7" t="str">
        <v>Parasite</v>
      </c>
      <c r="B290" s="7" t="str">
        <v>兽医与寄生虫</v>
      </c>
      <c r="C290" s="11" t="n">
        <v>3</v>
      </c>
      <c r="D290" s="12" t="n">
        <v>2.8</v>
      </c>
      <c r="E290" s="13" t="n">
        <v>2025</v>
      </c>
      <c r="F290" s="7" t="str">
        <v>其他</v>
      </c>
      <c r="G290" s="7" t="str">
        <v>领域期刊/新兴刊</v>
      </c>
      <c r="H290" s="7" t="str">
        <v>研究/方法/综合</v>
      </c>
      <c r="I290" s="10" t="n">
        <v>2025</v>
      </c>
      <c r="J290" s="2" t="str">
        <v>否</v>
      </c>
      <c r="K290" s="2" t="str">
        <v>1252-607X</v>
      </c>
      <c r="L290" s="2" t="str">
        <v>1776-1042</v>
      </c>
      <c r="M290" s="7" t="str">
        <v>PARASITOLOGY(SCIE)</v>
      </c>
      <c r="N290" s="7" t="str">
        <v>两份公开汇编一致</v>
      </c>
      <c r="O290" s="7" t="str"/>
      <c r="P290" s="15" t="str">
        <v>JIF来源</v>
      </c>
      <c r="Q290" s="15" t="str">
        <v>分区来源</v>
      </c>
      <c r="R290" s="15" t="str"/>
      <c r="S290" s="14" t="str">
        <v>http://www.parasite-journal.org/</v>
      </c>
      <c r="T290" s="7" t="str">
        <v>ISSN匹配公开元数据；未逐站复核</v>
      </c>
      <c r="U290" s="2" t="str">
        <v>官网来源</v>
      </c>
      <c r="V290" s="2" t="n">
        <v>2026</v>
      </c>
    </row>
    <row r="291" ht="34" customHeight="1">
      <c r="A291" s="7" t="str">
        <v>AVIAN PATHOLOGY</v>
      </c>
      <c r="B291" s="7" t="str">
        <v>兽医与寄生虫</v>
      </c>
      <c r="C291" s="11" t="n">
        <v>3</v>
      </c>
      <c r="D291" s="12" t="n">
        <v>2.7</v>
      </c>
      <c r="E291" s="13" t="n">
        <v>2025</v>
      </c>
      <c r="F291" s="7" t="str">
        <v>其他</v>
      </c>
      <c r="G291" s="7" t="str">
        <v>领域期刊/新兴刊</v>
      </c>
      <c r="H291" s="7" t="str">
        <v>研究/方法/综合</v>
      </c>
      <c r="I291" s="10" t="n">
        <v>2025</v>
      </c>
      <c r="J291" s="2" t="str">
        <v>否</v>
      </c>
      <c r="K291" s="2" t="str">
        <v>0307-9457</v>
      </c>
      <c r="L291" s="2" t="str">
        <v>1465-3338</v>
      </c>
      <c r="M291" s="7" t="str">
        <v>VETERINARY SCIENCES(SCIE)</v>
      </c>
      <c r="N291" s="7" t="str">
        <v>两份公开汇编一致</v>
      </c>
      <c r="O291" s="7" t="str"/>
      <c r="P291" s="15" t="str">
        <v>JIF来源</v>
      </c>
      <c r="Q291" s="15" t="str">
        <v>分区来源</v>
      </c>
      <c r="R291" s="15" t="str"/>
      <c r="S291" s="14" t="str">
        <v>https://www.tandfonline.com/toc/cavp20/current</v>
      </c>
      <c r="T291" s="7" t="str">
        <v>ISSN匹配公开元数据；未逐站复核</v>
      </c>
      <c r="U291" s="2" t="str">
        <v>官网来源</v>
      </c>
      <c r="V291" s="2" t="n">
        <v>2026</v>
      </c>
    </row>
    <row r="292" ht="34" customHeight="1">
      <c r="A292" s="7" t="str">
        <v>VETERINARY PARASITOLOGY</v>
      </c>
      <c r="B292" s="7" t="str">
        <v>兽医与寄生虫</v>
      </c>
      <c r="C292" s="11" t="n">
        <v>3</v>
      </c>
      <c r="D292" s="12" t="n">
        <v>2.7</v>
      </c>
      <c r="E292" s="13" t="n">
        <v>2025</v>
      </c>
      <c r="F292" s="7" t="str">
        <v>其他</v>
      </c>
      <c r="G292" s="7" t="str">
        <v>经典专业刊</v>
      </c>
      <c r="H292" s="7" t="str">
        <v>研究/方法/综合</v>
      </c>
      <c r="I292" s="10" t="n">
        <v>2025</v>
      </c>
      <c r="J292" s="2" t="str">
        <v>否</v>
      </c>
      <c r="K292" s="2" t="str">
        <v>0304-4017</v>
      </c>
      <c r="L292" s="2" t="str">
        <v>1873-2550</v>
      </c>
      <c r="M292" s="7" t="str">
        <v>PARASITOLOGY(SCIE);VETERINARY SCIENCES(SCIE)</v>
      </c>
      <c r="N292" s="7" t="str">
        <v>两份公开汇编一致</v>
      </c>
      <c r="O292" s="7" t="str"/>
      <c r="P292" s="15" t="str">
        <v>JIF来源</v>
      </c>
      <c r="Q292" s="15" t="str">
        <v>分区来源</v>
      </c>
      <c r="R292" s="15" t="str"/>
      <c r="S292" s="14" t="str">
        <v>https://www.journals.elsevier.com/veterinary-parasitology</v>
      </c>
      <c r="T292" s="7" t="str">
        <v>ISSN匹配公开元数据；未逐站复核</v>
      </c>
      <c r="U292" s="2" t="str">
        <v>官网来源</v>
      </c>
      <c r="V292" s="2" t="n">
        <v>2026</v>
      </c>
    </row>
    <row r="293" ht="34" customHeight="1">
      <c r="A293" s="7" t="str">
        <v>VETERINARY RESEARCH COMMUNICATIONS</v>
      </c>
      <c r="B293" s="7" t="str">
        <v>兽医与寄生虫</v>
      </c>
      <c r="C293" s="11" t="n">
        <v>3</v>
      </c>
      <c r="D293" s="12" t="n">
        <v>2.2</v>
      </c>
      <c r="E293" s="13" t="n">
        <v>2025</v>
      </c>
      <c r="F293" s="7" t="str">
        <v>其他</v>
      </c>
      <c r="G293" s="7" t="str">
        <v>领域期刊/新兴刊</v>
      </c>
      <c r="H293" s="7" t="str">
        <v>研究/方法/综合</v>
      </c>
      <c r="I293" s="10" t="n">
        <v>2025</v>
      </c>
      <c r="J293" s="2" t="str">
        <v>否</v>
      </c>
      <c r="K293" s="2" t="str">
        <v>0165-7380</v>
      </c>
      <c r="L293" s="2" t="str">
        <v>1573-7446</v>
      </c>
      <c r="M293" s="7" t="str">
        <v>VETERINARY SCIENCES(SCIE)</v>
      </c>
      <c r="N293" s="7" t="str">
        <v>两份公开汇编一致</v>
      </c>
      <c r="O293" s="7" t="str"/>
      <c r="P293" s="15" t="str">
        <v>JIF来源</v>
      </c>
      <c r="Q293" s="15" t="str">
        <v>分区来源</v>
      </c>
      <c r="R293" s="15" t="str"/>
      <c r="S293" s="14" t="str">
        <v>https://www.springer.com/journal/11259</v>
      </c>
      <c r="T293" s="7" t="str">
        <v>ISSN匹配公开元数据；未逐站复核</v>
      </c>
      <c r="U293" s="2" t="str">
        <v>官网来源</v>
      </c>
      <c r="V293" s="2" t="n">
        <v>2026</v>
      </c>
    </row>
    <row r="294" ht="34" customHeight="1">
      <c r="A294" s="7" t="str">
        <v>JAVMA-JOURNAL OF THE AMERICAN VETERINARY MEDICAL ASSOCIATION</v>
      </c>
      <c r="B294" s="7" t="str">
        <v>兽医与寄生虫</v>
      </c>
      <c r="C294" s="11" t="n">
        <v>3</v>
      </c>
      <c r="D294" s="12" t="n">
        <v>2.3</v>
      </c>
      <c r="E294" s="13" t="n">
        <v>2025</v>
      </c>
      <c r="F294" s="7" t="str">
        <v>其他</v>
      </c>
      <c r="G294" s="7" t="str">
        <v>领域期刊/新兴刊</v>
      </c>
      <c r="H294" s="7" t="str">
        <v>研究/方法/综合</v>
      </c>
      <c r="I294" s="10" t="n">
        <v>2025</v>
      </c>
      <c r="J294" s="2" t="str">
        <v>否</v>
      </c>
      <c r="K294" s="2" t="str">
        <v>0003-1488</v>
      </c>
      <c r="L294" s="2" t="str">
        <v>1943-569X</v>
      </c>
      <c r="M294" s="7" t="str">
        <v>VETERINARY SCIENCES(SCIE)</v>
      </c>
      <c r="N294" s="7" t="str">
        <v>两份公开汇编一致</v>
      </c>
      <c r="O294" s="7" t="str"/>
      <c r="P294" s="15" t="str">
        <v>JIF来源</v>
      </c>
      <c r="Q294" s="15" t="str">
        <v>分区来源</v>
      </c>
      <c r="R294" s="15" t="str"/>
      <c r="S294" s="14" t="str">
        <v>https://avmajournals.avma.org/view/journals/javma/javma-overview.xml</v>
      </c>
      <c r="T294" s="7" t="str">
        <v>出版社/期刊主页匹配</v>
      </c>
      <c r="U294" s="2" t="str">
        <v>官网来源</v>
      </c>
      <c r="V294" s="2" t="n">
        <v>2026</v>
      </c>
    </row>
    <row r="295" ht="34" customHeight="1">
      <c r="A295" s="7" t="str">
        <v>RESEARCH IN VETERINARY SCIENCE</v>
      </c>
      <c r="B295" s="7" t="str">
        <v>兽医与寄生虫</v>
      </c>
      <c r="C295" s="11" t="n">
        <v>3</v>
      </c>
      <c r="D295" s="12" t="n">
        <v>2.1</v>
      </c>
      <c r="E295" s="13" t="n">
        <v>2025</v>
      </c>
      <c r="F295" s="7" t="str">
        <v>其他</v>
      </c>
      <c r="G295" s="7" t="str">
        <v>领域期刊/新兴刊</v>
      </c>
      <c r="H295" s="7" t="str">
        <v>研究/方法/综合</v>
      </c>
      <c r="I295" s="10" t="n">
        <v>2025</v>
      </c>
      <c r="J295" s="2" t="str">
        <v>否</v>
      </c>
      <c r="K295" s="2" t="str">
        <v>0034-5288</v>
      </c>
      <c r="L295" s="2" t="str">
        <v>1532-2661</v>
      </c>
      <c r="M295" s="7" t="str">
        <v>VETERINARY SCIENCES(SCIE)</v>
      </c>
      <c r="N295" s="7" t="str">
        <v>两份公开汇编一致</v>
      </c>
      <c r="O295" s="7" t="str"/>
      <c r="P295" s="15" t="str">
        <v>JIF来源</v>
      </c>
      <c r="Q295" s="15" t="str">
        <v>分区来源</v>
      </c>
      <c r="R295" s="15" t="str"/>
      <c r="S295" s="14" t="str">
        <v>https://www.journals.elsevier.com/research-in-veterinary-science</v>
      </c>
      <c r="T295" s="7" t="str">
        <v>ISSN匹配公开元数据；未逐站复核</v>
      </c>
      <c r="U295" s="2" t="str">
        <v>官网来源</v>
      </c>
      <c r="V295" s="2" t="n">
        <v>2026</v>
      </c>
    </row>
    <row r="296" ht="34" customHeight="1">
      <c r="A296" s="7" t="str">
        <v>Veterinary Medicine and Science</v>
      </c>
      <c r="B296" s="7" t="str">
        <v>兽医与寄生虫</v>
      </c>
      <c r="C296" s="11" t="n">
        <v>3</v>
      </c>
      <c r="D296" s="12" t="n">
        <v>2.1</v>
      </c>
      <c r="E296" s="13" t="n">
        <v>2025</v>
      </c>
      <c r="F296" s="7" t="str">
        <v>其他</v>
      </c>
      <c r="G296" s="7" t="str">
        <v>领域期刊/新兴刊</v>
      </c>
      <c r="H296" s="7" t="str">
        <v>研究/方法/综合</v>
      </c>
      <c r="I296" s="10" t="n">
        <v>2025</v>
      </c>
      <c r="J296" s="2" t="str">
        <v>否</v>
      </c>
      <c r="K296" s="2" t="str"/>
      <c r="L296" s="2" t="str">
        <v>2053-1095</v>
      </c>
      <c r="M296" s="7" t="str">
        <v>VETERINARY SCIENCES(SCIE)</v>
      </c>
      <c r="N296" s="7" t="str">
        <v>两份公开汇编一致</v>
      </c>
      <c r="O296" s="7" t="str"/>
      <c r="P296" s="15" t="str">
        <v>JIF来源</v>
      </c>
      <c r="Q296" s="15" t="str">
        <v>分区来源</v>
      </c>
      <c r="R296" s="15" t="str"/>
      <c r="S296" s="14" t="str">
        <v>https://onlinelibrary.wiley.com/journal/20531095</v>
      </c>
      <c r="T296" s="7" t="str">
        <v>ISSN匹配公开元数据；未逐站复核</v>
      </c>
      <c r="U296" s="2" t="str">
        <v>官网来源</v>
      </c>
      <c r="V296" s="2" t="n">
        <v>2026</v>
      </c>
    </row>
    <row r="297" ht="34" customHeight="1">
      <c r="A297" s="7" t="str">
        <v>Journal of Veterinary Science</v>
      </c>
      <c r="B297" s="7" t="str">
        <v>兽医与寄生虫</v>
      </c>
      <c r="C297" s="11" t="n">
        <v>3</v>
      </c>
      <c r="D297" s="12" t="n">
        <v>1.8</v>
      </c>
      <c r="E297" s="13" t="n">
        <v>2025</v>
      </c>
      <c r="F297" s="7" t="str">
        <v>其他</v>
      </c>
      <c r="G297" s="7" t="str">
        <v>领域期刊/新兴刊</v>
      </c>
      <c r="H297" s="7" t="str">
        <v>研究/方法/综合</v>
      </c>
      <c r="I297" s="10" t="n">
        <v>2025</v>
      </c>
      <c r="J297" s="2" t="str">
        <v>否</v>
      </c>
      <c r="K297" s="2" t="str">
        <v>1229-845X</v>
      </c>
      <c r="L297" s="2" t="str">
        <v>1976-555X</v>
      </c>
      <c r="M297" s="7" t="str">
        <v>VETERINARY SCIENCES(SCIE)</v>
      </c>
      <c r="N297" s="7" t="str">
        <v>两份公开汇编一致</v>
      </c>
      <c r="O297" s="7" t="str"/>
      <c r="P297" s="15" t="str">
        <v>JIF来源</v>
      </c>
      <c r="Q297" s="15" t="str">
        <v>分区来源</v>
      </c>
      <c r="R297" s="15" t="str"/>
      <c r="S297" s="14" t="str">
        <v>http://www.vetsci.org/</v>
      </c>
      <c r="T297" s="7" t="str">
        <v>ISSN匹配公开元数据；未逐站复核</v>
      </c>
      <c r="U297" s="2" t="str">
        <v>官网来源</v>
      </c>
      <c r="V297" s="2" t="n">
        <v>2026</v>
      </c>
    </row>
    <row r="298" ht="34" customHeight="1">
      <c r="A298" s="7" t="str">
        <v>AMERICAN JOURNAL OF VETERINARY RESEARCH</v>
      </c>
      <c r="B298" s="7" t="str">
        <v>兽医与寄生虫</v>
      </c>
      <c r="C298" s="11" t="n">
        <v>3</v>
      </c>
      <c r="D298" s="12" t="n">
        <v>1.6</v>
      </c>
      <c r="E298" s="13" t="n">
        <v>2025</v>
      </c>
      <c r="F298" s="7" t="str">
        <v>其他</v>
      </c>
      <c r="G298" s="7" t="str">
        <v>领域期刊/新兴刊</v>
      </c>
      <c r="H298" s="7" t="str">
        <v>研究/方法/综合</v>
      </c>
      <c r="I298" s="10" t="n">
        <v>2025</v>
      </c>
      <c r="J298" s="2" t="str">
        <v>否</v>
      </c>
      <c r="K298" s="2" t="str">
        <v>0002-9645</v>
      </c>
      <c r="L298" s="2" t="str">
        <v>1943-5681</v>
      </c>
      <c r="M298" s="7" t="str">
        <v>VETERINARY SCIENCES(SCIE)</v>
      </c>
      <c r="N298" s="7" t="str">
        <v>两份公开汇编一致</v>
      </c>
      <c r="O298" s="7" t="str"/>
      <c r="P298" s="15" t="str">
        <v>JIF来源</v>
      </c>
      <c r="Q298" s="15" t="str">
        <v>分区来源</v>
      </c>
      <c r="R298" s="15" t="str"/>
      <c r="S298" s="14" t="str">
        <v>http://avmajournals.avma.org</v>
      </c>
      <c r="T298" s="7" t="str">
        <v>ISSN匹配公开元数据；未逐站复核</v>
      </c>
      <c r="U298" s="2" t="str">
        <v>官网来源</v>
      </c>
      <c r="V298" s="2" t="n">
        <v>2026</v>
      </c>
    </row>
    <row r="299" ht="34" customHeight="1">
      <c r="A299" s="7" t="str">
        <v>VETERINARY IMMUNOLOGY AND IMMUNOPATHOLOGY</v>
      </c>
      <c r="B299" s="7" t="str">
        <v>兽医与寄生虫</v>
      </c>
      <c r="C299" s="11" t="n">
        <v>3</v>
      </c>
      <c r="D299" s="12" t="n">
        <v>1.8</v>
      </c>
      <c r="E299" s="13" t="n">
        <v>2025</v>
      </c>
      <c r="F299" s="7" t="str">
        <v>其他</v>
      </c>
      <c r="G299" s="7" t="str">
        <v>领域期刊/新兴刊</v>
      </c>
      <c r="H299" s="7" t="str">
        <v>研究/方法/综合</v>
      </c>
      <c r="I299" s="10" t="n">
        <v>2025</v>
      </c>
      <c r="J299" s="2" t="str">
        <v>否</v>
      </c>
      <c r="K299" s="2" t="str">
        <v>0165-2427</v>
      </c>
      <c r="L299" s="2" t="str">
        <v>1873-2534</v>
      </c>
      <c r="M299" s="7" t="str">
        <v>IMMUNOLOGY(SCIE);VETERINARY SCIENCES(SCIE)</v>
      </c>
      <c r="N299" s="7" t="str">
        <v>公开汇编已匹配</v>
      </c>
      <c r="O299" s="7" t="str"/>
      <c r="P299" s="15" t="str">
        <v>JIF来源</v>
      </c>
      <c r="Q299" s="15" t="str">
        <v>分区来源</v>
      </c>
      <c r="R299" s="15" t="str"/>
      <c r="S299" s="14" t="str">
        <v>http://www.elsevier.com/wps/find/journaldescription.cws_home/503319/description#description</v>
      </c>
      <c r="T299" s="7" t="str">
        <v>ISSN匹配公开元数据；未逐站复核</v>
      </c>
      <c r="U299" s="2" t="str">
        <v>官网来源</v>
      </c>
      <c r="V299" s="2" t="n">
        <v>2026</v>
      </c>
    </row>
    <row r="300" ht="34" customHeight="1">
      <c r="A300" s="7" t="str">
        <v>VETERINARY RECORD</v>
      </c>
      <c r="B300" s="7" t="str">
        <v>兽医与寄生虫</v>
      </c>
      <c r="C300" s="11" t="n">
        <v>3</v>
      </c>
      <c r="D300" s="12" t="n">
        <v>0.9</v>
      </c>
      <c r="E300" s="13" t="n">
        <v>2025</v>
      </c>
      <c r="F300" s="7" t="str">
        <v>其他</v>
      </c>
      <c r="G300" s="7" t="str">
        <v>经典专业刊</v>
      </c>
      <c r="H300" s="7" t="str">
        <v>研究/方法/综合</v>
      </c>
      <c r="I300" s="10" t="n">
        <v>2025</v>
      </c>
      <c r="J300" s="2" t="str">
        <v>否</v>
      </c>
      <c r="K300" s="2" t="str">
        <v>0042-4900</v>
      </c>
      <c r="L300" s="2" t="str">
        <v>2042-7670</v>
      </c>
      <c r="M300" s="7" t="str">
        <v>VETERINARY SCIENCES(SCIE)</v>
      </c>
      <c r="N300" s="7" t="str">
        <v>公开汇编已匹配</v>
      </c>
      <c r="O300" s="7" t="str"/>
      <c r="P300" s="15" t="str">
        <v>JIF来源</v>
      </c>
      <c r="Q300" s="15" t="str">
        <v>分区来源</v>
      </c>
      <c r="R300" s="15" t="str"/>
      <c r="S300" s="14" t="str">
        <v>https://bvajournals.onlinelibrary.wiley.com/journal/20427670</v>
      </c>
      <c r="T300" s="7" t="str">
        <v>ISSN匹配公开元数据；未逐站复核</v>
      </c>
      <c r="U300" s="2" t="str">
        <v>官网来源</v>
      </c>
      <c r="V300" s="2" t="n">
        <v>2026</v>
      </c>
    </row>
    <row r="301" ht="34" customHeight="1">
      <c r="A301" s="7" t="str">
        <v>PARASITOLOGY RESEARCH</v>
      </c>
      <c r="B301" s="7" t="str">
        <v>兽医与寄生虫</v>
      </c>
      <c r="C301" s="11" t="n">
        <v>4</v>
      </c>
      <c r="D301" s="12" t="n">
        <v>1.9</v>
      </c>
      <c r="E301" s="13" t="n">
        <v>2025</v>
      </c>
      <c r="F301" s="7" t="str">
        <v>其他</v>
      </c>
      <c r="G301" s="7" t="str">
        <v>领域期刊/新兴刊</v>
      </c>
      <c r="H301" s="7" t="str">
        <v>研究/方法/综合</v>
      </c>
      <c r="I301" s="10" t="n">
        <v>2025</v>
      </c>
      <c r="J301" s="2" t="str">
        <v>否</v>
      </c>
      <c r="K301" s="2" t="str">
        <v>0932-0113</v>
      </c>
      <c r="L301" s="2" t="str">
        <v>1432-1955</v>
      </c>
      <c r="M301" s="7" t="str">
        <v>PARASITOLOGY(SCIE)</v>
      </c>
      <c r="N301" s="7" t="str">
        <v>两份公开汇编一致</v>
      </c>
      <c r="O301" s="7" t="str"/>
      <c r="P301" s="15" t="str">
        <v>JIF来源</v>
      </c>
      <c r="Q301" s="15" t="str">
        <v>分区来源</v>
      </c>
      <c r="R301" s="15" t="str"/>
      <c r="S301" s="14" t="str">
        <v>https://www.springer.com/journal/436</v>
      </c>
      <c r="T301" s="7" t="str">
        <v>ISSN匹配公开元数据；未逐站复核</v>
      </c>
      <c r="U301" s="2" t="str">
        <v>官网来源</v>
      </c>
      <c r="V301" s="2" t="n">
        <v>2026</v>
      </c>
    </row>
    <row r="302" ht="34" customHeight="1">
      <c r="A302" s="7" t="str">
        <v>EXPERIMENTAL PARASITOLOGY</v>
      </c>
      <c r="B302" s="7" t="str">
        <v>兽医与寄生虫</v>
      </c>
      <c r="C302" s="11" t="n">
        <v>4</v>
      </c>
      <c r="D302" s="12" t="n">
        <v>1.8</v>
      </c>
      <c r="E302" s="13" t="n">
        <v>2025</v>
      </c>
      <c r="F302" s="7" t="str">
        <v>其他</v>
      </c>
      <c r="G302" s="7" t="str">
        <v>领域期刊/新兴刊</v>
      </c>
      <c r="H302" s="7" t="str">
        <v>研究/方法/综合</v>
      </c>
      <c r="I302" s="10" t="n">
        <v>2025</v>
      </c>
      <c r="J302" s="2" t="str">
        <v>否</v>
      </c>
      <c r="K302" s="2" t="str">
        <v>0014-4894</v>
      </c>
      <c r="L302" s="2" t="str">
        <v>1090-2449</v>
      </c>
      <c r="M302" s="7" t="str">
        <v>PARASITOLOGY(SCIE)</v>
      </c>
      <c r="N302" s="7" t="str">
        <v>公开汇编已匹配</v>
      </c>
      <c r="O302" s="7" t="str"/>
      <c r="P302" s="15" t="str">
        <v>JIF来源</v>
      </c>
      <c r="Q302" s="15" t="str">
        <v>分区来源</v>
      </c>
      <c r="R302" s="15" t="str"/>
      <c r="S302" s="14" t="str">
        <v>https://www.journals.elsevier.com/experimental-parasitology</v>
      </c>
      <c r="T302" s="7" t="str">
        <v>ISSN匹配公开元数据；未逐站复核</v>
      </c>
      <c r="U302" s="2" t="str">
        <v>官网来源</v>
      </c>
      <c r="V302" s="2" t="n">
        <v>2026</v>
      </c>
    </row>
    <row r="303" ht="34" customHeight="1">
      <c r="A303" s="7" t="str">
        <v>AVIAN DISEASES</v>
      </c>
      <c r="B303" s="7" t="str">
        <v>兽医与寄生虫</v>
      </c>
      <c r="C303" s="11" t="n">
        <v>4</v>
      </c>
      <c r="D303" s="12" t="n">
        <v>1.3</v>
      </c>
      <c r="E303" s="13" t="n">
        <v>2025</v>
      </c>
      <c r="F303" s="7" t="str">
        <v>其他</v>
      </c>
      <c r="G303" s="7" t="str">
        <v>领域期刊/新兴刊</v>
      </c>
      <c r="H303" s="7" t="str">
        <v>研究/方法/综合</v>
      </c>
      <c r="I303" s="10" t="n">
        <v>2025</v>
      </c>
      <c r="J303" s="2" t="str">
        <v>否</v>
      </c>
      <c r="K303" s="2" t="str">
        <v>0005-2086</v>
      </c>
      <c r="L303" s="2" t="str">
        <v>1938-4351</v>
      </c>
      <c r="M303" s="7" t="str">
        <v>VETERINARY SCIENCES(SCIE)</v>
      </c>
      <c r="N303" s="7" t="str">
        <v>公开汇编已匹配</v>
      </c>
      <c r="O303" s="7" t="str"/>
      <c r="P303" s="15" t="str">
        <v>JIF来源</v>
      </c>
      <c r="Q303" s="15" t="str">
        <v>分区来源</v>
      </c>
      <c r="R303" s="15" t="str"/>
      <c r="S303" s="14" t="str">
        <v>http://www.aaap.info/aviandiseases</v>
      </c>
      <c r="T303" s="7" t="str">
        <v>ISSN匹配公开元数据；未逐站复核</v>
      </c>
      <c r="U303" s="2" t="str">
        <v>官网来源</v>
      </c>
      <c r="V303" s="2" t="n">
        <v>2026</v>
      </c>
    </row>
    <row r="304" ht="34" customHeight="1">
      <c r="A304" s="7" t="str">
        <v>JOURNAL OF VETERINARY DIAGNOSTIC INVESTIGATION</v>
      </c>
      <c r="B304" s="7" t="str">
        <v>兽医与寄生虫</v>
      </c>
      <c r="C304" s="11" t="n">
        <v>4</v>
      </c>
      <c r="D304" s="12" t="n">
        <v>1.4</v>
      </c>
      <c r="E304" s="13" t="n">
        <v>2025</v>
      </c>
      <c r="F304" s="7" t="str">
        <v>其他</v>
      </c>
      <c r="G304" s="7" t="str">
        <v>领域期刊/新兴刊</v>
      </c>
      <c r="H304" s="7" t="str">
        <v>研究/方法/综合</v>
      </c>
      <c r="I304" s="10" t="n">
        <v>2025</v>
      </c>
      <c r="J304" s="2" t="str">
        <v>否</v>
      </c>
      <c r="K304" s="2" t="str">
        <v>1040-6387</v>
      </c>
      <c r="L304" s="2" t="str">
        <v>1943-4936</v>
      </c>
      <c r="M304" s="7" t="str">
        <v>VETERINARY SCIENCES(SCIE)</v>
      </c>
      <c r="N304" s="7" t="str">
        <v>公开汇编已匹配</v>
      </c>
      <c r="O304" s="7" t="str"/>
      <c r="P304" s="15" t="str">
        <v>JIF来源</v>
      </c>
      <c r="Q304" s="15" t="str">
        <v>分区来源</v>
      </c>
      <c r="R304" s="15" t="str"/>
      <c r="S304" s="14" t="str">
        <v>http://vdi.sagepub.com/</v>
      </c>
      <c r="T304" s="7" t="str">
        <v>ISSN匹配公开元数据；未逐站复核</v>
      </c>
      <c r="U304" s="2" t="str">
        <v>官网来源</v>
      </c>
      <c r="V304" s="2" t="n">
        <v>2026</v>
      </c>
    </row>
    <row r="305" ht="34" customHeight="1">
      <c r="A305" s="7" t="str">
        <v>JOURNAL OF VETERINARY MEDICAL SCIENCE</v>
      </c>
      <c r="B305" s="7" t="str">
        <v>兽医与寄生虫</v>
      </c>
      <c r="C305" s="11" t="n">
        <v>4</v>
      </c>
      <c r="D305" s="12" t="n">
        <v>1.1</v>
      </c>
      <c r="E305" s="13" t="n">
        <v>2025</v>
      </c>
      <c r="F305" s="7" t="str">
        <v>其他</v>
      </c>
      <c r="G305" s="7" t="str">
        <v>领域期刊/新兴刊</v>
      </c>
      <c r="H305" s="7" t="str">
        <v>研究/方法/综合</v>
      </c>
      <c r="I305" s="10" t="n">
        <v>2025</v>
      </c>
      <c r="J305" s="2" t="str">
        <v>否</v>
      </c>
      <c r="K305" s="2" t="str">
        <v>0916-7250</v>
      </c>
      <c r="L305" s="2" t="str">
        <v>1347-7439</v>
      </c>
      <c r="M305" s="7" t="str">
        <v>VETERINARY SCIENCES(SCIE)</v>
      </c>
      <c r="N305" s="7" t="str">
        <v>公开汇编已匹配</v>
      </c>
      <c r="O305" s="7" t="str"/>
      <c r="P305" s="15" t="str">
        <v>JIF来源</v>
      </c>
      <c r="Q305" s="15" t="str">
        <v>分区来源</v>
      </c>
      <c r="R305" s="15" t="str"/>
      <c r="S305" s="14" t="str">
        <v>https://www.jstage.jst.go.jp/browse/jvms/-char/en</v>
      </c>
      <c r="T305" s="7" t="str">
        <v>出版社/期刊主页匹配</v>
      </c>
      <c r="U305" s="2" t="str">
        <v>官网来源</v>
      </c>
      <c r="V305" s="2" t="n">
        <v>2026</v>
      </c>
    </row>
    <row r="306" ht="34" customHeight="1">
      <c r="A306" s="7" t="str">
        <v>Reviews in Aquaculture</v>
      </c>
      <c r="B306" s="7" t="str">
        <v>水产渔业与海洋生物</v>
      </c>
      <c r="C306" s="11" t="n">
        <v>1</v>
      </c>
      <c r="D306" s="12" t="n">
        <v>13.8</v>
      </c>
      <c r="E306" s="13" t="n">
        <v>2025</v>
      </c>
      <c r="F306" s="7" t="str">
        <v>其他</v>
      </c>
      <c r="G306" s="7" t="str">
        <v>领域期刊/新兴刊</v>
      </c>
      <c r="H306" s="7" t="str">
        <v>综述为主</v>
      </c>
      <c r="I306" s="10" t="n">
        <v>2025</v>
      </c>
      <c r="J306" s="2" t="str">
        <v>是</v>
      </c>
      <c r="K306" s="2" t="str">
        <v>1753-5123</v>
      </c>
      <c r="L306" s="2" t="str">
        <v>1753-5131</v>
      </c>
      <c r="M306" s="7" t="str">
        <v>FISHERIES(SCIE)</v>
      </c>
      <c r="N306" s="7" t="str">
        <v>两份公开汇编一致</v>
      </c>
      <c r="O306" s="7" t="str"/>
      <c r="P306" s="15" t="str">
        <v>JIF来源</v>
      </c>
      <c r="Q306" s="15" t="str">
        <v>分区来源</v>
      </c>
      <c r="R306" s="15" t="str"/>
      <c r="S306" s="14" t="str">
        <v>https://onlinelibrary.wiley.com/journal/17535131</v>
      </c>
      <c r="T306" s="7" t="str">
        <v>ISSN匹配公开元数据；未逐站复核</v>
      </c>
      <c r="U306" s="2" t="str">
        <v>官网来源</v>
      </c>
      <c r="V306" s="2" t="n">
        <v>2026</v>
      </c>
    </row>
    <row r="307" ht="34" customHeight="1">
      <c r="A307" s="7" t="str">
        <v>FISH AND FISHERIES</v>
      </c>
      <c r="B307" s="7" t="str">
        <v>水产渔业与海洋生物</v>
      </c>
      <c r="C307" s="11" t="n">
        <v>1</v>
      </c>
      <c r="D307" s="12" t="n">
        <v>6.3</v>
      </c>
      <c r="E307" s="13" t="n">
        <v>2025</v>
      </c>
      <c r="F307" s="7" t="str">
        <v>其他</v>
      </c>
      <c r="G307" s="7" t="str">
        <v>领域期刊/新兴刊</v>
      </c>
      <c r="H307" s="7" t="str">
        <v>研究/方法/综合</v>
      </c>
      <c r="I307" s="10" t="n">
        <v>2025</v>
      </c>
      <c r="J307" s="2" t="str">
        <v>是</v>
      </c>
      <c r="K307" s="2" t="str">
        <v>1467-2960</v>
      </c>
      <c r="L307" s="2" t="str">
        <v>1467-2979</v>
      </c>
      <c r="M307" s="7" t="str">
        <v>FISHERIES(SCIE)</v>
      </c>
      <c r="N307" s="7" t="str">
        <v>两份公开汇编一致</v>
      </c>
      <c r="O307" s="7" t="str"/>
      <c r="P307" s="15" t="str">
        <v>JIF来源</v>
      </c>
      <c r="Q307" s="15" t="str">
        <v>分区来源</v>
      </c>
      <c r="R307" s="15" t="str"/>
      <c r="S307" s="14" t="str">
        <v>https://onlinelibrary.wiley.com/journal/14672979</v>
      </c>
      <c r="T307" s="7" t="str">
        <v>ISSN匹配公开元数据；未逐站复核</v>
      </c>
      <c r="U307" s="2" t="str">
        <v>官网来源</v>
      </c>
      <c r="V307" s="2" t="n">
        <v>2026</v>
      </c>
    </row>
    <row r="308" ht="34" customHeight="1">
      <c r="A308" s="7" t="str">
        <v>Marine Life Science &amp; Technology</v>
      </c>
      <c r="B308" s="7" t="str">
        <v>水产渔业与海洋生物</v>
      </c>
      <c r="C308" s="11" t="n">
        <v>1</v>
      </c>
      <c r="D308" s="12" t="n">
        <v>5.7</v>
      </c>
      <c r="E308" s="13" t="n">
        <v>2025</v>
      </c>
      <c r="F308" s="7" t="str">
        <v>其他</v>
      </c>
      <c r="G308" s="7" t="str">
        <v>领域期刊/新兴刊</v>
      </c>
      <c r="H308" s="7" t="str">
        <v>研究/方法/综合</v>
      </c>
      <c r="I308" s="10" t="n">
        <v>2025</v>
      </c>
      <c r="J308" s="2" t="str">
        <v>是</v>
      </c>
      <c r="K308" s="2" t="str">
        <v>2096-6490</v>
      </c>
      <c r="L308" s="2" t="str">
        <v>2662-1746</v>
      </c>
      <c r="M308" s="7" t="str">
        <v>MARINE &amp; FRESHWATER BIOLOGY(SCIE)</v>
      </c>
      <c r="N308" s="7" t="str">
        <v>两份公开汇编一致</v>
      </c>
      <c r="O308" s="7" t="str"/>
      <c r="P308" s="15" t="str">
        <v>JIF来源</v>
      </c>
      <c r="Q308" s="15" t="str">
        <v>分区来源</v>
      </c>
      <c r="R308" s="15" t="str"/>
      <c r="S308" s="14" t="str">
        <v>https://link.springer.com/journal/42995</v>
      </c>
      <c r="T308" s="7" t="str">
        <v>ISSN匹配公开元数据；未逐站复核</v>
      </c>
      <c r="U308" s="2" t="str">
        <v>官网来源</v>
      </c>
      <c r="V308" s="2" t="n">
        <v>2026</v>
      </c>
    </row>
    <row r="309" ht="34" customHeight="1">
      <c r="A309" s="7" t="str">
        <v>Reviews in Fisheries Science &amp; Aquaculture</v>
      </c>
      <c r="B309" s="7" t="str">
        <v>水产渔业与海洋生物</v>
      </c>
      <c r="C309" s="11" t="n">
        <v>1</v>
      </c>
      <c r="D309" s="12" t="n">
        <v>7.8</v>
      </c>
      <c r="E309" s="13" t="n">
        <v>2025</v>
      </c>
      <c r="F309" s="7" t="str">
        <v>其他</v>
      </c>
      <c r="G309" s="7" t="str">
        <v>领域期刊/新兴刊</v>
      </c>
      <c r="H309" s="7" t="str">
        <v>综述为主</v>
      </c>
      <c r="I309" s="10" t="n">
        <v>2025</v>
      </c>
      <c r="J309" s="2" t="str">
        <v>是</v>
      </c>
      <c r="K309" s="2" t="str">
        <v>2330-8249</v>
      </c>
      <c r="L309" s="2" t="str">
        <v>2330-8257</v>
      </c>
      <c r="M309" s="7" t="str">
        <v>FISHERIES(SCIE)</v>
      </c>
      <c r="N309" s="7" t="str">
        <v>两份公开汇编一致</v>
      </c>
      <c r="O309" s="7" t="str"/>
      <c r="P309" s="15" t="str">
        <v>JIF来源</v>
      </c>
      <c r="Q309" s="15" t="str">
        <v>分区来源</v>
      </c>
      <c r="R309" s="15" t="str"/>
      <c r="S309" s="14" t="str">
        <v>https://www.tandfonline.com/toc/brfs21/current</v>
      </c>
      <c r="T309" s="7" t="str">
        <v>ISSN匹配公开元数据；未逐站复核</v>
      </c>
      <c r="U309" s="2" t="str">
        <v>官网来源</v>
      </c>
      <c r="V309" s="2" t="n">
        <v>2026</v>
      </c>
    </row>
    <row r="310" ht="34" customHeight="1">
      <c r="A310" s="7" t="str">
        <v>Marine Drugs</v>
      </c>
      <c r="B310" s="7" t="str">
        <v>水产渔业与海洋生物</v>
      </c>
      <c r="C310" s="11" t="n">
        <v>2</v>
      </c>
      <c r="D310" s="12" t="n">
        <v>5.7</v>
      </c>
      <c r="E310" s="13" t="n">
        <v>2025</v>
      </c>
      <c r="F310" s="7" t="str">
        <v>其他</v>
      </c>
      <c r="G310" s="7" t="str">
        <v>领域期刊/新兴刊</v>
      </c>
      <c r="H310" s="7" t="str">
        <v>研究/方法/综合</v>
      </c>
      <c r="I310" s="10" t="n">
        <v>2025</v>
      </c>
      <c r="J310" s="2" t="str">
        <v>否</v>
      </c>
      <c r="K310" s="2" t="str"/>
      <c r="L310" s="2" t="str">
        <v>1660-3397</v>
      </c>
      <c r="M310" s="7" t="str">
        <v>CHEMISTRY, MEDICINAL(SCIE);PHARMACOLOGY &amp; PHARMACY(SCIE)</v>
      </c>
      <c r="N310" s="7" t="str">
        <v>两份公开汇编一致</v>
      </c>
      <c r="O310" s="7" t="str"/>
      <c r="P310" s="15" t="str">
        <v>JIF来源</v>
      </c>
      <c r="Q310" s="15" t="str">
        <v>分区来源</v>
      </c>
      <c r="R310" s="15" t="str"/>
      <c r="S310" s="14" t="str">
        <v>http://www.mdpi.com/journal/marinedrugs/</v>
      </c>
      <c r="T310" s="7" t="str">
        <v>ISSN匹配公开元数据；未逐站复核</v>
      </c>
      <c r="U310" s="2" t="str">
        <v>官网来源</v>
      </c>
      <c r="V310" s="2" t="n">
        <v>2026</v>
      </c>
    </row>
    <row r="311" ht="34" customHeight="1">
      <c r="A311" s="7" t="str">
        <v>OCEAN &amp; COASTAL MANAGEMENT</v>
      </c>
      <c r="B311" s="7" t="str">
        <v>水产渔业与海洋生物</v>
      </c>
      <c r="C311" s="11" t="n">
        <v>2</v>
      </c>
      <c r="D311" s="12" t="n">
        <v>5.9</v>
      </c>
      <c r="E311" s="13" t="n">
        <v>2025</v>
      </c>
      <c r="F311" s="7" t="str">
        <v>其他</v>
      </c>
      <c r="G311" s="7" t="str">
        <v>领域期刊/新兴刊</v>
      </c>
      <c r="H311" s="7" t="str">
        <v>研究/方法/综合</v>
      </c>
      <c r="I311" s="10" t="n">
        <v>2025</v>
      </c>
      <c r="J311" s="2" t="str">
        <v>否</v>
      </c>
      <c r="K311" s="2" t="str">
        <v>0964-5691</v>
      </c>
      <c r="L311" s="2" t="str">
        <v>1873-524X</v>
      </c>
      <c r="M311" s="7" t="str">
        <v>OCEANOGRAPHY(SCIE);WATER RESOURCES(SCIE)</v>
      </c>
      <c r="N311" s="7" t="str">
        <v>两份公开汇编一致</v>
      </c>
      <c r="O311" s="7" t="str"/>
      <c r="P311" s="15" t="str">
        <v>JIF来源</v>
      </c>
      <c r="Q311" s="15" t="str">
        <v>分区来源</v>
      </c>
      <c r="R311" s="15" t="str"/>
      <c r="S311" s="14" t="str">
        <v>https://www.journals.elsevier.com/ocean-and-coastal-management</v>
      </c>
      <c r="T311" s="7" t="str">
        <v>ISSN匹配公开元数据；未逐站复核</v>
      </c>
      <c r="U311" s="2" t="str">
        <v>官网来源</v>
      </c>
      <c r="V311" s="2" t="n">
        <v>2026</v>
      </c>
    </row>
    <row r="312" ht="34" customHeight="1">
      <c r="A312" s="7" t="str">
        <v>Algal Research-Biomass Biofuels and Bioproducts</v>
      </c>
      <c r="B312" s="7" t="str">
        <v>水产渔业与海洋生物</v>
      </c>
      <c r="C312" s="11" t="n">
        <v>2</v>
      </c>
      <c r="D312" s="12" t="n">
        <v>5</v>
      </c>
      <c r="E312" s="13" t="n">
        <v>2025</v>
      </c>
      <c r="F312" s="7" t="str">
        <v>其他</v>
      </c>
      <c r="G312" s="7" t="str">
        <v>领域期刊/新兴刊</v>
      </c>
      <c r="H312" s="7" t="str">
        <v>研究/方法/综合</v>
      </c>
      <c r="I312" s="10" t="n">
        <v>2025</v>
      </c>
      <c r="J312" s="2" t="str">
        <v>否</v>
      </c>
      <c r="K312" s="2" t="str">
        <v>2211-9264</v>
      </c>
      <c r="L312" s="2" t="str">
        <v>2211-9264</v>
      </c>
      <c r="M312" s="7" t="str">
        <v>BIOTECHNOLOGY &amp; APPLIED MICROBIOLOGY(SCIE)</v>
      </c>
      <c r="N312" s="7" t="str">
        <v>两份公开汇编一致</v>
      </c>
      <c r="O312" s="7" t="str"/>
      <c r="P312" s="15" t="str">
        <v>JIF来源</v>
      </c>
      <c r="Q312" s="15" t="str">
        <v>分区来源</v>
      </c>
      <c r="R312" s="15" t="str"/>
      <c r="S312" s="14" t="str">
        <v>https://www.journals.elsevier.com/algal-research</v>
      </c>
      <c r="T312" s="7" t="str">
        <v>ISSN匹配公开元数据；未逐站复核</v>
      </c>
      <c r="U312" s="2" t="str">
        <v>官网来源</v>
      </c>
      <c r="V312" s="2" t="n">
        <v>2026</v>
      </c>
    </row>
    <row r="313" ht="34" customHeight="1">
      <c r="A313" s="7" t="str">
        <v>HARMFUL ALGAE</v>
      </c>
      <c r="B313" s="7" t="str">
        <v>水产渔业与海洋生物</v>
      </c>
      <c r="C313" s="11" t="n">
        <v>2</v>
      </c>
      <c r="D313" s="12" t="n">
        <v>4.1</v>
      </c>
      <c r="E313" s="13" t="n">
        <v>2025</v>
      </c>
      <c r="F313" s="7" t="str">
        <v>其他</v>
      </c>
      <c r="G313" s="7" t="str">
        <v>领域期刊/新兴刊</v>
      </c>
      <c r="H313" s="7" t="str">
        <v>研究/方法/综合</v>
      </c>
      <c r="I313" s="10" t="n">
        <v>2025</v>
      </c>
      <c r="J313" s="2" t="str">
        <v>是</v>
      </c>
      <c r="K313" s="2" t="str">
        <v>1568-9883</v>
      </c>
      <c r="L313" s="2" t="str">
        <v>1878-1470</v>
      </c>
      <c r="M313" s="7" t="str">
        <v>MARINE &amp; FRESHWATER BIOLOGY(SCIE)</v>
      </c>
      <c r="N313" s="7" t="str">
        <v>两份公开汇编一致</v>
      </c>
      <c r="O313" s="7" t="str"/>
      <c r="P313" s="15" t="str">
        <v>JIF来源</v>
      </c>
      <c r="Q313" s="15" t="str">
        <v>分区来源</v>
      </c>
      <c r="R313" s="15" t="str"/>
      <c r="S313" s="14" t="str">
        <v>https://www.journals.elsevier.com/harmful-algae</v>
      </c>
      <c r="T313" s="7" t="str">
        <v>ISSN匹配公开元数据；未逐站复核</v>
      </c>
      <c r="U313" s="2" t="str">
        <v>官网来源</v>
      </c>
      <c r="V313" s="2" t="n">
        <v>2026</v>
      </c>
    </row>
    <row r="314" ht="34" customHeight="1">
      <c r="A314" s="7" t="str">
        <v>AQUACULTURAL ENGINEERING</v>
      </c>
      <c r="B314" s="7" t="str">
        <v>水产渔业与海洋生物</v>
      </c>
      <c r="C314" s="11" t="n">
        <v>2</v>
      </c>
      <c r="D314" s="12" t="n">
        <v>4.4</v>
      </c>
      <c r="E314" s="13" t="n">
        <v>2025</v>
      </c>
      <c r="F314" s="7" t="str">
        <v>其他</v>
      </c>
      <c r="G314" s="7" t="str">
        <v>领域期刊/新兴刊</v>
      </c>
      <c r="H314" s="7" t="str">
        <v>研究/方法/综合</v>
      </c>
      <c r="I314" s="10" t="n">
        <v>2025</v>
      </c>
      <c r="J314" s="2" t="str">
        <v>否</v>
      </c>
      <c r="K314" s="2" t="str">
        <v>0144-8609</v>
      </c>
      <c r="L314" s="2" t="str">
        <v>1873-5614</v>
      </c>
      <c r="M314" s="7" t="str">
        <v>AGRICULTURAL ENGINEERING(SCIE);FISHERIES(SCIE)</v>
      </c>
      <c r="N314" s="7" t="str">
        <v>两份公开汇编一致</v>
      </c>
      <c r="O314" s="7" t="str"/>
      <c r="P314" s="15" t="str">
        <v>JIF来源</v>
      </c>
      <c r="Q314" s="15" t="str">
        <v>分区来源</v>
      </c>
      <c r="R314" s="15" t="str"/>
      <c r="S314" s="14" t="str">
        <v>https://www.journals.elsevier.com/aquacultural-engineering</v>
      </c>
      <c r="T314" s="7" t="str">
        <v>ISSN匹配公开元数据；未逐站复核</v>
      </c>
      <c r="U314" s="2" t="str">
        <v>官网来源</v>
      </c>
      <c r="V314" s="2" t="n">
        <v>2026</v>
      </c>
    </row>
    <row r="315" ht="34" customHeight="1">
      <c r="A315" s="7" t="str">
        <v>AQUACULTURE</v>
      </c>
      <c r="B315" s="7" t="str">
        <v>水产渔业与海洋生物</v>
      </c>
      <c r="C315" s="11" t="n">
        <v>2</v>
      </c>
      <c r="D315" s="12" t="n">
        <v>4.4</v>
      </c>
      <c r="E315" s="13" t="n">
        <v>2025</v>
      </c>
      <c r="F315" s="7" t="str">
        <v>其他</v>
      </c>
      <c r="G315" s="7" t="str">
        <v>经典专业刊</v>
      </c>
      <c r="H315" s="7" t="str">
        <v>研究/方法/综合</v>
      </c>
      <c r="I315" s="10" t="n">
        <v>2025</v>
      </c>
      <c r="J315" s="2" t="str">
        <v>是</v>
      </c>
      <c r="K315" s="2" t="str">
        <v>0044-8486</v>
      </c>
      <c r="L315" s="2" t="str">
        <v>1873-5622</v>
      </c>
      <c r="M315" s="7" t="str">
        <v>FISHERIES(SCIE);MARINE &amp; FRESHWATER BIOLOGY(SCIE)</v>
      </c>
      <c r="N315" s="7" t="str">
        <v>两份公开汇编一致</v>
      </c>
      <c r="O315" s="7" t="str"/>
      <c r="P315" s="15" t="str">
        <v>JIF来源</v>
      </c>
      <c r="Q315" s="15" t="str">
        <v>分区来源</v>
      </c>
      <c r="R315" s="15" t="str"/>
      <c r="S315" s="14" t="str">
        <v>http://www.elsevier.com/wps/find/journaldescription.cws_home/503302/description</v>
      </c>
      <c r="T315" s="7" t="str">
        <v>ISSN匹配公开元数据；未逐站复核</v>
      </c>
      <c r="U315" s="2" t="str">
        <v>官网来源</v>
      </c>
      <c r="V315" s="2" t="n">
        <v>2026</v>
      </c>
    </row>
    <row r="316" ht="34" customHeight="1">
      <c r="A316" s="7" t="str">
        <v>AQUACULTURE NUTRITION</v>
      </c>
      <c r="B316" s="7" t="str">
        <v>水产渔业与海洋生物</v>
      </c>
      <c r="C316" s="11" t="n">
        <v>2</v>
      </c>
      <c r="D316" s="12" t="n">
        <v>4.6</v>
      </c>
      <c r="E316" s="13" t="n">
        <v>2025</v>
      </c>
      <c r="F316" s="7" t="str">
        <v>其他</v>
      </c>
      <c r="G316" s="7" t="str">
        <v>领域期刊/新兴刊</v>
      </c>
      <c r="H316" s="7" t="str">
        <v>研究/方法/综合</v>
      </c>
      <c r="I316" s="10" t="n">
        <v>2025</v>
      </c>
      <c r="J316" s="2" t="str">
        <v>否</v>
      </c>
      <c r="K316" s="2" t="str">
        <v>1353-5773</v>
      </c>
      <c r="L316" s="2" t="str">
        <v>1365-2095</v>
      </c>
      <c r="M316" s="7" t="str">
        <v>FISHERIES(SCIE)</v>
      </c>
      <c r="N316" s="7" t="str">
        <v>两份公开汇编一致</v>
      </c>
      <c r="O316" s="7" t="str"/>
      <c r="P316" s="15" t="str">
        <v>JIF来源</v>
      </c>
      <c r="Q316" s="15" t="str">
        <v>分区来源</v>
      </c>
      <c r="R316" s="15" t="str"/>
      <c r="S316" s="14" t="str">
        <v>https://onlinelibrary.wiley.com/journal/13652095</v>
      </c>
      <c r="T316" s="7" t="str">
        <v>ISSN匹配公开元数据；未逐站复核</v>
      </c>
      <c r="U316" s="2" t="str">
        <v>官网来源</v>
      </c>
      <c r="V316" s="2" t="n">
        <v>2026</v>
      </c>
    </row>
    <row r="317" ht="34" customHeight="1">
      <c r="A317" s="7" t="str">
        <v>FISH &amp; SHELLFISH IMMUNOLOGY</v>
      </c>
      <c r="B317" s="7" t="str">
        <v>水产渔业与海洋生物</v>
      </c>
      <c r="C317" s="11" t="n">
        <v>2</v>
      </c>
      <c r="D317" s="12" t="n">
        <v>4.2</v>
      </c>
      <c r="E317" s="13" t="n">
        <v>2025</v>
      </c>
      <c r="F317" s="7" t="str">
        <v>其他</v>
      </c>
      <c r="G317" s="7" t="str">
        <v>领域期刊/新兴刊</v>
      </c>
      <c r="H317" s="7" t="str">
        <v>研究/方法/综合</v>
      </c>
      <c r="I317" s="10" t="n">
        <v>2025</v>
      </c>
      <c r="J317" s="2" t="str">
        <v>是</v>
      </c>
      <c r="K317" s="2" t="str">
        <v>1050-4648</v>
      </c>
      <c r="L317" s="2" t="str">
        <v>1095-9947</v>
      </c>
      <c r="M317" s="7" t="str">
        <v>FISHERIES(SCIE);IMMUNOLOGY(SCIE);MARINE &amp; FRESHWATER BIOLOGY(SCIE);VETERINARY SCIENCES(SCIE)</v>
      </c>
      <c r="N317" s="7" t="str">
        <v>两份公开汇编一致</v>
      </c>
      <c r="O317" s="7" t="str"/>
      <c r="P317" s="15" t="str">
        <v>JIF来源</v>
      </c>
      <c r="Q317" s="15" t="str">
        <v>分区来源</v>
      </c>
      <c r="R317" s="15" t="str"/>
      <c r="S317" s="14" t="str">
        <v>https://www.journals.elsevier.com/fish-and-shellfish-immunology</v>
      </c>
      <c r="T317" s="7" t="str">
        <v>ISSN匹配公开元数据；未逐站复核</v>
      </c>
      <c r="U317" s="2" t="str">
        <v>官网来源</v>
      </c>
      <c r="V317" s="2" t="n">
        <v>2026</v>
      </c>
    </row>
    <row r="318" ht="34" customHeight="1">
      <c r="A318" s="7" t="str">
        <v>Aquaculture Reports</v>
      </c>
      <c r="B318" s="7" t="str">
        <v>水产渔业与海洋生物</v>
      </c>
      <c r="C318" s="11" t="n">
        <v>2</v>
      </c>
      <c r="D318" s="12" t="n">
        <v>3.8</v>
      </c>
      <c r="E318" s="13" t="n">
        <v>2025</v>
      </c>
      <c r="F318" s="7" t="str">
        <v>其他</v>
      </c>
      <c r="G318" s="7" t="str">
        <v>领域期刊/新兴刊</v>
      </c>
      <c r="H318" s="7" t="str">
        <v>研究/方法/综合</v>
      </c>
      <c r="I318" s="10" t="n">
        <v>2025</v>
      </c>
      <c r="J318" s="2" t="str">
        <v>否</v>
      </c>
      <c r="K318" s="2" t="str">
        <v>2352-5134</v>
      </c>
      <c r="L318" s="2" t="str">
        <v>2352-5134</v>
      </c>
      <c r="M318" s="7" t="str">
        <v>FISHERIES(SCIE)</v>
      </c>
      <c r="N318" s="7" t="str">
        <v>两份公开汇编一致</v>
      </c>
      <c r="O318" s="7" t="str"/>
      <c r="P318" s="15" t="str">
        <v>JIF来源</v>
      </c>
      <c r="Q318" s="15" t="str">
        <v>分区来源</v>
      </c>
      <c r="R318" s="15" t="str"/>
      <c r="S318" s="14" t="str">
        <v>https://www.journals.elsevier.com/aquaculture-reports</v>
      </c>
      <c r="T318" s="7" t="str">
        <v>ISSN匹配公开元数据；未逐站复核</v>
      </c>
      <c r="U318" s="2" t="str">
        <v>官网来源</v>
      </c>
      <c r="V318" s="2" t="n">
        <v>2026</v>
      </c>
    </row>
    <row r="319" ht="34" customHeight="1">
      <c r="A319" s="7" t="str">
        <v>LIMNOLOGY AND OCEANOGRAPHY</v>
      </c>
      <c r="B319" s="7" t="str">
        <v>水产渔业与海洋生物</v>
      </c>
      <c r="C319" s="11" t="n">
        <v>2</v>
      </c>
      <c r="D319" s="12" t="n">
        <v>3.5</v>
      </c>
      <c r="E319" s="13" t="n">
        <v>2025</v>
      </c>
      <c r="F319" s="7" t="str">
        <v>其他</v>
      </c>
      <c r="G319" s="7" t="str">
        <v>经典专业刊</v>
      </c>
      <c r="H319" s="7" t="str">
        <v>研究/方法/综合</v>
      </c>
      <c r="I319" s="10" t="n">
        <v>2025</v>
      </c>
      <c r="J319" s="2" t="str">
        <v>否</v>
      </c>
      <c r="K319" s="2" t="str">
        <v>0024-3590</v>
      </c>
      <c r="L319" s="2" t="str">
        <v>1939-5590</v>
      </c>
      <c r="M319" s="7" t="str">
        <v>LIMNOLOGY(SCIE);OCEANOGRAPHY(SCIE)</v>
      </c>
      <c r="N319" s="7" t="str">
        <v>两份公开汇编一致</v>
      </c>
      <c r="O319" s="7" t="str"/>
      <c r="P319" s="15" t="str">
        <v>JIF来源</v>
      </c>
      <c r="Q319" s="15" t="str">
        <v>分区来源</v>
      </c>
      <c r="R319" s="15" t="str"/>
      <c r="S319" s="14" t="str">
        <v>https://aslopubs.onlinelibrary.wiley.com/journal/19395590</v>
      </c>
      <c r="T319" s="7" t="str">
        <v>ISSN匹配公开元数据；未逐站复核</v>
      </c>
      <c r="U319" s="2" t="str">
        <v>官网来源</v>
      </c>
      <c r="V319" s="2" t="n">
        <v>2026</v>
      </c>
    </row>
    <row r="320" ht="34" customHeight="1">
      <c r="A320" s="7" t="str">
        <v>Marine Policy</v>
      </c>
      <c r="B320" s="7" t="str">
        <v>水产渔业与海洋生物</v>
      </c>
      <c r="C320" s="11" t="n">
        <v>2</v>
      </c>
      <c r="D320" s="12" t="n">
        <v>3.9</v>
      </c>
      <c r="E320" s="13" t="n">
        <v>2025</v>
      </c>
      <c r="F320" s="7" t="str">
        <v>其他</v>
      </c>
      <c r="G320" s="7" t="str">
        <v>领域期刊/新兴刊</v>
      </c>
      <c r="H320" s="7" t="str">
        <v>研究/方法/综合</v>
      </c>
      <c r="I320" s="10" t="n">
        <v>2025</v>
      </c>
      <c r="J320" s="2" t="str">
        <v>否</v>
      </c>
      <c r="K320" s="2" t="str">
        <v>0308-597X</v>
      </c>
      <c r="L320" s="2" t="str">
        <v>1872-9460</v>
      </c>
      <c r="M320" s="7" t="str">
        <v>ENVIRONMENTAL STUDIES(SSCI);INTERNATIONAL RELATIONS(SSCI)</v>
      </c>
      <c r="N320" s="7" t="str">
        <v>两份公开汇编一致</v>
      </c>
      <c r="O320" s="7" t="str"/>
      <c r="P320" s="15" t="str">
        <v>JIF来源</v>
      </c>
      <c r="Q320" s="15" t="str">
        <v>分区来源</v>
      </c>
      <c r="R320" s="15" t="str"/>
      <c r="S320" s="14" t="str">
        <v>https://www.journals.elsevier.com/marine-policy</v>
      </c>
      <c r="T320" s="7" t="str">
        <v>ISSN匹配公开元数据；未逐站复核</v>
      </c>
      <c r="U320" s="2" t="str">
        <v>官网来源</v>
      </c>
      <c r="V320" s="2" t="n">
        <v>2026</v>
      </c>
    </row>
    <row r="321" ht="34" customHeight="1">
      <c r="A321" s="7" t="str">
        <v>ICES JOURNAL OF MARINE SCIENCE</v>
      </c>
      <c r="B321" s="7" t="str">
        <v>水产渔业与海洋生物</v>
      </c>
      <c r="C321" s="11" t="n">
        <v>2</v>
      </c>
      <c r="D321" s="12" t="n">
        <v>3.9</v>
      </c>
      <c r="E321" s="13" t="n">
        <v>2025</v>
      </c>
      <c r="F321" s="7" t="str">
        <v>其他</v>
      </c>
      <c r="G321" s="7" t="str">
        <v>领域期刊/新兴刊</v>
      </c>
      <c r="H321" s="7" t="str">
        <v>研究/方法/综合</v>
      </c>
      <c r="I321" s="10" t="n">
        <v>2025</v>
      </c>
      <c r="J321" s="2" t="str">
        <v>是</v>
      </c>
      <c r="K321" s="2" t="str">
        <v>1054-3139</v>
      </c>
      <c r="L321" s="2" t="str">
        <v>1095-9289</v>
      </c>
      <c r="M321" s="7" t="str">
        <v>FISHERIES(SCIE);MARINE &amp; FRESHWATER BIOLOGY(SCIE);OCEANOGRAPHY(SCIE)</v>
      </c>
      <c r="N321" s="7" t="str">
        <v>两份公开汇编一致</v>
      </c>
      <c r="O321" s="7" t="str"/>
      <c r="P321" s="15" t="str">
        <v>JIF来源</v>
      </c>
      <c r="Q321" s="15" t="str">
        <v>分区来源</v>
      </c>
      <c r="R321" s="15" t="str"/>
      <c r="S321" s="14" t="str">
        <v>http://icesjms.oxfordjournals.org</v>
      </c>
      <c r="T321" s="7" t="str">
        <v>ISSN匹配公开元数据；未逐站复核</v>
      </c>
      <c r="U321" s="2" t="str">
        <v>官网来源</v>
      </c>
      <c r="V321" s="2" t="n">
        <v>2026</v>
      </c>
    </row>
    <row r="322" ht="34" customHeight="1">
      <c r="A322" s="7" t="str">
        <v>FRESHWATER BIOLOGY</v>
      </c>
      <c r="B322" s="7" t="str">
        <v>水产渔业与海洋生物</v>
      </c>
      <c r="C322" s="11" t="n">
        <v>2</v>
      </c>
      <c r="D322" s="12" t="n">
        <v>2.6</v>
      </c>
      <c r="E322" s="13" t="n">
        <v>2025</v>
      </c>
      <c r="F322" s="7" t="str">
        <v>其他</v>
      </c>
      <c r="G322" s="7" t="str">
        <v>经典专业刊</v>
      </c>
      <c r="H322" s="7" t="str">
        <v>研究/方法/综合</v>
      </c>
      <c r="I322" s="10" t="n">
        <v>2025</v>
      </c>
      <c r="J322" s="2" t="str">
        <v>否</v>
      </c>
      <c r="K322" s="2" t="str">
        <v>0046-5070</v>
      </c>
      <c r="L322" s="2" t="str">
        <v>1365-2427</v>
      </c>
      <c r="M322" s="7" t="str">
        <v>ECOLOGY(SCIE);MARINE &amp; FRESHWATER BIOLOGY(SCIE)</v>
      </c>
      <c r="N322" s="7" t="str">
        <v>两份公开汇编一致</v>
      </c>
      <c r="O322" s="7" t="str"/>
      <c r="P322" s="15" t="str">
        <v>JIF来源</v>
      </c>
      <c r="Q322" s="15" t="str">
        <v>分区来源</v>
      </c>
      <c r="R322" s="15" t="str"/>
      <c r="S322" s="14" t="str">
        <v>https://onlinelibrary.wiley.com/journal/13652427</v>
      </c>
      <c r="T322" s="7" t="str">
        <v>ISSN匹配公开元数据；未逐站复核</v>
      </c>
      <c r="U322" s="2" t="str">
        <v>官网来源</v>
      </c>
      <c r="V322" s="2" t="n">
        <v>2026</v>
      </c>
    </row>
    <row r="323" ht="34" customHeight="1">
      <c r="A323" s="7" t="str">
        <v>Aquaculture Environment Interactions</v>
      </c>
      <c r="B323" s="7" t="str">
        <v>水产渔业与海洋生物</v>
      </c>
      <c r="C323" s="11" t="n">
        <v>2</v>
      </c>
      <c r="D323" s="12" t="n">
        <v>2.4</v>
      </c>
      <c r="E323" s="13" t="n">
        <v>2025</v>
      </c>
      <c r="F323" s="7" t="str">
        <v>其他</v>
      </c>
      <c r="G323" s="7" t="str">
        <v>领域期刊/新兴刊</v>
      </c>
      <c r="H323" s="7" t="str">
        <v>研究/方法/综合</v>
      </c>
      <c r="I323" s="10" t="n">
        <v>2025</v>
      </c>
      <c r="J323" s="2" t="str">
        <v>否</v>
      </c>
      <c r="K323" s="2" t="str">
        <v>1869-215X</v>
      </c>
      <c r="L323" s="2" t="str">
        <v>1869-7534</v>
      </c>
      <c r="M323" s="7" t="str">
        <v>FISHERIES(SCIE);MARINE &amp; FRESHWATER BIOLOGY(SCIE)</v>
      </c>
      <c r="N323" s="7" t="str">
        <v>两份公开汇编一致</v>
      </c>
      <c r="O323" s="7" t="str"/>
      <c r="P323" s="15" t="str">
        <v>JIF来源</v>
      </c>
      <c r="Q323" s="15" t="str">
        <v>分区来源</v>
      </c>
      <c r="R323" s="15" t="str"/>
      <c r="S323" s="14" t="str">
        <v>http://www.int-res.com/journals/aei/aei-home/</v>
      </c>
      <c r="T323" s="7" t="str">
        <v>ISSN匹配公开元数据；未逐站复核</v>
      </c>
      <c r="U323" s="2" t="str">
        <v>官网来源</v>
      </c>
      <c r="V323" s="2" t="n">
        <v>2026</v>
      </c>
    </row>
    <row r="324" ht="34" customHeight="1">
      <c r="A324" s="7" t="str">
        <v>FISHERIES RESEARCH</v>
      </c>
      <c r="B324" s="7" t="str">
        <v>水产渔业与海洋生物</v>
      </c>
      <c r="C324" s="11" t="n">
        <v>2</v>
      </c>
      <c r="D324" s="12" t="n">
        <v>2.6</v>
      </c>
      <c r="E324" s="13" t="n">
        <v>2025</v>
      </c>
      <c r="F324" s="7" t="str">
        <v>其他</v>
      </c>
      <c r="G324" s="7" t="str">
        <v>经典专业刊</v>
      </c>
      <c r="H324" s="7" t="str">
        <v>研究/方法/综合</v>
      </c>
      <c r="I324" s="10" t="n">
        <v>2025</v>
      </c>
      <c r="J324" s="2" t="str">
        <v>否</v>
      </c>
      <c r="K324" s="2" t="str">
        <v>0165-7836</v>
      </c>
      <c r="L324" s="2" t="str">
        <v>1872-6763</v>
      </c>
      <c r="M324" s="7" t="str">
        <v>FISHERIES(SCIE)</v>
      </c>
      <c r="N324" s="7" t="str">
        <v>两份公开汇编一致</v>
      </c>
      <c r="O324" s="7" t="str"/>
      <c r="P324" s="15" t="str">
        <v>JIF来源</v>
      </c>
      <c r="Q324" s="15" t="str">
        <v>分区来源</v>
      </c>
      <c r="R324" s="15" t="str"/>
      <c r="S324" s="14" t="str">
        <v>https://www.journals.elsevier.com/fisheries-research</v>
      </c>
      <c r="T324" s="7" t="str">
        <v>ISSN匹配公开元数据；未逐站复核</v>
      </c>
      <c r="U324" s="2" t="str">
        <v>官网来源</v>
      </c>
      <c r="V324" s="2" t="n">
        <v>2026</v>
      </c>
    </row>
    <row r="325" ht="34" customHeight="1">
      <c r="A325" s="7" t="str">
        <v>JOURNAL OF PHYCOLOGY</v>
      </c>
      <c r="B325" s="7" t="str">
        <v>水产渔业与海洋生物</v>
      </c>
      <c r="C325" s="11" t="n">
        <v>3</v>
      </c>
      <c r="D325" s="12" t="n">
        <v>4.3</v>
      </c>
      <c r="E325" s="13" t="n">
        <v>2025</v>
      </c>
      <c r="F325" s="7" t="str">
        <v>其他</v>
      </c>
      <c r="G325" s="7" t="str">
        <v>领域期刊/新兴刊</v>
      </c>
      <c r="H325" s="7" t="str">
        <v>研究/方法/综合</v>
      </c>
      <c r="I325" s="10" t="n">
        <v>2025</v>
      </c>
      <c r="J325" s="2" t="str">
        <v>否</v>
      </c>
      <c r="K325" s="2" t="str"/>
      <c r="L325" s="2" t="str">
        <v>1529-8817</v>
      </c>
      <c r="M325" s="7" t="str">
        <v>MARINE &amp; FRESHWATER BIOLOGY(SCIE);PLANT SCIENCES(SCIE)</v>
      </c>
      <c r="N325" s="7" t="str">
        <v>两份公开汇编一致</v>
      </c>
      <c r="O325" s="7" t="str"/>
      <c r="P325" s="15" t="str">
        <v>JIF来源</v>
      </c>
      <c r="Q325" s="15" t="str">
        <v>分区来源</v>
      </c>
      <c r="R325" s="15" t="str"/>
      <c r="S325" s="14" t="str">
        <v>http://onlinelibrary.wiley.com/journal/10.1111/(ISSN)1529-8817</v>
      </c>
      <c r="T325" s="7" t="str">
        <v>ISSN匹配公开元数据；未逐站复核</v>
      </c>
      <c r="U325" s="2" t="str">
        <v>官网来源</v>
      </c>
      <c r="V325" s="2" t="n">
        <v>2026</v>
      </c>
    </row>
    <row r="326" ht="34" customHeight="1">
      <c r="A326" s="7" t="str">
        <v>JOURNAL OF THE WORLD AQUACULTURE SOCIETY</v>
      </c>
      <c r="B326" s="7" t="str">
        <v>水产渔业与海洋生物</v>
      </c>
      <c r="C326" s="11" t="n">
        <v>3</v>
      </c>
      <c r="D326" s="12" t="n">
        <v>4.7</v>
      </c>
      <c r="E326" s="13" t="n">
        <v>2025</v>
      </c>
      <c r="F326" s="7" t="str">
        <v>其他</v>
      </c>
      <c r="G326" s="7" t="str">
        <v>领域期刊/新兴刊</v>
      </c>
      <c r="H326" s="7" t="str">
        <v>研究/方法/综合</v>
      </c>
      <c r="I326" s="10" t="n">
        <v>2025</v>
      </c>
      <c r="J326" s="2" t="str">
        <v>否</v>
      </c>
      <c r="K326" s="2" t="str">
        <v>0893-8849</v>
      </c>
      <c r="L326" s="2" t="str">
        <v>1749-7345</v>
      </c>
      <c r="M326" s="7" t="str">
        <v>FISHERIES(SCIE)</v>
      </c>
      <c r="N326" s="7" t="str">
        <v>两份公开汇编一致</v>
      </c>
      <c r="O326" s="7" t="str"/>
      <c r="P326" s="15" t="str">
        <v>JIF来源</v>
      </c>
      <c r="Q326" s="15" t="str">
        <v>分区来源</v>
      </c>
      <c r="R326" s="15" t="str"/>
      <c r="S326" s="14" t="str">
        <v>https://onlinelibrary.wiley.com/journal/17497345</v>
      </c>
      <c r="T326" s="7" t="str">
        <v>ISSN匹配公开元数据；未逐站复核</v>
      </c>
      <c r="U326" s="2" t="str">
        <v>官网来源</v>
      </c>
      <c r="V326" s="2" t="n">
        <v>2026</v>
      </c>
    </row>
    <row r="327" ht="34" customHeight="1">
      <c r="A327" s="7" t="str">
        <v>JOURNAL OF APPLIED PHYCOLOGY</v>
      </c>
      <c r="B327" s="7" t="str">
        <v>水产渔业与海洋生物</v>
      </c>
      <c r="C327" s="11" t="n">
        <v>3</v>
      </c>
      <c r="D327" s="12" t="n">
        <v>3.6</v>
      </c>
      <c r="E327" s="13" t="n">
        <v>2025</v>
      </c>
      <c r="F327" s="7" t="str">
        <v>其他</v>
      </c>
      <c r="G327" s="7" t="str">
        <v>领域期刊/新兴刊</v>
      </c>
      <c r="H327" s="7" t="str">
        <v>研究/方法/综合</v>
      </c>
      <c r="I327" s="10" t="n">
        <v>2025</v>
      </c>
      <c r="J327" s="2" t="str">
        <v>否</v>
      </c>
      <c r="K327" s="2" t="str">
        <v>0921-8971</v>
      </c>
      <c r="L327" s="2" t="str">
        <v>1573-5176</v>
      </c>
      <c r="M327" s="7" t="str">
        <v>BIOTECHNOLOGY &amp; APPLIED MICROBIOLOGY(SCIE);MARINE &amp; FRESHWATER BIOLOGY(SCIE)</v>
      </c>
      <c r="N327" s="7" t="str">
        <v>两份公开汇编一致</v>
      </c>
      <c r="O327" s="7" t="str"/>
      <c r="P327" s="15" t="str">
        <v>JIF来源</v>
      </c>
      <c r="Q327" s="15" t="str">
        <v>分区来源</v>
      </c>
      <c r="R327" s="15" t="str"/>
      <c r="S327" s="14" t="str">
        <v>https://www.springer.com/journal/10811</v>
      </c>
      <c r="T327" s="7" t="str">
        <v>ISSN匹配公开元数据；未逐站复核</v>
      </c>
      <c r="U327" s="2" t="str">
        <v>官网来源</v>
      </c>
      <c r="V327" s="2" t="n">
        <v>2026</v>
      </c>
    </row>
    <row r="328" ht="34" customHeight="1">
      <c r="A328" s="7" t="str">
        <v>MARINE BIOTECHNOLOGY</v>
      </c>
      <c r="B328" s="7" t="str">
        <v>水产渔业与海洋生物</v>
      </c>
      <c r="C328" s="11" t="n">
        <v>3</v>
      </c>
      <c r="D328" s="12" t="n">
        <v>2.8</v>
      </c>
      <c r="E328" s="13" t="n">
        <v>2025</v>
      </c>
      <c r="F328" s="7" t="str">
        <v>其他</v>
      </c>
      <c r="G328" s="7" t="str">
        <v>领域期刊/新兴刊</v>
      </c>
      <c r="H328" s="7" t="str">
        <v>研究/方法/综合</v>
      </c>
      <c r="I328" s="10" t="n">
        <v>2025</v>
      </c>
      <c r="J328" s="2" t="str">
        <v>否</v>
      </c>
      <c r="K328" s="2" t="str">
        <v>1436-2228</v>
      </c>
      <c r="L328" s="2" t="str">
        <v>1436-2236</v>
      </c>
      <c r="M328" s="7" t="str">
        <v>BIOTECHNOLOGY &amp; APPLIED MICROBIOLOGY(SCIE);MARINE &amp; FRESHWATER BIOLOGY(SCIE)</v>
      </c>
      <c r="N328" s="7" t="str">
        <v>两份公开汇编一致</v>
      </c>
      <c r="O328" s="7" t="str"/>
      <c r="P328" s="15" t="str">
        <v>JIF来源</v>
      </c>
      <c r="Q328" s="15" t="str">
        <v>分区来源</v>
      </c>
      <c r="R328" s="15" t="str"/>
      <c r="S328" s="14" t="str">
        <v>https://www.springer.com/journal/10126</v>
      </c>
      <c r="T328" s="7" t="str">
        <v>ISSN匹配公开元数据；未逐站复核</v>
      </c>
      <c r="U328" s="2" t="str">
        <v>官网来源</v>
      </c>
      <c r="V328" s="2" t="n">
        <v>2026</v>
      </c>
    </row>
    <row r="329" ht="34" customHeight="1">
      <c r="A329" s="7" t="str">
        <v>FISH PHYSIOLOGY AND BIOCHEMISTRY</v>
      </c>
      <c r="B329" s="7" t="str">
        <v>水产渔业与海洋生物</v>
      </c>
      <c r="C329" s="11" t="n">
        <v>3</v>
      </c>
      <c r="D329" s="12" t="n">
        <v>3</v>
      </c>
      <c r="E329" s="13" t="n">
        <v>2025</v>
      </c>
      <c r="F329" s="7" t="str">
        <v>其他</v>
      </c>
      <c r="G329" s="7" t="str">
        <v>领域期刊/新兴刊</v>
      </c>
      <c r="H329" s="7" t="str">
        <v>研究/方法/综合</v>
      </c>
      <c r="I329" s="10" t="n">
        <v>2025</v>
      </c>
      <c r="J329" s="2" t="str">
        <v>否</v>
      </c>
      <c r="K329" s="2" t="str">
        <v>0920-1742</v>
      </c>
      <c r="L329" s="2" t="str">
        <v>1573-5168</v>
      </c>
      <c r="M329" s="7" t="str">
        <v>BIOCHEMISTRY &amp; MOLECULAR BIOLOGY(SCIE);FISHERIES(SCIE);PHYSIOLOGY(SCIE)</v>
      </c>
      <c r="N329" s="7" t="str">
        <v>两份公开汇编一致</v>
      </c>
      <c r="O329" s="7" t="str"/>
      <c r="P329" s="15" t="str">
        <v>JIF来源</v>
      </c>
      <c r="Q329" s="15" t="str">
        <v>分区来源</v>
      </c>
      <c r="R329" s="15" t="str"/>
      <c r="S329" s="14" t="str">
        <v>https://www.springer.com/journal/10695</v>
      </c>
      <c r="T329" s="7" t="str">
        <v>ISSN匹配公开元数据；未逐站复核</v>
      </c>
      <c r="U329" s="2" t="str">
        <v>官网来源</v>
      </c>
      <c r="V329" s="2" t="n">
        <v>2026</v>
      </c>
    </row>
    <row r="330" ht="34" customHeight="1">
      <c r="A330" s="7" t="str">
        <v>HYDROBIOLOGIA</v>
      </c>
      <c r="B330" s="7" t="str">
        <v>水产渔业与海洋生物</v>
      </c>
      <c r="C330" s="11" t="n">
        <v>3</v>
      </c>
      <c r="D330" s="12" t="n">
        <v>2.4</v>
      </c>
      <c r="E330" s="13" t="n">
        <v>2025</v>
      </c>
      <c r="F330" s="7" t="str">
        <v>其他</v>
      </c>
      <c r="G330" s="7" t="str">
        <v>经典专业刊</v>
      </c>
      <c r="H330" s="7" t="str">
        <v>研究/方法/综合</v>
      </c>
      <c r="I330" s="10" t="n">
        <v>2025</v>
      </c>
      <c r="J330" s="2" t="str">
        <v>否</v>
      </c>
      <c r="K330" s="2" t="str">
        <v>0018-8158</v>
      </c>
      <c r="L330" s="2" t="str">
        <v>1573-5117</v>
      </c>
      <c r="M330" s="7" t="str">
        <v>MARINE &amp; FRESHWATER BIOLOGY(SCIE)</v>
      </c>
      <c r="N330" s="7" t="str">
        <v>两份公开汇编一致</v>
      </c>
      <c r="O330" s="7" t="str"/>
      <c r="P330" s="15" t="str">
        <v>JIF来源</v>
      </c>
      <c r="Q330" s="15" t="str">
        <v>分区来源</v>
      </c>
      <c r="R330" s="15" t="str"/>
      <c r="S330" s="14" t="str">
        <v>https://link.springer.com/journal/10750</v>
      </c>
      <c r="T330" s="7" t="str">
        <v>ISSN匹配公开元数据；未逐站复核</v>
      </c>
      <c r="U330" s="2" t="str">
        <v>官网来源</v>
      </c>
      <c r="V330" s="2" t="n">
        <v>2026</v>
      </c>
    </row>
    <row r="331" ht="34" customHeight="1">
      <c r="A331" s="7" t="str">
        <v>JOURNAL OF GREAT LAKES RESEARCH</v>
      </c>
      <c r="B331" s="7" t="str">
        <v>水产渔业与海洋生物</v>
      </c>
      <c r="C331" s="11" t="n">
        <v>3</v>
      </c>
      <c r="D331" s="12" t="n">
        <v>2.5</v>
      </c>
      <c r="E331" s="13" t="n">
        <v>2025</v>
      </c>
      <c r="F331" s="7" t="str">
        <v>其他</v>
      </c>
      <c r="G331" s="7" t="str">
        <v>领域期刊/新兴刊</v>
      </c>
      <c r="H331" s="7" t="str">
        <v>研究/方法/综合</v>
      </c>
      <c r="I331" s="10" t="n">
        <v>2025</v>
      </c>
      <c r="J331" s="2" t="str">
        <v>否</v>
      </c>
      <c r="K331" s="2" t="str">
        <v>0380-1330</v>
      </c>
      <c r="L331" s="2" t="str">
        <v>0380-1330</v>
      </c>
      <c r="M331" s="7" t="str">
        <v>ENVIRONMENTAL SCIENCES(SCIE);LIMNOLOGY(SCIE);MARINE &amp; FRESHWATER BIOLOGY(SCIE)</v>
      </c>
      <c r="N331" s="7" t="str">
        <v>两份公开汇编一致</v>
      </c>
      <c r="O331" s="7" t="str"/>
      <c r="P331" s="15" t="str">
        <v>JIF来源</v>
      </c>
      <c r="Q331" s="15" t="str">
        <v>分区来源</v>
      </c>
      <c r="R331" s="15" t="str"/>
      <c r="S331" s="14" t="str">
        <v>https://www.journals.elsevier.com/journal-of-great-lakes-research</v>
      </c>
      <c r="T331" s="7" t="str">
        <v>ISSN匹配公开元数据；未逐站复核</v>
      </c>
      <c r="U331" s="2" t="str">
        <v>官网来源</v>
      </c>
      <c r="V331" s="2" t="n">
        <v>2026</v>
      </c>
    </row>
    <row r="332" ht="34" customHeight="1">
      <c r="A332" s="7" t="str">
        <v>AQUACULTURE INTERNATIONAL</v>
      </c>
      <c r="B332" s="7" t="str">
        <v>水产渔业与海洋生物</v>
      </c>
      <c r="C332" s="11" t="n">
        <v>3</v>
      </c>
      <c r="D332" s="12" t="n">
        <v>3.5</v>
      </c>
      <c r="E332" s="13" t="n">
        <v>2025</v>
      </c>
      <c r="F332" s="7" t="str">
        <v>其他</v>
      </c>
      <c r="G332" s="7" t="str">
        <v>领域期刊/新兴刊</v>
      </c>
      <c r="H332" s="7" t="str">
        <v>研究/方法/综合</v>
      </c>
      <c r="I332" s="10" t="n">
        <v>2025</v>
      </c>
      <c r="J332" s="2" t="str">
        <v>否</v>
      </c>
      <c r="K332" s="2" t="str">
        <v>0967-6120</v>
      </c>
      <c r="L332" s="2" t="str">
        <v>1573-143X</v>
      </c>
      <c r="M332" s="7" t="str">
        <v>FISHERIES(SCIE)</v>
      </c>
      <c r="N332" s="7" t="str">
        <v>两份公开汇编一致</v>
      </c>
      <c r="O332" s="7" t="str"/>
      <c r="P332" s="15" t="str">
        <v>JIF来源</v>
      </c>
      <c r="Q332" s="15" t="str">
        <v>分区来源</v>
      </c>
      <c r="R332" s="15" t="str"/>
      <c r="S332" s="14" t="str">
        <v>https://www.springer.com/journal/10499</v>
      </c>
      <c r="T332" s="7" t="str">
        <v>ISSN匹配公开元数据；未逐站复核</v>
      </c>
      <c r="U332" s="2" t="str">
        <v>官网来源</v>
      </c>
      <c r="V332" s="2" t="n">
        <v>2026</v>
      </c>
    </row>
    <row r="333" ht="34" customHeight="1">
      <c r="A333" s="7" t="str">
        <v>CANADIAN JOURNAL OF FISHERIES AND AQUATIC SCIENCES</v>
      </c>
      <c r="B333" s="7" t="str">
        <v>水产渔业与海洋生物</v>
      </c>
      <c r="C333" s="11" t="n">
        <v>3</v>
      </c>
      <c r="D333" s="12" t="n">
        <v>2.5</v>
      </c>
      <c r="E333" s="13" t="n">
        <v>2025</v>
      </c>
      <c r="F333" s="7" t="str">
        <v>其他</v>
      </c>
      <c r="G333" s="7" t="str">
        <v>经典专业刊</v>
      </c>
      <c r="H333" s="7" t="str">
        <v>研究/方法/综合</v>
      </c>
      <c r="I333" s="10" t="n">
        <v>2025</v>
      </c>
      <c r="J333" s="2" t="str">
        <v>否</v>
      </c>
      <c r="K333" s="2" t="str">
        <v>0706-652X</v>
      </c>
      <c r="L333" s="2" t="str">
        <v>1205-7533</v>
      </c>
      <c r="M333" s="7" t="str">
        <v>FISHERIES(SCIE);MARINE &amp; FRESHWATER BIOLOGY(SCIE)</v>
      </c>
      <c r="N333" s="7" t="str">
        <v>两份公开汇编一致</v>
      </c>
      <c r="O333" s="7" t="str"/>
      <c r="P333" s="15" t="str">
        <v>JIF来源</v>
      </c>
      <c r="Q333" s="15" t="str">
        <v>分区来源</v>
      </c>
      <c r="R333" s="15" t="str"/>
      <c r="S333" s="14" t="str">
        <v>https://cdnsciencepub.com/journal/cjfas</v>
      </c>
      <c r="T333" s="7" t="str">
        <v>出版社/期刊主页匹配</v>
      </c>
      <c r="U333" s="2" t="str">
        <v>官网来源</v>
      </c>
      <c r="V333" s="2" t="n">
        <v>2026</v>
      </c>
    </row>
    <row r="334" ht="34" customHeight="1">
      <c r="A334" s="7" t="str">
        <v>AQUATIC CONSERVATION-MARINE AND FRESHWATER ECOSYSTEMS</v>
      </c>
      <c r="B334" s="7" t="str">
        <v>水产渔业与海洋生物</v>
      </c>
      <c r="C334" s="11" t="n">
        <v>3</v>
      </c>
      <c r="D334" s="12" t="n">
        <v>2.5</v>
      </c>
      <c r="E334" s="13" t="n">
        <v>2025</v>
      </c>
      <c r="F334" s="7" t="str">
        <v>其他</v>
      </c>
      <c r="G334" s="7" t="str">
        <v>领域期刊/新兴刊</v>
      </c>
      <c r="H334" s="7" t="str">
        <v>研究/方法/综合</v>
      </c>
      <c r="I334" s="10" t="n">
        <v>2025</v>
      </c>
      <c r="J334" s="2" t="str">
        <v>否</v>
      </c>
      <c r="K334" s="2" t="str">
        <v>1052-7613</v>
      </c>
      <c r="L334" s="2" t="str">
        <v>1099-0755</v>
      </c>
      <c r="M334" s="7" t="str">
        <v>ENVIRONMENTAL SCIENCES(SCIE);MARINE &amp; FRESHWATER BIOLOGY(SCIE);WATER RESOURCES(SCIE)</v>
      </c>
      <c r="N334" s="7" t="str">
        <v>公开汇编已匹配</v>
      </c>
      <c r="O334" s="7" t="str"/>
      <c r="P334" s="15" t="str">
        <v>JIF来源</v>
      </c>
      <c r="Q334" s="15" t="str">
        <v>分区来源</v>
      </c>
      <c r="R334" s="15" t="str"/>
      <c r="S334" s="14" t="str">
        <v>https://onlinelibrary.wiley.com/journal/10990755</v>
      </c>
      <c r="T334" s="7" t="str">
        <v>ISSN匹配公开元数据；未逐站复核</v>
      </c>
      <c r="U334" s="2" t="str">
        <v>官网来源</v>
      </c>
      <c r="V334" s="2" t="n">
        <v>2026</v>
      </c>
    </row>
    <row r="335" ht="34" customHeight="1">
      <c r="A335" s="7" t="str">
        <v>FISHERIES</v>
      </c>
      <c r="B335" s="7" t="str">
        <v>水产渔业与海洋生物</v>
      </c>
      <c r="C335" s="11" t="n">
        <v>3</v>
      </c>
      <c r="D335" s="12" t="n">
        <v>3.1</v>
      </c>
      <c r="E335" s="13" t="n">
        <v>2025</v>
      </c>
      <c r="F335" s="7" t="str">
        <v>其他</v>
      </c>
      <c r="G335" s="7" t="str">
        <v>领域期刊/新兴刊</v>
      </c>
      <c r="H335" s="7" t="str">
        <v>研究/方法/综合</v>
      </c>
      <c r="I335" s="10" t="n">
        <v>2025</v>
      </c>
      <c r="J335" s="2" t="str">
        <v>否</v>
      </c>
      <c r="K335" s="2" t="str">
        <v>0363-2415</v>
      </c>
      <c r="L335" s="2" t="str">
        <v>1548-8446</v>
      </c>
      <c r="M335" s="7" t="str">
        <v>FISHERIES(SCIE)</v>
      </c>
      <c r="N335" s="7" t="str">
        <v>两份公开汇编一致</v>
      </c>
      <c r="O335" s="7" t="str"/>
      <c r="P335" s="15" t="str">
        <v>JIF来源</v>
      </c>
      <c r="Q335" s="15" t="str">
        <v>分区来源</v>
      </c>
      <c r="R335" s="15" t="str"/>
      <c r="S335" s="14" t="str">
        <v>https://afspubs.onlinelibrary.wiley.com/journal/15488446</v>
      </c>
      <c r="T335" s="7" t="str">
        <v>ISSN匹配公开元数据；未逐站复核</v>
      </c>
      <c r="U335" s="2" t="str">
        <v>官网来源</v>
      </c>
      <c r="V335" s="2" t="n">
        <v>2026</v>
      </c>
    </row>
    <row r="336" ht="34" customHeight="1">
      <c r="A336" s="7" t="str">
        <v>JOURNAL OF FISH DISEASES</v>
      </c>
      <c r="B336" s="7" t="str">
        <v>水产渔业与海洋生物</v>
      </c>
      <c r="C336" s="11" t="n">
        <v>3</v>
      </c>
      <c r="D336" s="12" t="n">
        <v>2.3</v>
      </c>
      <c r="E336" s="13" t="n">
        <v>2025</v>
      </c>
      <c r="F336" s="7" t="str">
        <v>其他</v>
      </c>
      <c r="G336" s="7" t="str">
        <v>经典专业刊</v>
      </c>
      <c r="H336" s="7" t="str">
        <v>研究/方法/综合</v>
      </c>
      <c r="I336" s="10" t="n">
        <v>2025</v>
      </c>
      <c r="J336" s="2" t="str">
        <v>否</v>
      </c>
      <c r="K336" s="2" t="str">
        <v>0140-7775</v>
      </c>
      <c r="L336" s="2" t="str">
        <v>1365-2761</v>
      </c>
      <c r="M336" s="7" t="str">
        <v>FISHERIES(SCIE);MARINE &amp; FRESHWATER BIOLOGY(SCIE);VETERINARY SCIENCES(SCIE)</v>
      </c>
      <c r="N336" s="7" t="str">
        <v>两份公开汇编一致</v>
      </c>
      <c r="O336" s="7" t="str"/>
      <c r="P336" s="15" t="str">
        <v>JIF来源</v>
      </c>
      <c r="Q336" s="15" t="str">
        <v>分区来源</v>
      </c>
      <c r="R336" s="15" t="str"/>
      <c r="S336" s="14" t="str">
        <v>https://onlinelibrary.wiley.com/journal/13652761</v>
      </c>
      <c r="T336" s="7" t="str">
        <v>ISSN匹配公开元数据；未逐站复核</v>
      </c>
      <c r="U336" s="2" t="str">
        <v>官网来源</v>
      </c>
      <c r="V336" s="2" t="n">
        <v>2026</v>
      </c>
    </row>
    <row r="337" ht="34" customHeight="1">
      <c r="A337" s="7" t="str">
        <v>MARINE BIOLOGY</v>
      </c>
      <c r="B337" s="7" t="str">
        <v>水产渔业与海洋生物</v>
      </c>
      <c r="C337" s="11" t="n">
        <v>3</v>
      </c>
      <c r="D337" s="12" t="n">
        <v>2.3</v>
      </c>
      <c r="E337" s="13" t="n">
        <v>2025</v>
      </c>
      <c r="F337" s="7" t="str">
        <v>其他</v>
      </c>
      <c r="G337" s="7" t="str">
        <v>经典专业刊</v>
      </c>
      <c r="H337" s="7" t="str">
        <v>研究/方法/综合</v>
      </c>
      <c r="I337" s="10" t="n">
        <v>2025</v>
      </c>
      <c r="J337" s="2" t="str">
        <v>否</v>
      </c>
      <c r="K337" s="2" t="str">
        <v>0025-3162</v>
      </c>
      <c r="L337" s="2" t="str">
        <v>1432-1793</v>
      </c>
      <c r="M337" s="7" t="str">
        <v>MARINE &amp; FRESHWATER BIOLOGY(SCIE)</v>
      </c>
      <c r="N337" s="7" t="str">
        <v>两份公开汇编一致</v>
      </c>
      <c r="O337" s="7" t="str"/>
      <c r="P337" s="15" t="str">
        <v>JIF来源</v>
      </c>
      <c r="Q337" s="15" t="str">
        <v>分区来源</v>
      </c>
      <c r="R337" s="15" t="str"/>
      <c r="S337" s="14" t="str">
        <v>https://link.springer.com/journal/227</v>
      </c>
      <c r="T337" s="7" t="str">
        <v>ISSN匹配公开元数据；未逐站复核</v>
      </c>
      <c r="U337" s="2" t="str">
        <v>官网来源</v>
      </c>
      <c r="V337" s="2" t="n">
        <v>2026</v>
      </c>
    </row>
    <row r="338" ht="34" customHeight="1">
      <c r="A338" s="7" t="str">
        <v>MARINE ECOLOGY PROGRESS SERIES</v>
      </c>
      <c r="B338" s="7" t="str">
        <v>水产渔业与海洋生物</v>
      </c>
      <c r="C338" s="11" t="n">
        <v>3</v>
      </c>
      <c r="D338" s="12" t="n">
        <v>2.3</v>
      </c>
      <c r="E338" s="13" t="n">
        <v>2025</v>
      </c>
      <c r="F338" s="7" t="str">
        <v>其他</v>
      </c>
      <c r="G338" s="7" t="str">
        <v>经典专业刊</v>
      </c>
      <c r="H338" s="7" t="str">
        <v>研究/方法/综合</v>
      </c>
      <c r="I338" s="10" t="n">
        <v>2025</v>
      </c>
      <c r="J338" s="2" t="str">
        <v>否</v>
      </c>
      <c r="K338" s="2" t="str">
        <v>0171-8630</v>
      </c>
      <c r="L338" s="2" t="str">
        <v>1616-1599</v>
      </c>
      <c r="M338" s="7" t="str">
        <v>ECOLOGY(SCIE);MARINE &amp; FRESHWATER BIOLOGY(SCIE);OCEANOGRAPHY(SCIE)</v>
      </c>
      <c r="N338" s="7" t="str">
        <v>两份公开汇编一致</v>
      </c>
      <c r="O338" s="7" t="str"/>
      <c r="P338" s="15" t="str">
        <v>JIF来源</v>
      </c>
      <c r="Q338" s="15" t="str">
        <v>分区来源</v>
      </c>
      <c r="R338" s="15" t="str"/>
      <c r="S338" s="14" t="str">
        <v>http://www.int-res.com/journals/meps/</v>
      </c>
      <c r="T338" s="7" t="str">
        <v>ISSN匹配公开元数据；未逐站复核</v>
      </c>
      <c r="U338" s="2" t="str">
        <v>官网来源</v>
      </c>
      <c r="V338" s="2" t="n">
        <v>2026</v>
      </c>
    </row>
    <row r="339" ht="34" customHeight="1">
      <c r="A339" s="7" t="str">
        <v>JOURNAL OF FISH BIOLOGY</v>
      </c>
      <c r="B339" s="7" t="str">
        <v>水产渔业与海洋生物</v>
      </c>
      <c r="C339" s="11" t="n">
        <v>3</v>
      </c>
      <c r="D339" s="12" t="n">
        <v>1.9</v>
      </c>
      <c r="E339" s="13" t="n">
        <v>2025</v>
      </c>
      <c r="F339" s="7" t="str">
        <v>其他</v>
      </c>
      <c r="G339" s="7" t="str">
        <v>经典专业刊</v>
      </c>
      <c r="H339" s="7" t="str">
        <v>研究/方法/综合</v>
      </c>
      <c r="I339" s="10" t="n">
        <v>2025</v>
      </c>
      <c r="J339" s="2" t="str">
        <v>否</v>
      </c>
      <c r="K339" s="2" t="str"/>
      <c r="L339" s="2" t="str">
        <v>1095-8649</v>
      </c>
      <c r="M339" s="7" t="str">
        <v>FISHERIES(SCIE);MARINE &amp; FRESHWATER BIOLOGY(SCIE)</v>
      </c>
      <c r="N339" s="7" t="str">
        <v>两份公开汇编一致</v>
      </c>
      <c r="O339" s="7" t="str"/>
      <c r="P339" s="15" t="str">
        <v>JIF来源</v>
      </c>
      <c r="Q339" s="15" t="str">
        <v>分区来源</v>
      </c>
      <c r="R339" s="15" t="str"/>
      <c r="S339" s="14" t="str">
        <v>http://www.wiley.com/bw/journal.asp?ref=0022-1112</v>
      </c>
      <c r="T339" s="7" t="str">
        <v>ISSN匹配公开元数据；未逐站复核</v>
      </c>
      <c r="U339" s="2" t="str">
        <v>官网来源</v>
      </c>
      <c r="V339" s="2" t="n">
        <v>2026</v>
      </c>
    </row>
    <row r="340" ht="34" customHeight="1">
      <c r="A340" s="7" t="str">
        <v>JOURNAL OF PLANKTON RESEARCH</v>
      </c>
      <c r="B340" s="7" t="str">
        <v>水产渔业与海洋生物</v>
      </c>
      <c r="C340" s="11" t="n">
        <v>3</v>
      </c>
      <c r="D340" s="12" t="n">
        <v>2</v>
      </c>
      <c r="E340" s="13" t="n">
        <v>2025</v>
      </c>
      <c r="F340" s="7" t="str">
        <v>其他</v>
      </c>
      <c r="G340" s="7" t="str">
        <v>领域期刊/新兴刊</v>
      </c>
      <c r="H340" s="7" t="str">
        <v>研究/方法/综合</v>
      </c>
      <c r="I340" s="10" t="n">
        <v>2025</v>
      </c>
      <c r="J340" s="2" t="str">
        <v>否</v>
      </c>
      <c r="K340" s="2" t="str">
        <v>0142-7873</v>
      </c>
      <c r="L340" s="2" t="str">
        <v>1464-3774</v>
      </c>
      <c r="M340" s="7" t="str">
        <v>MARINE &amp; FRESHWATER BIOLOGY(SCIE);OCEANOGRAPHY(SCIE)</v>
      </c>
      <c r="N340" s="7" t="str">
        <v>两份公开汇编一致</v>
      </c>
      <c r="O340" s="7" t="str"/>
      <c r="P340" s="15" t="str">
        <v>JIF来源</v>
      </c>
      <c r="Q340" s="15" t="str">
        <v>分区来源</v>
      </c>
      <c r="R340" s="15" t="str"/>
      <c r="S340" s="14" t="str">
        <v>http://plankt.oxfordjournals.org</v>
      </c>
      <c r="T340" s="7" t="str">
        <v>ISSN匹配公开元数据；未逐站复核</v>
      </c>
      <c r="U340" s="2" t="str">
        <v>官网来源</v>
      </c>
      <c r="V340" s="2" t="n">
        <v>2026</v>
      </c>
    </row>
    <row r="341" ht="34" customHeight="1">
      <c r="A341" s="7" t="str">
        <v>JOURNAL OF EXPERIMENTAL MARINE BIOLOGY AND ECOLOGY</v>
      </c>
      <c r="B341" s="7" t="str">
        <v>水产渔业与海洋生物</v>
      </c>
      <c r="C341" s="11" t="n">
        <v>3</v>
      </c>
      <c r="D341" s="12" t="n">
        <v>2.1</v>
      </c>
      <c r="E341" s="13" t="n">
        <v>2025</v>
      </c>
      <c r="F341" s="7" t="str">
        <v>其他</v>
      </c>
      <c r="G341" s="7" t="str">
        <v>领域期刊/新兴刊</v>
      </c>
      <c r="H341" s="7" t="str">
        <v>研究/方法/综合</v>
      </c>
      <c r="I341" s="10" t="n">
        <v>2025</v>
      </c>
      <c r="J341" s="2" t="str">
        <v>否</v>
      </c>
      <c r="K341" s="2" t="str">
        <v>0022-0981</v>
      </c>
      <c r="L341" s="2" t="str">
        <v>1879-1697</v>
      </c>
      <c r="M341" s="7" t="str">
        <v>ECOLOGY(SCIE);MARINE &amp; FRESHWATER BIOLOGY(SCIE)</v>
      </c>
      <c r="N341" s="7" t="str">
        <v>公开汇编已匹配</v>
      </c>
      <c r="O341" s="7" t="str"/>
      <c r="P341" s="15" t="str">
        <v>JIF来源</v>
      </c>
      <c r="Q341" s="15" t="str">
        <v>分区来源</v>
      </c>
      <c r="R341" s="15" t="str"/>
      <c r="S341" s="14" t="str">
        <v>https://www.journals.elsevier.com/journal-of-experimental-marine-biology-and-ecology</v>
      </c>
      <c r="T341" s="7" t="str">
        <v>ISSN匹配公开元数据；未逐站复核</v>
      </c>
      <c r="U341" s="2" t="str">
        <v>官网来源</v>
      </c>
      <c r="V341" s="2" t="n">
        <v>2026</v>
      </c>
    </row>
    <row r="342" ht="34" customHeight="1">
      <c r="A342" s="7" t="str">
        <v>EUROPEAN JOURNAL OF PHYCOLOGY</v>
      </c>
      <c r="B342" s="7" t="str">
        <v>水产渔业与海洋生物</v>
      </c>
      <c r="C342" s="11" t="n">
        <v>3</v>
      </c>
      <c r="D342" s="12" t="n">
        <v>2.2</v>
      </c>
      <c r="E342" s="13" t="n">
        <v>2025</v>
      </c>
      <c r="F342" s="7" t="str">
        <v>其他</v>
      </c>
      <c r="G342" s="7" t="str">
        <v>领域期刊/新兴刊</v>
      </c>
      <c r="H342" s="7" t="str">
        <v>研究/方法/综合</v>
      </c>
      <c r="I342" s="10" t="n">
        <v>2025</v>
      </c>
      <c r="J342" s="2" t="str">
        <v>否</v>
      </c>
      <c r="K342" s="2" t="str">
        <v>0967-0262</v>
      </c>
      <c r="L342" s="2" t="str">
        <v>1469-4433</v>
      </c>
      <c r="M342" s="7" t="str">
        <v>MARINE &amp; FRESHWATER BIOLOGY(SCIE);PLANT SCIENCES(SCIE)</v>
      </c>
      <c r="N342" s="7" t="str">
        <v>公开汇编已匹配</v>
      </c>
      <c r="O342" s="7" t="str"/>
      <c r="P342" s="15" t="str">
        <v>JIF来源</v>
      </c>
      <c r="Q342" s="15" t="str">
        <v>分区来源</v>
      </c>
      <c r="R342" s="15" t="str"/>
      <c r="S342" s="14" t="str">
        <v>https://www.tandfonline.com/toc/tejp20/current</v>
      </c>
      <c r="T342" s="7" t="str">
        <v>ISSN匹配公开元数据；未逐站复核</v>
      </c>
      <c r="U342" s="2" t="str">
        <v>官网来源</v>
      </c>
      <c r="V342" s="2" t="n">
        <v>2026</v>
      </c>
    </row>
    <row r="343" ht="34" customHeight="1">
      <c r="A343" s="7" t="str">
        <v>TRANSACTIONS OF THE AMERICAN FISHERIES SOCIETY</v>
      </c>
      <c r="B343" s="7" t="str">
        <v>水产渔业与海洋生物</v>
      </c>
      <c r="C343" s="11" t="n">
        <v>3</v>
      </c>
      <c r="D343" s="12" t="n">
        <v>1.5</v>
      </c>
      <c r="E343" s="13" t="n">
        <v>2025</v>
      </c>
      <c r="F343" s="7" t="str">
        <v>其他</v>
      </c>
      <c r="G343" s="7" t="str">
        <v>领域期刊/新兴刊</v>
      </c>
      <c r="H343" s="7" t="str">
        <v>研究/方法/综合</v>
      </c>
      <c r="I343" s="10" t="n">
        <v>2025</v>
      </c>
      <c r="J343" s="2" t="str">
        <v>否</v>
      </c>
      <c r="K343" s="2" t="str">
        <v>0002-8487</v>
      </c>
      <c r="L343" s="2" t="str">
        <v>1548-8659</v>
      </c>
      <c r="M343" s="7" t="str">
        <v>FISHERIES(SCIE)</v>
      </c>
      <c r="N343" s="7" t="str">
        <v>公开汇编已匹配</v>
      </c>
      <c r="O343" s="7" t="str"/>
      <c r="P343" s="15" t="str">
        <v>JIF来源</v>
      </c>
      <c r="Q343" s="15" t="str">
        <v>分区来源</v>
      </c>
      <c r="R343" s="15" t="str"/>
      <c r="S343" s="14" t="str">
        <v>https://onlinelibrary.wiley.com/journal/15488659</v>
      </c>
      <c r="T343" s="7" t="str">
        <v>ISSN匹配公开元数据；未逐站复核</v>
      </c>
      <c r="U343" s="2" t="str">
        <v>官网来源</v>
      </c>
      <c r="V343" s="2" t="n">
        <v>2026</v>
      </c>
    </row>
    <row r="344" ht="34" customHeight="1">
      <c r="A344" s="7" t="str">
        <v>AQUACULTURE RESEARCH</v>
      </c>
      <c r="B344" s="7" t="str">
        <v>水产渔业与海洋生物</v>
      </c>
      <c r="C344" s="11" t="n">
        <v>4</v>
      </c>
      <c r="D344" s="12" t="n">
        <v>2.5</v>
      </c>
      <c r="E344" s="13" t="n">
        <v>2025</v>
      </c>
      <c r="F344" s="7" t="str">
        <v>其他</v>
      </c>
      <c r="G344" s="7" t="str">
        <v>领域期刊/新兴刊</v>
      </c>
      <c r="H344" s="7" t="str">
        <v>研究/方法/综合</v>
      </c>
      <c r="I344" s="10" t="n">
        <v>2025</v>
      </c>
      <c r="J344" s="2" t="str">
        <v>否</v>
      </c>
      <c r="K344" s="2" t="str">
        <v>1355-557X</v>
      </c>
      <c r="L344" s="2" t="str">
        <v>1365-2109</v>
      </c>
      <c r="M344" s="7" t="str">
        <v>FISHERIES(SCIE)</v>
      </c>
      <c r="N344" s="7" t="str">
        <v>两份公开汇编一致</v>
      </c>
      <c r="O344" s="7" t="str"/>
      <c r="P344" s="15" t="str">
        <v>JIF来源</v>
      </c>
      <c r="Q344" s="15" t="str">
        <v>分区来源</v>
      </c>
      <c r="R344" s="15" t="str"/>
      <c r="S344" s="14" t="str">
        <v>https://onlinelibrary.wiley.com/journal/13652109</v>
      </c>
      <c r="T344" s="7" t="str">
        <v>ISSN匹配公开元数据；未逐站复核</v>
      </c>
      <c r="U344" s="2" t="str">
        <v>官网来源</v>
      </c>
      <c r="V344" s="2" t="n">
        <v>2026</v>
      </c>
    </row>
    <row r="345" ht="34" customHeight="1">
      <c r="A345" s="7" t="str">
        <v>AQUATIC LIVING RESOURCES</v>
      </c>
      <c r="B345" s="7" t="str">
        <v>水产渔业与海洋生物</v>
      </c>
      <c r="C345" s="11" t="n">
        <v>4</v>
      </c>
      <c r="D345" s="12" t="n">
        <v>1.9</v>
      </c>
      <c r="E345" s="13" t="n">
        <v>2025</v>
      </c>
      <c r="F345" s="7" t="str">
        <v>其他</v>
      </c>
      <c r="G345" s="7" t="str">
        <v>领域期刊/新兴刊</v>
      </c>
      <c r="H345" s="7" t="str">
        <v>研究/方法/综合</v>
      </c>
      <c r="I345" s="10" t="n">
        <v>2025</v>
      </c>
      <c r="J345" s="2" t="str">
        <v>否</v>
      </c>
      <c r="K345" s="2" t="str">
        <v>0990-7440</v>
      </c>
      <c r="L345" s="2" t="str">
        <v>1765-2952</v>
      </c>
      <c r="M345" s="7" t="str">
        <v>FISHERIES(SCIE);MARINE &amp; FRESHWATER BIOLOGY(SCIE)</v>
      </c>
      <c r="N345" s="7" t="str">
        <v>两份公开汇编一致</v>
      </c>
      <c r="O345" s="7" t="str"/>
      <c r="P345" s="15" t="str">
        <v>JIF来源</v>
      </c>
      <c r="Q345" s="15" t="str">
        <v>分区来源</v>
      </c>
      <c r="R345" s="15" t="str"/>
      <c r="S345" s="14" t="str">
        <v>http://www.alr-journal.org</v>
      </c>
      <c r="T345" s="7" t="str">
        <v>ISSN匹配公开元数据；未逐站复核</v>
      </c>
      <c r="U345" s="2" t="str">
        <v>官网来源</v>
      </c>
      <c r="V345" s="2" t="n">
        <v>2026</v>
      </c>
    </row>
    <row r="346" ht="34" customHeight="1">
      <c r="A346" s="7" t="str">
        <v>Freshwater Science</v>
      </c>
      <c r="B346" s="7" t="str">
        <v>水产渔业与海洋生物</v>
      </c>
      <c r="C346" s="11" t="n">
        <v>4</v>
      </c>
      <c r="D346" s="12" t="n">
        <v>1.4</v>
      </c>
      <c r="E346" s="13" t="n">
        <v>2025</v>
      </c>
      <c r="F346" s="7" t="str">
        <v>其他</v>
      </c>
      <c r="G346" s="7" t="str">
        <v>领域期刊/新兴刊</v>
      </c>
      <c r="H346" s="7" t="str">
        <v>研究/方法/综合</v>
      </c>
      <c r="I346" s="10" t="n">
        <v>2025</v>
      </c>
      <c r="J346" s="2" t="str">
        <v>否</v>
      </c>
      <c r="K346" s="2" t="str">
        <v>2161-9549</v>
      </c>
      <c r="L346" s="2" t="str">
        <v>2161-9565</v>
      </c>
      <c r="M346" s="7" t="str">
        <v>ECOLOGY(SCIE);MARINE &amp; FRESHWATER BIOLOGY(SCIE)</v>
      </c>
      <c r="N346" s="7" t="str">
        <v>公开汇编已匹配</v>
      </c>
      <c r="O346" s="7" t="str"/>
      <c r="P346" s="15" t="str">
        <v>JIF来源</v>
      </c>
      <c r="Q346" s="15" t="str">
        <v>分区来源</v>
      </c>
      <c r="R346" s="15" t="str"/>
      <c r="S346" s="14" t="str">
        <v>http://www.bioone.org/loi/jnbs.1</v>
      </c>
      <c r="T346" s="7" t="str">
        <v>ISSN匹配公开元数据；未逐站复核</v>
      </c>
      <c r="U346" s="2" t="str">
        <v>官网来源</v>
      </c>
      <c r="V346" s="2" t="n">
        <v>2026</v>
      </c>
    </row>
    <row r="347" ht="34" customHeight="1">
      <c r="A347" s="7" t="str">
        <v>MARINE AND FRESHWATER RESEARCH</v>
      </c>
      <c r="B347" s="7" t="str">
        <v>水产渔业与海洋生物</v>
      </c>
      <c r="C347" s="11" t="n">
        <v>4</v>
      </c>
      <c r="D347" s="12" t="n">
        <v>1.8</v>
      </c>
      <c r="E347" s="13" t="n">
        <v>2025</v>
      </c>
      <c r="F347" s="7" t="str">
        <v>其他</v>
      </c>
      <c r="G347" s="7" t="str">
        <v>领域期刊/新兴刊</v>
      </c>
      <c r="H347" s="7" t="str">
        <v>研究/方法/综合</v>
      </c>
      <c r="I347" s="10" t="n">
        <v>2025</v>
      </c>
      <c r="J347" s="2" t="str">
        <v>否</v>
      </c>
      <c r="K347" s="2" t="str">
        <v>1323-1650</v>
      </c>
      <c r="L347" s="2" t="str">
        <v>1448-6059</v>
      </c>
      <c r="M347" s="7" t="str">
        <v>FISHERIES(SCIE);LIMNOLOGY(SCIE);MARINE &amp; FRESHWATER BIOLOGY(SCIE);OCEANOGRAPHY(SCIE)</v>
      </c>
      <c r="N347" s="7" t="str">
        <v>公开汇编已匹配</v>
      </c>
      <c r="O347" s="7" t="str"/>
      <c r="P347" s="15" t="str">
        <v>JIF来源</v>
      </c>
      <c r="Q347" s="15" t="str">
        <v>分区来源</v>
      </c>
      <c r="R347" s="15" t="str"/>
      <c r="S347" s="14" t="str">
        <v>https://www.publish.csiro.au/mf</v>
      </c>
      <c r="T347" s="7" t="str">
        <v>出版社/期刊主页匹配</v>
      </c>
      <c r="U347" s="2" t="str">
        <v>官网来源</v>
      </c>
      <c r="V347" s="2" t="n">
        <v>2026</v>
      </c>
    </row>
    <row r="348" ht="34" customHeight="1">
      <c r="A348" s="7" t="str">
        <v>Marine Genomics</v>
      </c>
      <c r="B348" s="7" t="str">
        <v>水产渔业与海洋生物</v>
      </c>
      <c r="C348" s="11" t="n">
        <v>4</v>
      </c>
      <c r="D348" s="12" t="n">
        <v>1.3</v>
      </c>
      <c r="E348" s="13" t="n">
        <v>2025</v>
      </c>
      <c r="F348" s="7" t="str">
        <v>其他</v>
      </c>
      <c r="G348" s="7" t="str">
        <v>领域期刊/新兴刊</v>
      </c>
      <c r="H348" s="7" t="str">
        <v>研究/方法/综合</v>
      </c>
      <c r="I348" s="10" t="n">
        <v>2025</v>
      </c>
      <c r="J348" s="2" t="str">
        <v>否</v>
      </c>
      <c r="K348" s="2" t="str">
        <v>1874-7787</v>
      </c>
      <c r="L348" s="2" t="str">
        <v>1876-7478</v>
      </c>
      <c r="M348" s="7" t="str">
        <v>GENETICS &amp; HEREDITY(SCIE)</v>
      </c>
      <c r="N348" s="7" t="str">
        <v>公开汇编已匹配</v>
      </c>
      <c r="O348" s="7" t="str"/>
      <c r="P348" s="15" t="str">
        <v>JIF来源</v>
      </c>
      <c r="Q348" s="15" t="str">
        <v>分区来源</v>
      </c>
      <c r="R348" s="15" t="str"/>
      <c r="S348" s="14" t="str">
        <v>https://www.journals.elsevier.com/marine-genomics</v>
      </c>
      <c r="T348" s="7" t="str">
        <v>ISSN匹配公开元数据；未逐站复核</v>
      </c>
      <c r="U348" s="2" t="str">
        <v>官网来源</v>
      </c>
      <c r="V348" s="2" t="n">
        <v>2026</v>
      </c>
    </row>
    <row r="349" ht="34" customHeight="1">
      <c r="A349" s="7" t="str">
        <v>FISHERIES SCIENCE</v>
      </c>
      <c r="B349" s="7" t="str">
        <v>水产渔业与海洋生物</v>
      </c>
      <c r="C349" s="11" t="n">
        <v>4</v>
      </c>
      <c r="D349" s="12" t="n">
        <v>1.4</v>
      </c>
      <c r="E349" s="13" t="n">
        <v>2025</v>
      </c>
      <c r="F349" s="7" t="str">
        <v>其他</v>
      </c>
      <c r="G349" s="7" t="str">
        <v>经典专业刊</v>
      </c>
      <c r="H349" s="7" t="str">
        <v>研究/方法/综合</v>
      </c>
      <c r="I349" s="10" t="n">
        <v>2025</v>
      </c>
      <c r="J349" s="2" t="str">
        <v>否</v>
      </c>
      <c r="K349" s="2" t="str">
        <v>0919-9268</v>
      </c>
      <c r="L349" s="2" t="str">
        <v>1444-2906</v>
      </c>
      <c r="M349" s="7" t="str">
        <v>FISHERIES(SCIE)</v>
      </c>
      <c r="N349" s="7" t="str">
        <v>公开汇编已匹配</v>
      </c>
      <c r="O349" s="7" t="str"/>
      <c r="P349" s="15" t="str">
        <v>JIF来源</v>
      </c>
      <c r="Q349" s="15" t="str">
        <v>分区来源</v>
      </c>
      <c r="R349" s="15" t="str"/>
      <c r="S349" s="14" t="str">
        <v>https://www.springer.com/journal/12562</v>
      </c>
      <c r="T349" s="7" t="str">
        <v>ISSN匹配公开元数据；未逐站复核</v>
      </c>
      <c r="U349" s="2" t="str">
        <v>官网来源</v>
      </c>
      <c r="V349" s="2" t="n">
        <v>2026</v>
      </c>
    </row>
    <row r="350" ht="34" customHeight="1">
      <c r="A350" s="7" t="str">
        <v>NORTH AMERICAN JOURNAL OF FISHERIES MANAGEMENT</v>
      </c>
      <c r="B350" s="7" t="str">
        <v>水产渔业与海洋生物</v>
      </c>
      <c r="C350" s="11" t="n">
        <v>4</v>
      </c>
      <c r="D350" s="12" t="n">
        <v>1.3</v>
      </c>
      <c r="E350" s="13" t="n">
        <v>2025</v>
      </c>
      <c r="F350" s="7" t="str">
        <v>其他</v>
      </c>
      <c r="G350" s="7" t="str">
        <v>领域期刊/新兴刊</v>
      </c>
      <c r="H350" s="7" t="str">
        <v>研究/方法/综合</v>
      </c>
      <c r="I350" s="10" t="n">
        <v>2025</v>
      </c>
      <c r="J350" s="2" t="str">
        <v>否</v>
      </c>
      <c r="K350" s="2" t="str">
        <v>0275-5947</v>
      </c>
      <c r="L350" s="2" t="str">
        <v>1548-8675</v>
      </c>
      <c r="M350" s="7" t="str">
        <v>FISHERIES(SCIE)</v>
      </c>
      <c r="N350" s="7" t="str">
        <v>公开汇编已匹配</v>
      </c>
      <c r="O350" s="7" t="str"/>
      <c r="P350" s="15" t="str">
        <v>JIF来源</v>
      </c>
      <c r="Q350" s="15" t="str">
        <v>分区来源</v>
      </c>
      <c r="R350" s="15" t="str"/>
      <c r="S350" s="14" t="str">
        <v>https://afspubs.onlinelibrary.wiley.com/journal/15488675</v>
      </c>
      <c r="T350" s="7" t="str">
        <v>ISSN匹配公开元数据；未逐站复核</v>
      </c>
      <c r="U350" s="2" t="str">
        <v>官网来源</v>
      </c>
      <c r="V350" s="2" t="n">
        <v>2026</v>
      </c>
    </row>
    <row r="351" ht="34" customHeight="1">
      <c r="A351" s="7" t="str">
        <v>PHYCOLOGIA</v>
      </c>
      <c r="B351" s="7" t="str">
        <v>水产渔业与海洋生物</v>
      </c>
      <c r="C351" s="11" t="n">
        <v>4</v>
      </c>
      <c r="D351" s="12" t="n">
        <v>1.9</v>
      </c>
      <c r="E351" s="13" t="n">
        <v>2025</v>
      </c>
      <c r="F351" s="7" t="str">
        <v>其他</v>
      </c>
      <c r="G351" s="7" t="str">
        <v>领域期刊/新兴刊</v>
      </c>
      <c r="H351" s="7" t="str">
        <v>研究/方法/综合</v>
      </c>
      <c r="I351" s="10" t="n">
        <v>2025</v>
      </c>
      <c r="J351" s="2" t="str">
        <v>否</v>
      </c>
      <c r="K351" s="2" t="str">
        <v>0031-8884</v>
      </c>
      <c r="L351" s="2" t="str">
        <v>2330-2968</v>
      </c>
      <c r="M351" s="7" t="str">
        <v>MARINE &amp; FRESHWATER BIOLOGY(SCIE);PLANT SCIENCES(SCIE)</v>
      </c>
      <c r="N351" s="7" t="str">
        <v>公开汇编已匹配</v>
      </c>
      <c r="O351" s="7" t="str"/>
      <c r="P351" s="15" t="str">
        <v>JIF来源</v>
      </c>
      <c r="Q351" s="15" t="str">
        <v>分区来源</v>
      </c>
      <c r="R351" s="15" t="str"/>
      <c r="S351" s="14" t="str">
        <v>https://www.tandfonline.com/toc/uphy20/current</v>
      </c>
      <c r="T351" s="7" t="str">
        <v>ISSN匹配公开元数据；未逐站复核</v>
      </c>
      <c r="U351" s="2" t="str">
        <v>官网来源</v>
      </c>
      <c r="V351" s="2" t="n">
        <v>2026</v>
      </c>
    </row>
    <row r="352" ht="34" customHeight="1">
      <c r="A352" s="7" t="str">
        <v>NORTH AMERICAN JOURNAL OF AQUACULTURE</v>
      </c>
      <c r="B352" s="7" t="str">
        <v>水产渔业与海洋生物</v>
      </c>
      <c r="C352" s="11" t="n">
        <v>4</v>
      </c>
      <c r="D352" s="12" t="n">
        <v>1.2</v>
      </c>
      <c r="E352" s="13" t="n">
        <v>2025</v>
      </c>
      <c r="F352" s="7" t="str">
        <v>其他</v>
      </c>
      <c r="G352" s="7" t="str">
        <v>领域期刊/新兴刊</v>
      </c>
      <c r="H352" s="7" t="str">
        <v>研究/方法/综合</v>
      </c>
      <c r="I352" s="10" t="n">
        <v>2025</v>
      </c>
      <c r="J352" s="2" t="str">
        <v>否</v>
      </c>
      <c r="K352" s="2" t="str">
        <v>1522-2055</v>
      </c>
      <c r="L352" s="2" t="str">
        <v>1548-8454</v>
      </c>
      <c r="M352" s="7" t="str">
        <v>FISHERIES(SCIE)</v>
      </c>
      <c r="N352" s="7" t="str">
        <v>公开汇编已匹配</v>
      </c>
      <c r="O352" s="7" t="str"/>
      <c r="P352" s="15" t="str">
        <v>JIF来源</v>
      </c>
      <c r="Q352" s="15" t="str">
        <v>分区来源</v>
      </c>
      <c r="R352" s="15" t="str"/>
      <c r="S352" s="14" t="str">
        <v>https://onlinelibrary.wiley.com/journal/15488454</v>
      </c>
      <c r="T352" s="7" t="str">
        <v>ISSN匹配公开元数据；未逐站复核</v>
      </c>
      <c r="U352" s="2" t="str">
        <v>官网来源</v>
      </c>
      <c r="V352" s="2" t="n">
        <v>2026</v>
      </c>
    </row>
    <row r="353" ht="34" customHeight="1">
      <c r="A353" s="7" t="str">
        <v>DISEASES OF AQUATIC ORGANISMS</v>
      </c>
      <c r="B353" s="7" t="str">
        <v>水产渔业与海洋生物</v>
      </c>
      <c r="C353" s="11" t="n">
        <v>4</v>
      </c>
      <c r="D353" s="12" t="n">
        <v>1.2</v>
      </c>
      <c r="E353" s="13" t="n">
        <v>2025</v>
      </c>
      <c r="F353" s="7" t="str">
        <v>其他</v>
      </c>
      <c r="G353" s="7" t="str">
        <v>领域期刊/新兴刊</v>
      </c>
      <c r="H353" s="7" t="str">
        <v>研究/方法/综合</v>
      </c>
      <c r="I353" s="10" t="n">
        <v>2025</v>
      </c>
      <c r="J353" s="2" t="str">
        <v>否</v>
      </c>
      <c r="K353" s="2" t="str">
        <v>0177-5103</v>
      </c>
      <c r="L353" s="2" t="str">
        <v>1616-1580</v>
      </c>
      <c r="M353" s="7" t="str">
        <v>FISHERIES(SCIE);VETERINARY SCIENCES(SCIE)</v>
      </c>
      <c r="N353" s="7" t="str">
        <v>公开汇编已匹配</v>
      </c>
      <c r="O353" s="7" t="str"/>
      <c r="P353" s="15" t="str">
        <v>JIF来源</v>
      </c>
      <c r="Q353" s="15" t="str">
        <v>分区来源</v>
      </c>
      <c r="R353" s="15" t="str"/>
      <c r="S353" s="14" t="str">
        <v>http://www.int-res.com/journals/dao/index.html</v>
      </c>
      <c r="T353" s="7" t="str">
        <v>ISSN匹配公开元数据；未逐站复核</v>
      </c>
      <c r="U353" s="2" t="str">
        <v>官网来源</v>
      </c>
      <c r="V353" s="2" t="n">
        <v>2026</v>
      </c>
    </row>
    <row r="354" ht="34" customHeight="1">
      <c r="A354" s="7" t="str">
        <v>JOURNAL OF SHELLFISH RESEARCH</v>
      </c>
      <c r="B354" s="7" t="str">
        <v>水产渔业与海洋生物</v>
      </c>
      <c r="C354" s="11" t="n">
        <v>4</v>
      </c>
      <c r="D354" s="12" t="n">
        <v>0.9</v>
      </c>
      <c r="E354" s="13" t="n">
        <v>2025</v>
      </c>
      <c r="F354" s="7" t="str">
        <v>其他</v>
      </c>
      <c r="G354" s="7" t="str">
        <v>领域期刊/新兴刊</v>
      </c>
      <c r="H354" s="7" t="str">
        <v>研究/方法/综合</v>
      </c>
      <c r="I354" s="10" t="n">
        <v>2025</v>
      </c>
      <c r="J354" s="2" t="str">
        <v>否</v>
      </c>
      <c r="K354" s="2" t="str">
        <v>0730-8000</v>
      </c>
      <c r="L354" s="2" t="str">
        <v>1943-6319</v>
      </c>
      <c r="M354" s="7" t="str">
        <v>FISHERIES(SCIE);MARINE &amp; FRESHWATER BIOLOGY(SCIE)</v>
      </c>
      <c r="N354" s="7" t="str">
        <v>公开汇编已匹配</v>
      </c>
      <c r="O354" s="7" t="str"/>
      <c r="P354" s="15" t="str">
        <v>JIF来源</v>
      </c>
      <c r="Q354" s="15" t="str">
        <v>分区来源</v>
      </c>
      <c r="R354" s="15" t="str"/>
      <c r="S354" s="14" t="str">
        <v>http://www.bioone.org/bioone/?request=get-archive&amp;issn=0730-8000</v>
      </c>
      <c r="T354" s="7" t="str">
        <v>ISSN匹配公开元数据；未逐站复核</v>
      </c>
      <c r="U354" s="2" t="str">
        <v>官网来源</v>
      </c>
      <c r="V354" s="2" t="n">
        <v>2026</v>
      </c>
    </row>
    <row r="355" ht="34" customHeight="1">
      <c r="A355" s="7" t="str">
        <v>Aquatic Biology</v>
      </c>
      <c r="B355" s="7" t="str">
        <v>水产渔业与海洋生物</v>
      </c>
      <c r="C355" s="11" t="n">
        <v>4</v>
      </c>
      <c r="D355" s="12" t="n">
        <v>0.9</v>
      </c>
      <c r="E355" s="13" t="n">
        <v>2025</v>
      </c>
      <c r="F355" s="7" t="str">
        <v>其他</v>
      </c>
      <c r="G355" s="7" t="str">
        <v>领域期刊/新兴刊</v>
      </c>
      <c r="H355" s="7" t="str">
        <v>研究/方法/综合</v>
      </c>
      <c r="I355" s="10" t="n">
        <v>2025</v>
      </c>
      <c r="J355" s="2" t="str">
        <v>否</v>
      </c>
      <c r="K355" s="2" t="str">
        <v>1864-7790</v>
      </c>
      <c r="L355" s="2" t="str">
        <v>1864-7782</v>
      </c>
      <c r="M355" s="7" t="str">
        <v>MARINE &amp; FRESHWATER BIOLOGY(SCIE)</v>
      </c>
      <c r="N355" s="7" t="str">
        <v>公开汇编已匹配</v>
      </c>
      <c r="O355" s="7" t="str"/>
      <c r="P355" s="15" t="str">
        <v>JIF来源</v>
      </c>
      <c r="Q355" s="15" t="str">
        <v>分区来源</v>
      </c>
      <c r="R355" s="15" t="str"/>
      <c r="S355" s="14" t="str">
        <v>http://www.int-res.com/journals/ab/ab-home/</v>
      </c>
      <c r="T355" s="7" t="str">
        <v>ISSN匹配公开元数据；未逐站复核</v>
      </c>
      <c r="U355" s="2" t="str">
        <v>官网来源</v>
      </c>
      <c r="V355" s="2" t="n">
        <v>2026</v>
      </c>
    </row>
    <row r="356" ht="34" customHeight="1">
      <c r="A356" s="7" t="str">
        <v>SOIL BIOLOGY &amp; BIOCHEMISTRY</v>
      </c>
      <c r="B356" s="7" t="str">
        <v>土壤肥料与地球生物化学</v>
      </c>
      <c r="C356" s="11" t="n">
        <v>1</v>
      </c>
      <c r="D356" s="12" t="n">
        <v>12.2</v>
      </c>
      <c r="E356" s="13" t="n">
        <v>2025</v>
      </c>
      <c r="F356" s="7" t="str">
        <v>其他</v>
      </c>
      <c r="G356" s="7" t="str">
        <v>经典专业刊</v>
      </c>
      <c r="H356" s="7" t="str">
        <v>研究/方法/综合</v>
      </c>
      <c r="I356" s="10" t="n">
        <v>2025</v>
      </c>
      <c r="J356" s="2" t="str">
        <v>是</v>
      </c>
      <c r="K356" s="2" t="str">
        <v>0038-0717</v>
      </c>
      <c r="L356" s="2" t="str">
        <v>1879-3428</v>
      </c>
      <c r="M356" s="7" t="str">
        <v>SOIL SCIENCE(SCIE)</v>
      </c>
      <c r="N356" s="7" t="str">
        <v>两份公开汇编一致</v>
      </c>
      <c r="O356" s="7" t="str"/>
      <c r="P356" s="15" t="str">
        <v>JIF来源</v>
      </c>
      <c r="Q356" s="15" t="str">
        <v>分区来源</v>
      </c>
      <c r="R356" s="15" t="str"/>
      <c r="S356" s="14" t="str">
        <v>https://www.journals.elsevier.com/soil-biology-and-biochemistry</v>
      </c>
      <c r="T356" s="7" t="str">
        <v>ISSN匹配公开元数据；未逐站复核</v>
      </c>
      <c r="U356" s="2" t="str">
        <v>官网来源</v>
      </c>
      <c r="V356" s="2" t="n">
        <v>2026</v>
      </c>
    </row>
    <row r="357" ht="34" customHeight="1">
      <c r="A357" s="7" t="str">
        <v>International Soil and Water Conservation Research</v>
      </c>
      <c r="B357" s="7" t="str">
        <v>土壤肥料与地球生物化学</v>
      </c>
      <c r="C357" s="11" t="n">
        <v>1</v>
      </c>
      <c r="D357" s="12" t="n">
        <v>8.3</v>
      </c>
      <c r="E357" s="13" t="n">
        <v>2025</v>
      </c>
      <c r="F357" s="7" t="str">
        <v>其他</v>
      </c>
      <c r="G357" s="7" t="str">
        <v>领域期刊/新兴刊</v>
      </c>
      <c r="H357" s="7" t="str">
        <v>研究/方法/综合</v>
      </c>
      <c r="I357" s="10" t="n">
        <v>2025</v>
      </c>
      <c r="J357" s="2" t="str">
        <v>是</v>
      </c>
      <c r="K357" s="2" t="str">
        <v>2095-6339</v>
      </c>
      <c r="L357" s="2" t="str">
        <v>2589-059X</v>
      </c>
      <c r="M357" s="7" t="str">
        <v>ENVIRONMENTAL SCIENCES(SCIE);SOIL SCIENCE(SCIE);WATER RESOURCES(SCIE)</v>
      </c>
      <c r="N357" s="7" t="str">
        <v>两份公开汇编一致</v>
      </c>
      <c r="O357" s="7" t="str"/>
      <c r="P357" s="15" t="str">
        <v>JIF来源</v>
      </c>
      <c r="Q357" s="15" t="str">
        <v>分区来源</v>
      </c>
      <c r="R357" s="15" t="str"/>
      <c r="S357" s="14" t="str">
        <v>https://www.sciencedirect.com/journal/international-soil-and-water-conservation-research</v>
      </c>
      <c r="T357" s="7" t="str">
        <v>ISSN匹配公开元数据；未逐站复核</v>
      </c>
      <c r="U357" s="2" t="str">
        <v>官网来源</v>
      </c>
      <c r="V357" s="2" t="n">
        <v>2026</v>
      </c>
    </row>
    <row r="358" ht="34" customHeight="1">
      <c r="A358" s="7" t="str">
        <v>SOIL &amp; TILLAGE RESEARCH</v>
      </c>
      <c r="B358" s="7" t="str">
        <v>土壤肥料与地球生物化学</v>
      </c>
      <c r="C358" s="11" t="n">
        <v>1</v>
      </c>
      <c r="D358" s="12" t="n">
        <v>8.4</v>
      </c>
      <c r="E358" s="13" t="n">
        <v>2025</v>
      </c>
      <c r="F358" s="7" t="str">
        <v>其他</v>
      </c>
      <c r="G358" s="7" t="str">
        <v>经典专业刊</v>
      </c>
      <c r="H358" s="7" t="str">
        <v>研究/方法/综合</v>
      </c>
      <c r="I358" s="10" t="n">
        <v>2025</v>
      </c>
      <c r="J358" s="2" t="str">
        <v>是</v>
      </c>
      <c r="K358" s="2" t="str">
        <v>0167-1987</v>
      </c>
      <c r="L358" s="2" t="str">
        <v>1879-3444</v>
      </c>
      <c r="M358" s="7" t="str">
        <v>SOIL SCIENCE(SCIE)</v>
      </c>
      <c r="N358" s="7" t="str">
        <v>两份公开汇编一致</v>
      </c>
      <c r="O358" s="7" t="str"/>
      <c r="P358" s="15" t="str">
        <v>JIF来源</v>
      </c>
      <c r="Q358" s="15" t="str">
        <v>分区来源</v>
      </c>
      <c r="R358" s="15" t="str"/>
      <c r="S358" s="14" t="str">
        <v>https://www.journals.elsevier.com/soil-and-tillage-research</v>
      </c>
      <c r="T358" s="7" t="str">
        <v>ISSN匹配公开元数据；未逐站复核</v>
      </c>
      <c r="U358" s="2" t="str">
        <v>官网来源</v>
      </c>
      <c r="V358" s="2" t="n">
        <v>2026</v>
      </c>
    </row>
    <row r="359" ht="34" customHeight="1">
      <c r="A359" s="7" t="str">
        <v>Geoderma</v>
      </c>
      <c r="B359" s="7" t="str">
        <v>土壤肥料与地球生物化学</v>
      </c>
      <c r="C359" s="11" t="n">
        <v>1</v>
      </c>
      <c r="D359" s="12" t="n">
        <v>7.9</v>
      </c>
      <c r="E359" s="13" t="n">
        <v>2025</v>
      </c>
      <c r="F359" s="7" t="str">
        <v>其他</v>
      </c>
      <c r="G359" s="7" t="str">
        <v>经典专业刊</v>
      </c>
      <c r="H359" s="7" t="str">
        <v>研究/方法/综合</v>
      </c>
      <c r="I359" s="10" t="n">
        <v>2025</v>
      </c>
      <c r="J359" s="2" t="str">
        <v>是</v>
      </c>
      <c r="K359" s="2" t="str">
        <v>0016-7061</v>
      </c>
      <c r="L359" s="2" t="str">
        <v>1872-6259</v>
      </c>
      <c r="M359" s="7" t="str">
        <v>SOIL SCIENCE(SCIE)</v>
      </c>
      <c r="N359" s="7" t="str">
        <v>两份公开汇编一致</v>
      </c>
      <c r="O359" s="7" t="str"/>
      <c r="P359" s="15" t="str">
        <v>JIF来源</v>
      </c>
      <c r="Q359" s="15" t="str">
        <v>分区来源</v>
      </c>
      <c r="R359" s="15" t="str"/>
      <c r="S359" s="14" t="str">
        <v>https://www.journals.elsevier.com/geoderma</v>
      </c>
      <c r="T359" s="7" t="str">
        <v>ISSN匹配公开元数据；未逐站复核</v>
      </c>
      <c r="U359" s="2" t="str">
        <v>官网来源</v>
      </c>
      <c r="V359" s="2" t="n">
        <v>2026</v>
      </c>
    </row>
    <row r="360" ht="34" customHeight="1">
      <c r="A360" s="7" t="str">
        <v>CATENA</v>
      </c>
      <c r="B360" s="7" t="str">
        <v>土壤肥料与地球生物化学</v>
      </c>
      <c r="C360" s="11" t="n">
        <v>1</v>
      </c>
      <c r="D360" s="12" t="n">
        <v>6.6</v>
      </c>
      <c r="E360" s="13" t="n">
        <v>2025</v>
      </c>
      <c r="F360" s="7" t="str">
        <v>其他</v>
      </c>
      <c r="G360" s="7" t="str">
        <v>领域期刊/新兴刊</v>
      </c>
      <c r="H360" s="7" t="str">
        <v>研究/方法/综合</v>
      </c>
      <c r="I360" s="10" t="n">
        <v>2025</v>
      </c>
      <c r="J360" s="2" t="str">
        <v>是</v>
      </c>
      <c r="K360" s="2" t="str">
        <v>0341-8162</v>
      </c>
      <c r="L360" s="2" t="str">
        <v>1872-6887</v>
      </c>
      <c r="M360" s="7" t="str">
        <v>GEOSCIENCES, MULTIDISCIPLINARY(SCIE);SOIL SCIENCE(SCIE);WATER RESOURCES(SCIE)</v>
      </c>
      <c r="N360" s="7" t="str">
        <v>两份公开汇编一致</v>
      </c>
      <c r="O360" s="7" t="str"/>
      <c r="P360" s="15" t="str">
        <v>JIF来源</v>
      </c>
      <c r="Q360" s="15" t="str">
        <v>分区来源</v>
      </c>
      <c r="R360" s="15" t="str"/>
      <c r="S360" s="14" t="str">
        <v>https://www.journals.elsevier.com/catena</v>
      </c>
      <c r="T360" s="7" t="str">
        <v>ISSN匹配公开元数据；未逐站复核</v>
      </c>
      <c r="U360" s="2" t="str">
        <v>官网来源</v>
      </c>
      <c r="V360" s="2" t="n">
        <v>2026</v>
      </c>
    </row>
    <row r="361" ht="34" customHeight="1">
      <c r="A361" s="7" t="str">
        <v>GLOBAL BIOGEOCHEMICAL CYCLES</v>
      </c>
      <c r="B361" s="7" t="str">
        <v>土壤肥料与地球生物化学</v>
      </c>
      <c r="C361" s="11" t="n">
        <v>1</v>
      </c>
      <c r="D361" s="12" t="n">
        <v>6.9</v>
      </c>
      <c r="E361" s="13" t="n">
        <v>2025</v>
      </c>
      <c r="F361" s="7" t="str">
        <v>其他</v>
      </c>
      <c r="G361" s="7" t="str">
        <v>领域期刊/新兴刊</v>
      </c>
      <c r="H361" s="7" t="str">
        <v>研究/方法/综合</v>
      </c>
      <c r="I361" s="10" t="n">
        <v>2025</v>
      </c>
      <c r="J361" s="2" t="str">
        <v>是</v>
      </c>
      <c r="K361" s="2" t="str">
        <v>0886-6236</v>
      </c>
      <c r="L361" s="2" t="str">
        <v>1944-9224</v>
      </c>
      <c r="M361" s="7" t="str">
        <v>ENVIRONMENTAL SCIENCES(SCIE);GEOSCIENCES, MULTIDISCIPLINARY(SCIE);METEOROLOGY &amp; ATMOSPHERIC SCIENCES(SCIE)</v>
      </c>
      <c r="N361" s="7" t="str">
        <v>两份公开汇编一致</v>
      </c>
      <c r="O361" s="7" t="str"/>
      <c r="P361" s="15" t="str">
        <v>JIF来源</v>
      </c>
      <c r="Q361" s="15" t="str">
        <v>分区来源</v>
      </c>
      <c r="R361" s="15" t="str"/>
      <c r="S361" s="14" t="str">
        <v>https://agupubs.onlinelibrary.wiley.com/journal/19449224</v>
      </c>
      <c r="T361" s="7" t="str">
        <v>ISSN匹配公开元数据；未逐站复核</v>
      </c>
      <c r="U361" s="2" t="str">
        <v>官网来源</v>
      </c>
      <c r="V361" s="2" t="n">
        <v>2026</v>
      </c>
    </row>
    <row r="362" ht="34" customHeight="1">
      <c r="A362" s="7" t="str">
        <v>PEDOSPHERE</v>
      </c>
      <c r="B362" s="7" t="str">
        <v>土壤肥料与地球生物化学</v>
      </c>
      <c r="C362" s="11" t="n">
        <v>2</v>
      </c>
      <c r="D362" s="12" t="n">
        <v>7</v>
      </c>
      <c r="E362" s="13" t="n">
        <v>2025</v>
      </c>
      <c r="F362" s="7" t="str">
        <v>其他</v>
      </c>
      <c r="G362" s="7" t="str">
        <v>领域期刊/新兴刊</v>
      </c>
      <c r="H362" s="7" t="str">
        <v>研究/方法/综合</v>
      </c>
      <c r="I362" s="10" t="n">
        <v>2025</v>
      </c>
      <c r="J362" s="2" t="str">
        <v>否</v>
      </c>
      <c r="K362" s="2" t="str">
        <v>1002-0160</v>
      </c>
      <c r="L362" s="2" t="str">
        <v>2210-5107</v>
      </c>
      <c r="M362" s="7" t="str">
        <v>SOIL SCIENCE(SCIE)</v>
      </c>
      <c r="N362" s="7" t="str">
        <v>两份公开汇编一致</v>
      </c>
      <c r="O362" s="7" t="str"/>
      <c r="P362" s="15" t="str">
        <v>JIF来源</v>
      </c>
      <c r="Q362" s="15" t="str">
        <v>分区来源</v>
      </c>
      <c r="R362" s="15" t="str"/>
      <c r="S362" s="14" t="str">
        <v>https://www.journals.elsevier.com/pedosphere</v>
      </c>
      <c r="T362" s="7" t="str">
        <v>ISSN匹配公开元数据；未逐站复核</v>
      </c>
      <c r="U362" s="2" t="str">
        <v>官网来源</v>
      </c>
      <c r="V362" s="2" t="n">
        <v>2026</v>
      </c>
    </row>
    <row r="363" ht="34" customHeight="1">
      <c r="A363" s="7" t="str">
        <v>BIOLOGY AND FERTILITY OF SOILS</v>
      </c>
      <c r="B363" s="7" t="str">
        <v>土壤肥料与地球生物化学</v>
      </c>
      <c r="C363" s="11" t="n">
        <v>2</v>
      </c>
      <c r="D363" s="12" t="n">
        <v>6.8</v>
      </c>
      <c r="E363" s="13" t="n">
        <v>2025</v>
      </c>
      <c r="F363" s="7" t="str">
        <v>其他</v>
      </c>
      <c r="G363" s="7" t="str">
        <v>经典专业刊</v>
      </c>
      <c r="H363" s="7" t="str">
        <v>研究/方法/综合</v>
      </c>
      <c r="I363" s="10" t="n">
        <v>2025</v>
      </c>
      <c r="J363" s="2" t="str">
        <v>否</v>
      </c>
      <c r="K363" s="2" t="str">
        <v>0178-2762</v>
      </c>
      <c r="L363" s="2" t="str">
        <v>1432-0789</v>
      </c>
      <c r="M363" s="7" t="str">
        <v>SOIL SCIENCE(SCIE)</v>
      </c>
      <c r="N363" s="7" t="str">
        <v>两份公开汇编一致</v>
      </c>
      <c r="O363" s="7" t="str"/>
      <c r="P363" s="15" t="str">
        <v>JIF来源</v>
      </c>
      <c r="Q363" s="15" t="str">
        <v>分区来源</v>
      </c>
      <c r="R363" s="15" t="str"/>
      <c r="S363" s="14" t="str">
        <v>https://link.springer.com/journal/374</v>
      </c>
      <c r="T363" s="7" t="str">
        <v>ISSN匹配公开元数据；未逐站复核</v>
      </c>
      <c r="U363" s="2" t="str">
        <v>官网来源</v>
      </c>
      <c r="V363" s="2" t="n">
        <v>2026</v>
      </c>
    </row>
    <row r="364" ht="34" customHeight="1">
      <c r="A364" s="7" t="str">
        <v>APPLIED SOIL ECOLOGY</v>
      </c>
      <c r="B364" s="7" t="str">
        <v>土壤肥料与地球生物化学</v>
      </c>
      <c r="C364" s="11" t="n">
        <v>2</v>
      </c>
      <c r="D364" s="12" t="n">
        <v>5.6</v>
      </c>
      <c r="E364" s="13" t="n">
        <v>2025</v>
      </c>
      <c r="F364" s="7" t="str">
        <v>其他</v>
      </c>
      <c r="G364" s="7" t="str">
        <v>领域期刊/新兴刊</v>
      </c>
      <c r="H364" s="7" t="str">
        <v>研究/方法/综合</v>
      </c>
      <c r="I364" s="10" t="n">
        <v>2025</v>
      </c>
      <c r="J364" s="2" t="str">
        <v>否</v>
      </c>
      <c r="K364" s="2" t="str">
        <v>0929-1393</v>
      </c>
      <c r="L364" s="2" t="str">
        <v>1873-0272</v>
      </c>
      <c r="M364" s="7" t="str">
        <v>SOIL SCIENCE(SCIE)</v>
      </c>
      <c r="N364" s="7" t="str">
        <v>两份公开汇编一致</v>
      </c>
      <c r="O364" s="7" t="str"/>
      <c r="P364" s="15" t="str">
        <v>JIF来源</v>
      </c>
      <c r="Q364" s="15" t="str">
        <v>分区来源</v>
      </c>
      <c r="R364" s="15" t="str"/>
      <c r="S364" s="14" t="str">
        <v>https://www.journals.elsevier.com/applied-soil-ecology</v>
      </c>
      <c r="T364" s="7" t="str">
        <v>ISSN匹配公开元数据；未逐站复核</v>
      </c>
      <c r="U364" s="2" t="str">
        <v>官网来源</v>
      </c>
      <c r="V364" s="2" t="n">
        <v>2026</v>
      </c>
    </row>
    <row r="365" ht="34" customHeight="1">
      <c r="A365" s="7" t="str">
        <v>Soil Ecology Letters</v>
      </c>
      <c r="B365" s="7" t="str">
        <v>土壤肥料与地球生物化学</v>
      </c>
      <c r="C365" s="11" t="n">
        <v>2</v>
      </c>
      <c r="D365" s="12" t="n">
        <v>4</v>
      </c>
      <c r="E365" s="13" t="n">
        <v>2025</v>
      </c>
      <c r="F365" s="7" t="str">
        <v>其他</v>
      </c>
      <c r="G365" s="7" t="str">
        <v>领域期刊/新兴刊</v>
      </c>
      <c r="H365" s="7" t="str">
        <v>研究/方法/综合</v>
      </c>
      <c r="I365" s="10" t="n">
        <v>2025</v>
      </c>
      <c r="J365" s="2" t="str">
        <v>否</v>
      </c>
      <c r="K365" s="2" t="str">
        <v>2662-2289</v>
      </c>
      <c r="L365" s="2" t="str">
        <v>2662-2297</v>
      </c>
      <c r="M365" s="7" t="str">
        <v>ECOLOGY(ESCI);SOIL SCIENCE(ESCI)</v>
      </c>
      <c r="N365" s="7" t="str">
        <v>两份公开汇编一致</v>
      </c>
      <c r="O365" s="7" t="str"/>
      <c r="P365" s="15" t="str">
        <v>JIF来源</v>
      </c>
      <c r="Q365" s="15" t="str">
        <v>分区来源</v>
      </c>
      <c r="R365" s="15" t="str"/>
      <c r="S365" s="14" t="str">
        <v>https://link.springer.com/journal/42832</v>
      </c>
      <c r="T365" s="7" t="str">
        <v>ISSN匹配公开元数据；未逐站复核</v>
      </c>
      <c r="U365" s="2" t="str">
        <v>官网来源</v>
      </c>
      <c r="V365" s="2" t="n">
        <v>2026</v>
      </c>
    </row>
    <row r="366" ht="34" customHeight="1">
      <c r="A366" s="7" t="str">
        <v>Soil</v>
      </c>
      <c r="B366" s="7" t="str">
        <v>土壤肥料与地球生物化学</v>
      </c>
      <c r="C366" s="11" t="n">
        <v>2</v>
      </c>
      <c r="D366" s="12" t="n">
        <v>5.1</v>
      </c>
      <c r="E366" s="13" t="n">
        <v>2025</v>
      </c>
      <c r="F366" s="7" t="str">
        <v>其他</v>
      </c>
      <c r="G366" s="7" t="str">
        <v>领域期刊/新兴刊</v>
      </c>
      <c r="H366" s="7" t="str">
        <v>研究/方法/综合</v>
      </c>
      <c r="I366" s="10" t="n">
        <v>2025</v>
      </c>
      <c r="J366" s="2" t="str">
        <v>否</v>
      </c>
      <c r="K366" s="2" t="str">
        <v>2199-3971</v>
      </c>
      <c r="L366" s="2" t="str">
        <v>2199-398X</v>
      </c>
      <c r="M366" s="7" t="str">
        <v>SOIL SCIENCE(SCIE)</v>
      </c>
      <c r="N366" s="7" t="str">
        <v>两份公开汇编一致</v>
      </c>
      <c r="O366" s="7" t="str"/>
      <c r="P366" s="15" t="str">
        <v>JIF来源</v>
      </c>
      <c r="Q366" s="15" t="str">
        <v>分区来源</v>
      </c>
      <c r="R366" s="15" t="str"/>
      <c r="S366" s="14" t="str">
        <v>http://www.soil-journal.net/</v>
      </c>
      <c r="T366" s="7" t="str">
        <v>ISSN匹配公开元数据；未逐站复核</v>
      </c>
      <c r="U366" s="2" t="str">
        <v>官网来源</v>
      </c>
      <c r="V366" s="2" t="n">
        <v>2026</v>
      </c>
    </row>
    <row r="367" ht="34" customHeight="1">
      <c r="A367" s="7" t="str">
        <v>PLANT AND SOIL</v>
      </c>
      <c r="B367" s="7" t="str">
        <v>土壤肥料与地球生物化学</v>
      </c>
      <c r="C367" s="11" t="n">
        <v>2</v>
      </c>
      <c r="D367" s="12" t="n">
        <v>4.8</v>
      </c>
      <c r="E367" s="13" t="n">
        <v>2025</v>
      </c>
      <c r="F367" s="7" t="str">
        <v>其他</v>
      </c>
      <c r="G367" s="7" t="str">
        <v>经典专业刊</v>
      </c>
      <c r="H367" s="7" t="str">
        <v>研究/方法/综合</v>
      </c>
      <c r="I367" s="10" t="n">
        <v>2025</v>
      </c>
      <c r="J367" s="2" t="str">
        <v>否</v>
      </c>
      <c r="K367" s="2" t="str">
        <v>0032-079X</v>
      </c>
      <c r="L367" s="2" t="str">
        <v>1573-5036</v>
      </c>
      <c r="M367" s="7" t="str">
        <v>AGRONOMY(SCIE);PLANT SCIENCES(SCIE);SOIL SCIENCE(SCIE)</v>
      </c>
      <c r="N367" s="7" t="str">
        <v>两份公开汇编一致</v>
      </c>
      <c r="O367" s="7" t="str"/>
      <c r="P367" s="15" t="str">
        <v>JIF来源</v>
      </c>
      <c r="Q367" s="15" t="str">
        <v>分区来源</v>
      </c>
      <c r="R367" s="15" t="str"/>
      <c r="S367" s="14" t="str">
        <v>http://www.springer.com/journal/11104</v>
      </c>
      <c r="T367" s="7" t="str">
        <v>ISSN匹配公开元数据；未逐站复核</v>
      </c>
      <c r="U367" s="2" t="str">
        <v>官网来源</v>
      </c>
      <c r="V367" s="2" t="n">
        <v>2026</v>
      </c>
    </row>
    <row r="368" ht="34" customHeight="1">
      <c r="A368" s="7" t="str">
        <v>Biogeosciences</v>
      </c>
      <c r="B368" s="7" t="str">
        <v>土壤肥料与地球生物化学</v>
      </c>
      <c r="C368" s="11" t="n">
        <v>2</v>
      </c>
      <c r="D368" s="12" t="n">
        <v>4.5</v>
      </c>
      <c r="E368" s="13" t="n">
        <v>2025</v>
      </c>
      <c r="F368" s="7" t="str">
        <v>其他</v>
      </c>
      <c r="G368" s="7" t="str">
        <v>领域期刊/新兴刊</v>
      </c>
      <c r="H368" s="7" t="str">
        <v>研究/方法/综合</v>
      </c>
      <c r="I368" s="10" t="n">
        <v>2025</v>
      </c>
      <c r="J368" s="2" t="str">
        <v>否</v>
      </c>
      <c r="K368" s="2" t="str">
        <v>1726-4170</v>
      </c>
      <c r="L368" s="2" t="str">
        <v>1726-4189</v>
      </c>
      <c r="M368" s="7" t="str">
        <v>ECOLOGY(SCIE);GEOSCIENCES, MULTIDISCIPLINARY(SCIE)</v>
      </c>
      <c r="N368" s="7" t="str">
        <v>两份公开汇编一致</v>
      </c>
      <c r="O368" s="7" t="str"/>
      <c r="P368" s="15" t="str">
        <v>JIF来源</v>
      </c>
      <c r="Q368" s="15" t="str">
        <v>分区来源</v>
      </c>
      <c r="R368" s="15" t="str"/>
      <c r="S368" s="14" t="str">
        <v>http://www.biogeosciences.net</v>
      </c>
      <c r="T368" s="7" t="str">
        <v>ISSN匹配公开元数据；未逐站复核</v>
      </c>
      <c r="U368" s="2" t="str">
        <v>官网来源</v>
      </c>
      <c r="V368" s="2" t="n">
        <v>2026</v>
      </c>
    </row>
    <row r="369" ht="34" customHeight="1">
      <c r="A369" s="7" t="str">
        <v>EUROPEAN JOURNAL OF SOIL SCIENCE</v>
      </c>
      <c r="B369" s="7" t="str">
        <v>土壤肥料与地球生物化学</v>
      </c>
      <c r="C369" s="11" t="n">
        <v>2</v>
      </c>
      <c r="D369" s="12" t="n">
        <v>4.3</v>
      </c>
      <c r="E369" s="13" t="n">
        <v>2025</v>
      </c>
      <c r="F369" s="7" t="str">
        <v>其他</v>
      </c>
      <c r="G369" s="7" t="str">
        <v>经典专业刊</v>
      </c>
      <c r="H369" s="7" t="str">
        <v>研究/方法/综合</v>
      </c>
      <c r="I369" s="10" t="n">
        <v>2025</v>
      </c>
      <c r="J369" s="2" t="str">
        <v>否</v>
      </c>
      <c r="K369" s="2" t="str">
        <v>1351-0754</v>
      </c>
      <c r="L369" s="2" t="str">
        <v>1365-2389</v>
      </c>
      <c r="M369" s="7" t="str">
        <v>SOIL SCIENCE(SCIE)</v>
      </c>
      <c r="N369" s="7" t="str">
        <v>两份公开汇编一致</v>
      </c>
      <c r="O369" s="7" t="str"/>
      <c r="P369" s="15" t="str">
        <v>JIF来源</v>
      </c>
      <c r="Q369" s="15" t="str">
        <v>分区来源</v>
      </c>
      <c r="R369" s="15" t="str"/>
      <c r="S369" s="14" t="str">
        <v>https://onlinelibrary.wiley.com/journal/13652389</v>
      </c>
      <c r="T369" s="7" t="str">
        <v>ISSN匹配公开元数据；未逐站复核</v>
      </c>
      <c r="U369" s="2" t="str">
        <v>官网来源</v>
      </c>
      <c r="V369" s="2" t="n">
        <v>2026</v>
      </c>
    </row>
    <row r="370" ht="34" customHeight="1">
      <c r="A370" s="7" t="str">
        <v>BIOGEOCHEMISTRY</v>
      </c>
      <c r="B370" s="7" t="str">
        <v>土壤肥料与地球生物化学</v>
      </c>
      <c r="C370" s="11" t="n">
        <v>2</v>
      </c>
      <c r="D370" s="12" t="n">
        <v>4.3</v>
      </c>
      <c r="E370" s="13" t="n">
        <v>2025</v>
      </c>
      <c r="F370" s="7" t="str">
        <v>其他</v>
      </c>
      <c r="G370" s="7" t="str">
        <v>领域期刊/新兴刊</v>
      </c>
      <c r="H370" s="7" t="str">
        <v>研究/方法/综合</v>
      </c>
      <c r="I370" s="10" t="n">
        <v>2025</v>
      </c>
      <c r="J370" s="2" t="str">
        <v>否</v>
      </c>
      <c r="K370" s="2" t="str">
        <v>0168-2563</v>
      </c>
      <c r="L370" s="2" t="str">
        <v>1573-515X</v>
      </c>
      <c r="M370" s="7" t="str">
        <v>ENVIRONMENTAL SCIENCES(SCIE);GEOSCIENCES, MULTIDISCIPLINARY(SCIE)</v>
      </c>
      <c r="N370" s="7" t="str">
        <v>两份公开汇编一致</v>
      </c>
      <c r="O370" s="7" t="str"/>
      <c r="P370" s="15" t="str">
        <v>JIF来源</v>
      </c>
      <c r="Q370" s="15" t="str">
        <v>分区来源</v>
      </c>
      <c r="R370" s="15" t="str"/>
      <c r="S370" s="14" t="str">
        <v>https://www.springer.com/journal/10533</v>
      </c>
      <c r="T370" s="7" t="str">
        <v>ISSN匹配公开元数据；未逐站复核</v>
      </c>
      <c r="U370" s="2" t="str">
        <v>官网来源</v>
      </c>
      <c r="V370" s="2" t="n">
        <v>2026</v>
      </c>
    </row>
    <row r="371" ht="34" customHeight="1">
      <c r="A371" s="7" t="str">
        <v>LAND DEGRADATION &amp; DEVELOPMENT</v>
      </c>
      <c r="B371" s="7" t="str">
        <v>土壤肥料与地球生物化学</v>
      </c>
      <c r="C371" s="11" t="n">
        <v>2</v>
      </c>
      <c r="D371" s="12" t="n">
        <v>4</v>
      </c>
      <c r="E371" s="13" t="n">
        <v>2025</v>
      </c>
      <c r="F371" s="7" t="str">
        <v>其他</v>
      </c>
      <c r="G371" s="7" t="str">
        <v>领域期刊/新兴刊</v>
      </c>
      <c r="H371" s="7" t="str">
        <v>研究/方法/综合</v>
      </c>
      <c r="I371" s="10" t="n">
        <v>2025</v>
      </c>
      <c r="J371" s="2" t="str">
        <v>否</v>
      </c>
      <c r="K371" s="2" t="str">
        <v>1085-3278</v>
      </c>
      <c r="L371" s="2" t="str">
        <v>1099-145X</v>
      </c>
      <c r="M371" s="7" t="str">
        <v>ENVIRONMENTAL SCIENCES(SCIE);SOIL SCIENCE(SCIE)</v>
      </c>
      <c r="N371" s="7" t="str">
        <v>两份公开汇编一致</v>
      </c>
      <c r="O371" s="7" t="str"/>
      <c r="P371" s="15" t="str">
        <v>JIF来源</v>
      </c>
      <c r="Q371" s="15" t="str">
        <v>分区来源</v>
      </c>
      <c r="R371" s="15" t="str"/>
      <c r="S371" s="14" t="str">
        <v>https://onlinelibrary.wiley.com/journal/1099145X</v>
      </c>
      <c r="T371" s="7" t="str">
        <v>ISSN匹配公开元数据；未逐站复核</v>
      </c>
      <c r="U371" s="2" t="str">
        <v>官网来源</v>
      </c>
      <c r="V371" s="2" t="n">
        <v>2026</v>
      </c>
    </row>
    <row r="372" ht="34" customHeight="1">
      <c r="A372" s="7" t="str">
        <v>SOIL USE AND MANAGEMENT</v>
      </c>
      <c r="B372" s="7" t="str">
        <v>土壤肥料与地球生物化学</v>
      </c>
      <c r="C372" s="11" t="n">
        <v>3</v>
      </c>
      <c r="D372" s="12" t="n">
        <v>3.6</v>
      </c>
      <c r="E372" s="13" t="n">
        <v>2025</v>
      </c>
      <c r="F372" s="7" t="str">
        <v>其他</v>
      </c>
      <c r="G372" s="7" t="str">
        <v>领域期刊/新兴刊</v>
      </c>
      <c r="H372" s="7" t="str">
        <v>研究/方法/综合</v>
      </c>
      <c r="I372" s="10" t="n">
        <v>2025</v>
      </c>
      <c r="J372" s="2" t="str">
        <v>否</v>
      </c>
      <c r="K372" s="2" t="str">
        <v>0266-0032</v>
      </c>
      <c r="L372" s="2" t="str">
        <v>1475-2743</v>
      </c>
      <c r="M372" s="7" t="str">
        <v>SOIL SCIENCE(SCIE)</v>
      </c>
      <c r="N372" s="7" t="str">
        <v>两份公开汇编一致</v>
      </c>
      <c r="O372" s="7" t="str"/>
      <c r="P372" s="15" t="str">
        <v>JIF来源</v>
      </c>
      <c r="Q372" s="15" t="str">
        <v>分区来源</v>
      </c>
      <c r="R372" s="15" t="str"/>
      <c r="S372" s="14" t="str">
        <v>https://onlinelibrary.wiley.com/journal/14752743</v>
      </c>
      <c r="T372" s="7" t="str">
        <v>ISSN匹配公开元数据；未逐站复核</v>
      </c>
      <c r="U372" s="2" t="str">
        <v>官网来源</v>
      </c>
      <c r="V372" s="2" t="n">
        <v>2026</v>
      </c>
    </row>
    <row r="373" ht="34" customHeight="1">
      <c r="A373" s="7" t="str">
        <v>Rhizosphere</v>
      </c>
      <c r="B373" s="7" t="str">
        <v>土壤肥料与地球生物化学</v>
      </c>
      <c r="C373" s="11" t="n">
        <v>3</v>
      </c>
      <c r="D373" s="12" t="n">
        <v>3.9</v>
      </c>
      <c r="E373" s="13" t="n">
        <v>2025</v>
      </c>
      <c r="F373" s="7" t="str">
        <v>其他</v>
      </c>
      <c r="G373" s="7" t="str">
        <v>领域期刊/新兴刊</v>
      </c>
      <c r="H373" s="7" t="str">
        <v>研究/方法/综合</v>
      </c>
      <c r="I373" s="10" t="n">
        <v>2025</v>
      </c>
      <c r="J373" s="2" t="str">
        <v>否</v>
      </c>
      <c r="K373" s="2" t="str"/>
      <c r="L373" s="2" t="str">
        <v>2452-2198</v>
      </c>
      <c r="M373" s="7" t="str">
        <v>MICROBIOLOGY(SCIE);PLANT SCIENCES(SCIE);SOIL SCIENCE(SCIE)</v>
      </c>
      <c r="N373" s="7" t="str">
        <v>两份公开汇编一致</v>
      </c>
      <c r="O373" s="7" t="str"/>
      <c r="P373" s="15" t="str">
        <v>JIF来源</v>
      </c>
      <c r="Q373" s="15" t="str">
        <v>分区来源</v>
      </c>
      <c r="R373" s="15" t="str"/>
      <c r="S373" s="14" t="str">
        <v>https://www.journals.elsevier.com/rhizosphere</v>
      </c>
      <c r="T373" s="7" t="str">
        <v>ISSN匹配公开元数据；未逐站复核</v>
      </c>
      <c r="U373" s="2" t="str">
        <v>官网来源</v>
      </c>
      <c r="V373" s="2" t="n">
        <v>2026</v>
      </c>
    </row>
    <row r="374" ht="34" customHeight="1">
      <c r="A374" s="7" t="str">
        <v>Geoderma Regional</v>
      </c>
      <c r="B374" s="7" t="str">
        <v>土壤肥料与地球生物化学</v>
      </c>
      <c r="C374" s="11" t="n">
        <v>3</v>
      </c>
      <c r="D374" s="12" t="n">
        <v>3.9</v>
      </c>
      <c r="E374" s="13" t="n">
        <v>2025</v>
      </c>
      <c r="F374" s="7" t="str">
        <v>其他</v>
      </c>
      <c r="G374" s="7" t="str">
        <v>领域期刊/新兴刊</v>
      </c>
      <c r="H374" s="7" t="str">
        <v>研究/方法/综合</v>
      </c>
      <c r="I374" s="10" t="n">
        <v>2025</v>
      </c>
      <c r="J374" s="2" t="str">
        <v>否</v>
      </c>
      <c r="K374" s="2" t="str">
        <v>2352-0094</v>
      </c>
      <c r="L374" s="2" t="str">
        <v>2352-0094</v>
      </c>
      <c r="M374" s="7" t="str">
        <v>SOIL SCIENCE(SCIE)</v>
      </c>
      <c r="N374" s="7" t="str">
        <v>两份公开汇编一致</v>
      </c>
      <c r="O374" s="7" t="str"/>
      <c r="P374" s="15" t="str">
        <v>JIF来源</v>
      </c>
      <c r="Q374" s="15" t="str">
        <v>分区来源</v>
      </c>
      <c r="R374" s="15" t="str"/>
      <c r="S374" s="14" t="str">
        <v>https://www.journals.elsevier.com/geoderma-regional</v>
      </c>
      <c r="T374" s="7" t="str">
        <v>ISSN匹配公开元数据；未逐站复核</v>
      </c>
      <c r="U374" s="2" t="str">
        <v>官网来源</v>
      </c>
      <c r="V374" s="2" t="n">
        <v>2026</v>
      </c>
    </row>
    <row r="375" ht="34" customHeight="1">
      <c r="A375" s="7" t="str">
        <v>Journal of Soil Science and Plant Nutrition</v>
      </c>
      <c r="B375" s="7" t="str">
        <v>土壤肥料与地球生物化学</v>
      </c>
      <c r="C375" s="11" t="n">
        <v>3</v>
      </c>
      <c r="D375" s="12" t="n">
        <v>3.6</v>
      </c>
      <c r="E375" s="13" t="n">
        <v>2025</v>
      </c>
      <c r="F375" s="7" t="str">
        <v>其他</v>
      </c>
      <c r="G375" s="7" t="str">
        <v>领域期刊/新兴刊</v>
      </c>
      <c r="H375" s="7" t="str">
        <v>研究/方法/综合</v>
      </c>
      <c r="I375" s="10" t="n">
        <v>2025</v>
      </c>
      <c r="J375" s="2" t="str">
        <v>否</v>
      </c>
      <c r="K375" s="2" t="str">
        <v>0718-9508</v>
      </c>
      <c r="L375" s="2" t="str">
        <v>0718-9516</v>
      </c>
      <c r="M375" s="7" t="str">
        <v>ENVIRONMENTAL SCIENCES(SCIE);PLANT SCIENCES(SCIE);SOIL SCIENCE(SCIE)</v>
      </c>
      <c r="N375" s="7" t="str">
        <v>两份公开汇编一致</v>
      </c>
      <c r="O375" s="7" t="str"/>
      <c r="P375" s="15" t="str">
        <v>JIF来源</v>
      </c>
      <c r="Q375" s="15" t="str">
        <v>分区来源</v>
      </c>
      <c r="R375" s="15" t="str"/>
      <c r="S375" s="14" t="str">
        <v>https://www.springer.com/journal/42729</v>
      </c>
      <c r="T375" s="7" t="str">
        <v>ISSN匹配公开元数据；未逐站复核</v>
      </c>
      <c r="U375" s="2" t="str">
        <v>官网来源</v>
      </c>
      <c r="V375" s="2" t="n">
        <v>2026</v>
      </c>
    </row>
    <row r="376" ht="34" customHeight="1">
      <c r="A376" s="7" t="str">
        <v>JOURNAL OF SOILS AND SEDIMENTS</v>
      </c>
      <c r="B376" s="7" t="str">
        <v>土壤肥料与地球生物化学</v>
      </c>
      <c r="C376" s="11" t="n">
        <v>3</v>
      </c>
      <c r="D376" s="12" t="n">
        <v>3.3</v>
      </c>
      <c r="E376" s="13" t="n">
        <v>2025</v>
      </c>
      <c r="F376" s="7" t="str">
        <v>其他</v>
      </c>
      <c r="G376" s="7" t="str">
        <v>领域期刊/新兴刊</v>
      </c>
      <c r="H376" s="7" t="str">
        <v>研究/方法/综合</v>
      </c>
      <c r="I376" s="10" t="n">
        <v>2025</v>
      </c>
      <c r="J376" s="2" t="str">
        <v>否</v>
      </c>
      <c r="K376" s="2" t="str">
        <v>1439-0108</v>
      </c>
      <c r="L376" s="2" t="str">
        <v>1614-7480</v>
      </c>
      <c r="M376" s="7" t="str">
        <v>ENVIRONMENTAL SCIENCES(SCIE);SOIL SCIENCE(SCIE)</v>
      </c>
      <c r="N376" s="7" t="str">
        <v>两份公开汇编一致</v>
      </c>
      <c r="O376" s="7" t="str"/>
      <c r="P376" s="15" t="str">
        <v>JIF来源</v>
      </c>
      <c r="Q376" s="15" t="str">
        <v>分区来源</v>
      </c>
      <c r="R376" s="15" t="str"/>
      <c r="S376" s="14" t="str">
        <v>https://link.springer.com/journal/11368</v>
      </c>
      <c r="T376" s="7" t="str">
        <v>ISSN匹配公开元数据；未逐站复核</v>
      </c>
      <c r="U376" s="2" t="str">
        <v>官网来源</v>
      </c>
      <c r="V376" s="2" t="n">
        <v>2026</v>
      </c>
    </row>
    <row r="377" ht="34" customHeight="1">
      <c r="A377" s="7" t="str">
        <v>JOURNAL OF PLANT NUTRITION AND SOIL SCIENCE</v>
      </c>
      <c r="B377" s="7" t="str">
        <v>土壤肥料与地球生物化学</v>
      </c>
      <c r="C377" s="11" t="n">
        <v>3</v>
      </c>
      <c r="D377" s="12" t="n">
        <v>3.3</v>
      </c>
      <c r="E377" s="13" t="n">
        <v>2025</v>
      </c>
      <c r="F377" s="7" t="str">
        <v>其他</v>
      </c>
      <c r="G377" s="7" t="str">
        <v>经典专业刊</v>
      </c>
      <c r="H377" s="7" t="str">
        <v>研究/方法/综合</v>
      </c>
      <c r="I377" s="10" t="n">
        <v>2025</v>
      </c>
      <c r="J377" s="2" t="str">
        <v>否</v>
      </c>
      <c r="K377" s="2" t="str">
        <v>1436-8730</v>
      </c>
      <c r="L377" s="2" t="str">
        <v>1522-2624</v>
      </c>
      <c r="M377" s="7" t="str">
        <v>AGRONOMY(SCIE);PLANT SCIENCES(SCIE);SOIL SCIENCE(SCIE)</v>
      </c>
      <c r="N377" s="7" t="str">
        <v>两份公开汇编一致</v>
      </c>
      <c r="O377" s="7" t="str"/>
      <c r="P377" s="15" t="str">
        <v>JIF来源</v>
      </c>
      <c r="Q377" s="15" t="str">
        <v>分区来源</v>
      </c>
      <c r="R377" s="15" t="str"/>
      <c r="S377" s="14" t="str">
        <v>https://onlinelibrary.wiley.com/journal/15222624</v>
      </c>
      <c r="T377" s="7" t="str">
        <v>ISSN匹配公开元数据；未逐站复核</v>
      </c>
      <c r="U377" s="2" t="str">
        <v>官网来源</v>
      </c>
      <c r="V377" s="2" t="n">
        <v>2026</v>
      </c>
    </row>
    <row r="378" ht="34" customHeight="1">
      <c r="A378" s="7" t="str">
        <v>NUTRIENT CYCLING IN AGROECOSYSTEMS</v>
      </c>
      <c r="B378" s="7" t="str">
        <v>土壤肥料与地球生物化学</v>
      </c>
      <c r="C378" s="11" t="n">
        <v>3</v>
      </c>
      <c r="D378" s="12" t="n">
        <v>3.2</v>
      </c>
      <c r="E378" s="13" t="n">
        <v>2025</v>
      </c>
      <c r="F378" s="7" t="str">
        <v>其他</v>
      </c>
      <c r="G378" s="7" t="str">
        <v>领域期刊/新兴刊</v>
      </c>
      <c r="H378" s="7" t="str">
        <v>研究/方法/综合</v>
      </c>
      <c r="I378" s="10" t="n">
        <v>2025</v>
      </c>
      <c r="J378" s="2" t="str">
        <v>否</v>
      </c>
      <c r="K378" s="2" t="str">
        <v>1385-1314</v>
      </c>
      <c r="L378" s="2" t="str">
        <v>1573-0867</v>
      </c>
      <c r="M378" s="7" t="str">
        <v>SOIL SCIENCE(SCIE)</v>
      </c>
      <c r="N378" s="7" t="str">
        <v>两份公开汇编一致</v>
      </c>
      <c r="O378" s="7" t="str"/>
      <c r="P378" s="15" t="str">
        <v>JIF来源</v>
      </c>
      <c r="Q378" s="15" t="str">
        <v>分区来源</v>
      </c>
      <c r="R378" s="15" t="str"/>
      <c r="S378" s="14" t="str">
        <v>https://www.springer.com/journal/10705</v>
      </c>
      <c r="T378" s="7" t="str">
        <v>ISSN匹配公开元数据；未逐站复核</v>
      </c>
      <c r="U378" s="2" t="str">
        <v>官网来源</v>
      </c>
      <c r="V378" s="2" t="n">
        <v>2026</v>
      </c>
    </row>
    <row r="379" ht="34" customHeight="1">
      <c r="A379" s="7" t="str">
        <v>SOIL SCIENCE SOCIETY OF AMERICA JOURNAL</v>
      </c>
      <c r="B379" s="7" t="str">
        <v>土壤肥料与地球生物化学</v>
      </c>
      <c r="C379" s="11" t="n">
        <v>3</v>
      </c>
      <c r="D379" s="12" t="n">
        <v>2.6</v>
      </c>
      <c r="E379" s="13" t="n">
        <v>2025</v>
      </c>
      <c r="F379" s="7" t="str">
        <v>其他</v>
      </c>
      <c r="G379" s="7" t="str">
        <v>经典专业刊</v>
      </c>
      <c r="H379" s="7" t="str">
        <v>研究/方法/综合</v>
      </c>
      <c r="I379" s="10" t="n">
        <v>2025</v>
      </c>
      <c r="J379" s="2" t="str">
        <v>否</v>
      </c>
      <c r="K379" s="2" t="str">
        <v>0361-5995</v>
      </c>
      <c r="L379" s="2" t="str">
        <v>1435-0661</v>
      </c>
      <c r="M379" s="7" t="str">
        <v>SOIL SCIENCE(SCIE)</v>
      </c>
      <c r="N379" s="7" t="str">
        <v>公开汇编已匹配</v>
      </c>
      <c r="O379" s="7" t="str"/>
      <c r="P379" s="15" t="str">
        <v>JIF来源</v>
      </c>
      <c r="Q379" s="15" t="str">
        <v>分区来源</v>
      </c>
      <c r="R379" s="15" t="str"/>
      <c r="S379" s="14" t="str">
        <v>https://acsess.onlinelibrary.wiley.com/journal/14350661</v>
      </c>
      <c r="T379" s="7" t="str">
        <v>ISSN匹配公开元数据；未逐站复核</v>
      </c>
      <c r="U379" s="2" t="str">
        <v>官网来源</v>
      </c>
      <c r="V379" s="2" t="n">
        <v>2026</v>
      </c>
    </row>
    <row r="380" ht="34" customHeight="1">
      <c r="A380" s="7" t="str">
        <v>PLANT SOIL AND ENVIRONMENT</v>
      </c>
      <c r="B380" s="7" t="str">
        <v>土壤肥料与地球生物化学</v>
      </c>
      <c r="C380" s="11" t="n">
        <v>3</v>
      </c>
      <c r="D380" s="12" t="n">
        <v>2.5</v>
      </c>
      <c r="E380" s="13" t="n">
        <v>2025</v>
      </c>
      <c r="F380" s="7" t="str">
        <v>其他</v>
      </c>
      <c r="G380" s="7" t="str">
        <v>领域期刊/新兴刊</v>
      </c>
      <c r="H380" s="7" t="str">
        <v>研究/方法/综合</v>
      </c>
      <c r="I380" s="10" t="n">
        <v>2025</v>
      </c>
      <c r="J380" s="2" t="str">
        <v>否</v>
      </c>
      <c r="K380" s="2" t="str">
        <v>1214-1178</v>
      </c>
      <c r="L380" s="2" t="str">
        <v>1805-9368</v>
      </c>
      <c r="M380" s="7" t="str">
        <v>AGRONOMY(SCIE)</v>
      </c>
      <c r="N380" s="7" t="str">
        <v>公开汇编已匹配</v>
      </c>
      <c r="O380" s="7" t="str"/>
      <c r="P380" s="15" t="str">
        <v>JIF来源</v>
      </c>
      <c r="Q380" s="15" t="str">
        <v>分区来源</v>
      </c>
      <c r="R380" s="15" t="str"/>
      <c r="S380" s="14" t="str">
        <v>http://www.agriculturejournals.cz/web/pse.htm</v>
      </c>
      <c r="T380" s="7" t="str">
        <v>ISSN匹配公开元数据；未逐站复核</v>
      </c>
      <c r="U380" s="2" t="str">
        <v>官网来源</v>
      </c>
      <c r="V380" s="2" t="n">
        <v>2026</v>
      </c>
    </row>
    <row r="381" ht="34" customHeight="1">
      <c r="A381" s="7" t="str">
        <v>JOURNAL OF SOIL AND WATER CONSERVATION</v>
      </c>
      <c r="B381" s="7" t="str">
        <v>土壤肥料与地球生物化学</v>
      </c>
      <c r="C381" s="11" t="n">
        <v>4</v>
      </c>
      <c r="D381" s="12" t="n">
        <v>3.1</v>
      </c>
      <c r="E381" s="13" t="n">
        <v>2025</v>
      </c>
      <c r="F381" s="7" t="str">
        <v>其他</v>
      </c>
      <c r="G381" s="7" t="str">
        <v>领域期刊/新兴刊</v>
      </c>
      <c r="H381" s="7" t="str">
        <v>研究/方法/综合</v>
      </c>
      <c r="I381" s="10" t="n">
        <v>2025</v>
      </c>
      <c r="J381" s="2" t="str">
        <v>否</v>
      </c>
      <c r="K381" s="2" t="str">
        <v>0022-4561</v>
      </c>
      <c r="L381" s="2" t="str">
        <v>1941-3300</v>
      </c>
      <c r="M381" s="7" t="str">
        <v>ECOLOGY(SCIE);SOIL SCIENCE(SCIE);WATER RESOURCES(SCIE)</v>
      </c>
      <c r="N381" s="7" t="str">
        <v>公开汇编已匹配</v>
      </c>
      <c r="O381" s="7" t="str"/>
      <c r="P381" s="15" t="str">
        <v>JIF来源</v>
      </c>
      <c r="Q381" s="15" t="str">
        <v>分区来源</v>
      </c>
      <c r="R381" s="15" t="str"/>
      <c r="S381" s="14" t="str">
        <v>https://www.jswconline.org</v>
      </c>
      <c r="T381" s="7" t="str">
        <v>ISSN匹配公开元数据；未逐站复核</v>
      </c>
      <c r="U381" s="2" t="str">
        <v>官网来源</v>
      </c>
      <c r="V381" s="2" t="n">
        <v>2026</v>
      </c>
    </row>
    <row r="382" ht="34" customHeight="1">
      <c r="A382" s="7" t="str">
        <v>SOIL SCIENCE AND PLANT NUTRITION</v>
      </c>
      <c r="B382" s="7" t="str">
        <v>土壤肥料与地球生物化学</v>
      </c>
      <c r="C382" s="11" t="n">
        <v>4</v>
      </c>
      <c r="D382" s="12" t="n">
        <v>2.1</v>
      </c>
      <c r="E382" s="13" t="n">
        <v>2025</v>
      </c>
      <c r="F382" s="7" t="str">
        <v>其他</v>
      </c>
      <c r="G382" s="7" t="str">
        <v>经典专业刊</v>
      </c>
      <c r="H382" s="7" t="str">
        <v>研究/方法/综合</v>
      </c>
      <c r="I382" s="10" t="n">
        <v>2025</v>
      </c>
      <c r="J382" s="2" t="str">
        <v>否</v>
      </c>
      <c r="K382" s="2" t="str">
        <v>0038-0768</v>
      </c>
      <c r="L382" s="2" t="str">
        <v>1747-0765</v>
      </c>
      <c r="M382" s="7" t="str">
        <v>ENVIRONMENTAL SCIENCES(SCIE);PLANT SCIENCES(SCIE);SOIL SCIENCE(SCIE)</v>
      </c>
      <c r="N382" s="7" t="str">
        <v>公开汇编已匹配</v>
      </c>
      <c r="O382" s="7" t="str"/>
      <c r="P382" s="15" t="str">
        <v>JIF来源</v>
      </c>
      <c r="Q382" s="15" t="str">
        <v>分区来源</v>
      </c>
      <c r="R382" s="15" t="str"/>
      <c r="S382" s="14" t="str">
        <v>https://www.tandfonline.com/toc/tssp20/current</v>
      </c>
      <c r="T382" s="7" t="str">
        <v>ISSN匹配公开元数据；未逐站复核</v>
      </c>
      <c r="U382" s="2" t="str">
        <v>官网来源</v>
      </c>
      <c r="V382" s="2" t="n">
        <v>2026</v>
      </c>
    </row>
    <row r="383" ht="34" customHeight="1">
      <c r="A383" s="7" t="str">
        <v>JOURNAL OF PLANT NUTRITION</v>
      </c>
      <c r="B383" s="7" t="str">
        <v>土壤肥料与地球生物化学</v>
      </c>
      <c r="C383" s="11" t="n">
        <v>4</v>
      </c>
      <c r="D383" s="12" t="n">
        <v>1.8</v>
      </c>
      <c r="E383" s="13" t="n">
        <v>2025</v>
      </c>
      <c r="F383" s="7" t="str">
        <v>其他</v>
      </c>
      <c r="G383" s="7" t="str">
        <v>领域期刊/新兴刊</v>
      </c>
      <c r="H383" s="7" t="str">
        <v>研究/方法/综合</v>
      </c>
      <c r="I383" s="10" t="n">
        <v>2025</v>
      </c>
      <c r="J383" s="2" t="str">
        <v>否</v>
      </c>
      <c r="K383" s="2" t="str">
        <v>0190-4167</v>
      </c>
      <c r="L383" s="2" t="str">
        <v>1532-4087</v>
      </c>
      <c r="M383" s="7" t="str">
        <v>PLANT SCIENCES(SCIE)</v>
      </c>
      <c r="N383" s="7" t="str">
        <v>公开汇编已匹配</v>
      </c>
      <c r="O383" s="7" t="str"/>
      <c r="P383" s="15" t="str">
        <v>JIF来源</v>
      </c>
      <c r="Q383" s="15" t="str">
        <v>分区来源</v>
      </c>
      <c r="R383" s="15" t="str"/>
      <c r="S383" s="14" t="str">
        <v>https://www.tandfonline.com/toc/lpla20/current</v>
      </c>
      <c r="T383" s="7" t="str">
        <v>ISSN匹配公开元数据；未逐站复核</v>
      </c>
      <c r="U383" s="2" t="str">
        <v>官网来源</v>
      </c>
      <c r="V383" s="2" t="n">
        <v>2026</v>
      </c>
    </row>
    <row r="384" ht="34" customHeight="1">
      <c r="A384" s="7" t="str">
        <v>CANADIAN JOURNAL OF SOIL SCIENCE</v>
      </c>
      <c r="B384" s="7" t="str">
        <v>土壤肥料与地球生物化学</v>
      </c>
      <c r="C384" s="11" t="n">
        <v>4</v>
      </c>
      <c r="D384" s="12" t="n">
        <v>1.7</v>
      </c>
      <c r="E384" s="13" t="n">
        <v>2025</v>
      </c>
      <c r="F384" s="7" t="str">
        <v>其他</v>
      </c>
      <c r="G384" s="7" t="str">
        <v>领域期刊/新兴刊</v>
      </c>
      <c r="H384" s="7" t="str">
        <v>研究/方法/综合</v>
      </c>
      <c r="I384" s="10" t="n">
        <v>2025</v>
      </c>
      <c r="J384" s="2" t="str">
        <v>否</v>
      </c>
      <c r="K384" s="2" t="str">
        <v>0008-4271</v>
      </c>
      <c r="L384" s="2" t="str">
        <v>1918-1841</v>
      </c>
      <c r="M384" s="7" t="str">
        <v>SOIL SCIENCE(SCIE)</v>
      </c>
      <c r="N384" s="7" t="str">
        <v>公开汇编已匹配</v>
      </c>
      <c r="O384" s="7" t="str"/>
      <c r="P384" s="15" t="str">
        <v>JIF来源</v>
      </c>
      <c r="Q384" s="15" t="str">
        <v>分区来源</v>
      </c>
      <c r="R384" s="15" t="str"/>
      <c r="S384" s="14" t="str">
        <v>http://pubs.aic.ca/journal/cjss</v>
      </c>
      <c r="T384" s="7" t="str">
        <v>ISSN匹配公开元数据；未逐站复核</v>
      </c>
      <c r="U384" s="2" t="str">
        <v>官网来源</v>
      </c>
      <c r="V384" s="2" t="n">
        <v>2026</v>
      </c>
    </row>
    <row r="385" ht="34" customHeight="1">
      <c r="A385" s="7" t="str">
        <v>EURASIAN SOIL SCIENCE</v>
      </c>
      <c r="B385" s="7" t="str">
        <v>土壤肥料与地球生物化学</v>
      </c>
      <c r="C385" s="11" t="n">
        <v>4</v>
      </c>
      <c r="D385" s="12" t="n">
        <v>1.6</v>
      </c>
      <c r="E385" s="13" t="n">
        <v>2025</v>
      </c>
      <c r="F385" s="7" t="str">
        <v>其他</v>
      </c>
      <c r="G385" s="7" t="str">
        <v>领域期刊/新兴刊</v>
      </c>
      <c r="H385" s="7" t="str">
        <v>研究/方法/综合</v>
      </c>
      <c r="I385" s="10" t="n">
        <v>2025</v>
      </c>
      <c r="J385" s="2" t="str">
        <v>否</v>
      </c>
      <c r="K385" s="2" t="str">
        <v>1064-2293</v>
      </c>
      <c r="L385" s="2" t="str">
        <v>1556-195X</v>
      </c>
      <c r="M385" s="7" t="str">
        <v>SOIL SCIENCE(SCIE)</v>
      </c>
      <c r="N385" s="7" t="str">
        <v>公开汇编已匹配</v>
      </c>
      <c r="O385" s="7" t="str"/>
      <c r="P385" s="15" t="str">
        <v>JIF来源</v>
      </c>
      <c r="Q385" s="15" t="str">
        <v>分区来源</v>
      </c>
      <c r="R385" s="15" t="str"/>
      <c r="S385" s="14" t="str">
        <v>https://www.springer.com/journal/11475</v>
      </c>
      <c r="T385" s="7" t="str">
        <v>ISSN匹配公开元数据；未逐站复核</v>
      </c>
      <c r="U385" s="2" t="str">
        <v>官网来源</v>
      </c>
      <c r="V385" s="2" t="n">
        <v>2026</v>
      </c>
    </row>
    <row r="386" ht="34" customHeight="1">
      <c r="A386" s="7" t="str">
        <v>SOIL &amp; SEDIMENT CONTAMINATION</v>
      </c>
      <c r="B386" s="7" t="str">
        <v>土壤肥料与地球生物化学</v>
      </c>
      <c r="C386" s="11" t="n">
        <v>4</v>
      </c>
      <c r="D386" s="12" t="n">
        <v>1.9</v>
      </c>
      <c r="E386" s="13" t="n">
        <v>2025</v>
      </c>
      <c r="F386" s="7" t="str">
        <v>其他</v>
      </c>
      <c r="G386" s="7" t="str">
        <v>领域期刊/新兴刊</v>
      </c>
      <c r="H386" s="7" t="str">
        <v>研究/方法/综合</v>
      </c>
      <c r="I386" s="10" t="n">
        <v>2025</v>
      </c>
      <c r="J386" s="2" t="str">
        <v>否</v>
      </c>
      <c r="K386" s="2" t="str">
        <v>1532-0383</v>
      </c>
      <c r="L386" s="2" t="str">
        <v>1549-7887</v>
      </c>
      <c r="M386" s="7" t="str">
        <v>ENVIRONMENTAL SCIENCES(SCIE)</v>
      </c>
      <c r="N386" s="7" t="str">
        <v>公开汇编已匹配</v>
      </c>
      <c r="O386" s="7" t="str"/>
      <c r="P386" s="15" t="str">
        <v>JIF来源</v>
      </c>
      <c r="Q386" s="15" t="str">
        <v>分区来源</v>
      </c>
      <c r="R386" s="15" t="str"/>
      <c r="S386" s="14" t="str">
        <v>https://www.tandfonline.com/toc/bssc20/current</v>
      </c>
      <c r="T386" s="7" t="str">
        <v>ISSN匹配公开元数据；未逐站复核</v>
      </c>
      <c r="U386" s="2" t="str">
        <v>官网来源</v>
      </c>
      <c r="V386" s="2" t="n">
        <v>2026</v>
      </c>
    </row>
    <row r="387" ht="34" customHeight="1">
      <c r="A387" s="7" t="str">
        <v>Soil Research</v>
      </c>
      <c r="B387" s="7" t="str">
        <v>土壤肥料与地球生物化学</v>
      </c>
      <c r="C387" s="11" t="n">
        <v>4</v>
      </c>
      <c r="D387" s="12" t="n">
        <v>1.6</v>
      </c>
      <c r="E387" s="13" t="n">
        <v>2025</v>
      </c>
      <c r="F387" s="7" t="str">
        <v>其他</v>
      </c>
      <c r="G387" s="7" t="str">
        <v>领域期刊/新兴刊</v>
      </c>
      <c r="H387" s="7" t="str">
        <v>研究/方法/综合</v>
      </c>
      <c r="I387" s="10" t="n">
        <v>2025</v>
      </c>
      <c r="J387" s="2" t="str">
        <v>否</v>
      </c>
      <c r="K387" s="2" t="str">
        <v>1838-675X</v>
      </c>
      <c r="L387" s="2" t="str">
        <v>1838-6768</v>
      </c>
      <c r="M387" s="7" t="str">
        <v>SOIL SCIENCE(SCIE)</v>
      </c>
      <c r="N387" s="7" t="str">
        <v>公开汇编已匹配</v>
      </c>
      <c r="O387" s="7" t="str"/>
      <c r="P387" s="15" t="str">
        <v>JIF来源</v>
      </c>
      <c r="Q387" s="15" t="str">
        <v>分区来源</v>
      </c>
      <c r="R387" s="15" t="str"/>
      <c r="S387" s="14" t="str">
        <v>http://www.publish.csiro.au/sr</v>
      </c>
      <c r="T387" s="7" t="str">
        <v>ISSN匹配公开元数据；未逐站复核</v>
      </c>
      <c r="U387" s="2" t="str">
        <v>官网来源</v>
      </c>
      <c r="V387" s="2" t="n">
        <v>2026</v>
      </c>
    </row>
    <row r="388" ht="34" customHeight="1">
      <c r="A388" s="7" t="str">
        <v>COMMUNICATIONS IN SOIL SCIENCE AND PLANT ANALYSIS</v>
      </c>
      <c r="B388" s="7" t="str">
        <v>土壤肥料与地球生物化学</v>
      </c>
      <c r="C388" s="11" t="n">
        <v>4</v>
      </c>
      <c r="D388" s="12" t="n">
        <v>1.7</v>
      </c>
      <c r="E388" s="13" t="n">
        <v>2025</v>
      </c>
      <c r="F388" s="7" t="str">
        <v>Nature Portfolio（含合作刊）</v>
      </c>
      <c r="G388" s="7" t="str">
        <v>领域期刊/新兴刊</v>
      </c>
      <c r="H388" s="7" t="str">
        <v>研究/方法/综合</v>
      </c>
      <c r="I388" s="10" t="n">
        <v>2025</v>
      </c>
      <c r="J388" s="2" t="str">
        <v>否</v>
      </c>
      <c r="K388" s="2" t="str">
        <v>0010-3624</v>
      </c>
      <c r="L388" s="2" t="str">
        <v>1532-2416</v>
      </c>
      <c r="M388" s="7" t="str">
        <v>AGRONOMY(SCIE);CHEMISTRY, ANALYTICAL(SCIE);PLANT SCIENCES(SCIE);SOIL SCIENCE(SCIE)</v>
      </c>
      <c r="N388" s="7" t="str">
        <v>公开汇编已匹配</v>
      </c>
      <c r="O388" s="7" t="str"/>
      <c r="P388" s="15" t="str">
        <v>JIF来源</v>
      </c>
      <c r="Q388" s="15" t="str">
        <v>分区来源</v>
      </c>
      <c r="R388" s="15" t="str"/>
      <c r="S388" s="14" t="str">
        <v>https://www.tandfonline.com/toc/lcss20/current</v>
      </c>
      <c r="T388" s="7" t="str">
        <v>ISSN匹配公开元数据；未逐站复核</v>
      </c>
      <c r="U388" s="2" t="str">
        <v>官网来源</v>
      </c>
      <c r="V388" s="2" t="n">
        <v>2026</v>
      </c>
    </row>
    <row r="389" ht="34" customHeight="1">
      <c r="A389" s="7" t="str">
        <v>Soil Science Annual</v>
      </c>
      <c r="B389" s="7" t="str">
        <v>土壤肥料与地球生物化学</v>
      </c>
      <c r="C389" s="11" t="n">
        <v>4</v>
      </c>
      <c r="D389" s="12" t="n">
        <v>1.3</v>
      </c>
      <c r="E389" s="13" t="n">
        <v>2025</v>
      </c>
      <c r="F389" s="7" t="str">
        <v>其他</v>
      </c>
      <c r="G389" s="7" t="str">
        <v>领域期刊/新兴刊</v>
      </c>
      <c r="H389" s="7" t="str">
        <v>研究/方法/综合</v>
      </c>
      <c r="I389" s="10" t="n">
        <v>2025</v>
      </c>
      <c r="J389" s="2" t="str">
        <v>否</v>
      </c>
      <c r="K389" s="2" t="str">
        <v>2300-4967</v>
      </c>
      <c r="L389" s="2" t="str">
        <v>2300-4975</v>
      </c>
      <c r="M389" s="7" t="str">
        <v>SOIL SCIENCE(ESCI)</v>
      </c>
      <c r="N389" s="7" t="str">
        <v>公开汇编已匹配</v>
      </c>
      <c r="O389" s="7" t="str"/>
      <c r="P389" s="15" t="str">
        <v>JIF来源</v>
      </c>
      <c r="Q389" s="15" t="str">
        <v>分区来源</v>
      </c>
      <c r="R389" s="15" t="str"/>
      <c r="S389" s="14" t="str">
        <v>https://www.soilsa.com/</v>
      </c>
      <c r="T389" s="7" t="str">
        <v>出版社/期刊主页匹配</v>
      </c>
      <c r="U389" s="2" t="str">
        <v>官网来源</v>
      </c>
      <c r="V389" s="2" t="n">
        <v>2026</v>
      </c>
    </row>
    <row r="390" ht="34" customHeight="1">
      <c r="A390" s="7" t="str">
        <v>COMPOST SCIENCE &amp; UTILIZATION</v>
      </c>
      <c r="B390" s="7" t="str">
        <v>土壤肥料与地球生物化学</v>
      </c>
      <c r="C390" s="11"/>
      <c r="D390" s="12" t="n">
        <v>1.2</v>
      </c>
      <c r="E390" s="13" t="n">
        <v>2025</v>
      </c>
      <c r="F390" s="7" t="str">
        <v>其他</v>
      </c>
      <c r="G390" s="7" t="str">
        <v>领域期刊/新兴刊</v>
      </c>
      <c r="H390" s="7" t="str">
        <v>研究/方法/综合</v>
      </c>
      <c r="I390" s="10" t="n">
        <v>2025</v>
      </c>
      <c r="J390" s="2" t="str">
        <v>未检得</v>
      </c>
      <c r="K390" s="2" t="str">
        <v>1065-657X</v>
      </c>
      <c r="L390" s="2" t="str">
        <v>2326-2397</v>
      </c>
      <c r="M390" s="7" t="str">
        <v>ECOLOGY(SCIE);SOIL SCIENCE(SCIE)</v>
      </c>
      <c r="N390" s="7" t="str">
        <v>公开汇编已匹配</v>
      </c>
      <c r="O390" s="7" t="str"/>
      <c r="P390" s="15" t="str">
        <v>JIF来源</v>
      </c>
      <c r="Q390" s="15" t="str"/>
      <c r="R390" s="15" t="str"/>
      <c r="S390" s="14" t="str">
        <v>https://www.tandfonline.com/toc/ucsu20/current</v>
      </c>
      <c r="T390" s="7" t="str">
        <v>ISSN匹配公开元数据；未逐站复核</v>
      </c>
      <c r="U390" s="2" t="str">
        <v>官网来源</v>
      </c>
      <c r="V390" s="2" t="n">
        <v>2026</v>
      </c>
    </row>
    <row r="391" ht="34" customHeight="1">
      <c r="A391" s="7" t="str">
        <v>Nature Reviews Earth &amp; Environment</v>
      </c>
      <c r="B391" s="7" t="str">
        <v>生态环境与保护</v>
      </c>
      <c r="C391" s="11" t="n">
        <v>1</v>
      </c>
      <c r="D391" s="12" t="n">
        <v>74.1</v>
      </c>
      <c r="E391" s="13" t="n">
        <v>2025</v>
      </c>
      <c r="F391" s="7" t="str">
        <v>Nature Portfolio（含合作刊）</v>
      </c>
      <c r="G391" s="7" t="str">
        <v>领域期刊/新兴刊</v>
      </c>
      <c r="H391" s="7" t="str">
        <v>综述为主</v>
      </c>
      <c r="I391" s="10" t="n">
        <v>2025</v>
      </c>
      <c r="J391" s="2" t="str">
        <v>是</v>
      </c>
      <c r="K391" s="2" t="str"/>
      <c r="L391" s="2" t="str">
        <v>2662-138X</v>
      </c>
      <c r="M391" s="7" t="str">
        <v>ENVIRONMENTAL SCIENCES(SCIE);GEOSCIENCES, MULTIDISCIPLINARY(SCIE)</v>
      </c>
      <c r="N391" s="7" t="str">
        <v>两份公开汇编一致</v>
      </c>
      <c r="O391" s="7" t="str"/>
      <c r="P391" s="15" t="str">
        <v>JIF来源</v>
      </c>
      <c r="Q391" s="15" t="str">
        <v>分区来源</v>
      </c>
      <c r="R391" s="15" t="str"/>
      <c r="S391" s="14" t="str">
        <v>https://www.nature.com/natrevearthenviron/</v>
      </c>
      <c r="T391" s="7" t="str">
        <v>ISSN匹配公开元数据；未逐站复核</v>
      </c>
      <c r="U391" s="2" t="str">
        <v>官网来源</v>
      </c>
      <c r="V391" s="2" t="n">
        <v>2026</v>
      </c>
    </row>
    <row r="392" ht="34" customHeight="1">
      <c r="A392" s="7" t="str">
        <v>Nature Climate Change</v>
      </c>
      <c r="B392" s="7" t="str">
        <v>生态环境与保护</v>
      </c>
      <c r="C392" s="11" t="n">
        <v>1</v>
      </c>
      <c r="D392" s="12" t="n">
        <v>26.9</v>
      </c>
      <c r="E392" s="13" t="n">
        <v>2025</v>
      </c>
      <c r="F392" s="7" t="str">
        <v>Nature Portfolio（含合作刊）</v>
      </c>
      <c r="G392" s="7" t="str">
        <v>领域期刊/新兴刊</v>
      </c>
      <c r="H392" s="7" t="str">
        <v>研究/方法/综合</v>
      </c>
      <c r="I392" s="10" t="n">
        <v>2025</v>
      </c>
      <c r="J392" s="2" t="str">
        <v>是</v>
      </c>
      <c r="K392" s="2" t="str">
        <v>1758-678X</v>
      </c>
      <c r="L392" s="2" t="str">
        <v>1758-6798</v>
      </c>
      <c r="M392" s="7" t="str">
        <v>ENVIRONMENTAL SCIENCES(SCIE);ENVIRONMENTAL STUDIES(SSCI);METEOROLOGY &amp; ATMOSPHERIC SCIENCES(SCIE)</v>
      </c>
      <c r="N392" s="7" t="str">
        <v>两份公开汇编一致</v>
      </c>
      <c r="O392" s="7" t="str"/>
      <c r="P392" s="15" t="str">
        <v>JIF来源</v>
      </c>
      <c r="Q392" s="15" t="str">
        <v>分区来源</v>
      </c>
      <c r="R392" s="15" t="str"/>
      <c r="S392" s="14" t="str">
        <v>https://www.nature.com/nclimate/</v>
      </c>
      <c r="T392" s="7" t="str">
        <v>ISSN匹配公开元数据；未逐站复核</v>
      </c>
      <c r="U392" s="2" t="str">
        <v>官网来源</v>
      </c>
      <c r="V392" s="2" t="n">
        <v>2026</v>
      </c>
    </row>
    <row r="393" ht="34" customHeight="1">
      <c r="A393" s="7" t="str">
        <v>Nature Sustainability</v>
      </c>
      <c r="B393" s="7" t="str">
        <v>生态环境与保护</v>
      </c>
      <c r="C393" s="11" t="n">
        <v>1</v>
      </c>
      <c r="D393" s="12" t="n">
        <v>32.1</v>
      </c>
      <c r="E393" s="13" t="n">
        <v>2025</v>
      </c>
      <c r="F393" s="7" t="str">
        <v>Nature Portfolio（含合作刊）</v>
      </c>
      <c r="G393" s="7" t="str">
        <v>领域期刊/新兴刊</v>
      </c>
      <c r="H393" s="7" t="str">
        <v>研究/方法/综合</v>
      </c>
      <c r="I393" s="10" t="n">
        <v>2025</v>
      </c>
      <c r="J393" s="2" t="str">
        <v>是</v>
      </c>
      <c r="K393" s="2" t="str">
        <v>2398-9629</v>
      </c>
      <c r="L393" s="2" t="str">
        <v>2398-9629</v>
      </c>
      <c r="M393" s="7" t="str">
        <v>ENVIRONMENTAL SCIENCES(SCIE);ENVIRONMENTAL STUDIES(SSCI);GREEN &amp; SUSTAINABLE SCIENCE &amp; TECHNOLOGY(SSCI)</v>
      </c>
      <c r="N393" s="7" t="str">
        <v>两份公开汇编一致</v>
      </c>
      <c r="O393" s="7" t="str"/>
      <c r="P393" s="15" t="str">
        <v>JIF来源</v>
      </c>
      <c r="Q393" s="15" t="str">
        <v>分区来源</v>
      </c>
      <c r="R393" s="15" t="str"/>
      <c r="S393" s="14" t="str">
        <v>https://www.nature.com/natsustain/</v>
      </c>
      <c r="T393" s="7" t="str">
        <v>ISSN匹配公开元数据；未逐站复核</v>
      </c>
      <c r="U393" s="2" t="str">
        <v>官网来源</v>
      </c>
      <c r="V393" s="2" t="n">
        <v>2026</v>
      </c>
    </row>
    <row r="394" ht="34" customHeight="1">
      <c r="A394" s="7" t="str">
        <v>Nature Geoscience</v>
      </c>
      <c r="B394" s="7" t="str">
        <v>生态环境与保护</v>
      </c>
      <c r="C394" s="11" t="n">
        <v>1</v>
      </c>
      <c r="D394" s="12" t="n">
        <v>20.6</v>
      </c>
      <c r="E394" s="13" t="n">
        <v>2025</v>
      </c>
      <c r="F394" s="7" t="str">
        <v>Nature Portfolio（含合作刊）</v>
      </c>
      <c r="G394" s="7" t="str">
        <v>领域期刊/新兴刊</v>
      </c>
      <c r="H394" s="7" t="str">
        <v>研究/方法/综合</v>
      </c>
      <c r="I394" s="10" t="n">
        <v>2025</v>
      </c>
      <c r="J394" s="2" t="str">
        <v>是</v>
      </c>
      <c r="K394" s="2" t="str">
        <v>1752-0894</v>
      </c>
      <c r="L394" s="2" t="str">
        <v>1752-0908</v>
      </c>
      <c r="M394" s="7" t="str">
        <v>GEOSCIENCES, MULTIDISCIPLINARY(SCIE)</v>
      </c>
      <c r="N394" s="7" t="str">
        <v>两份公开汇编一致</v>
      </c>
      <c r="O394" s="7" t="str"/>
      <c r="P394" s="15" t="str">
        <v>JIF来源</v>
      </c>
      <c r="Q394" s="15" t="str">
        <v>分区来源</v>
      </c>
      <c r="R394" s="15" t="str"/>
      <c r="S394" s="14" t="str">
        <v>http://www.nature.com/ngeo/</v>
      </c>
      <c r="T394" s="7" t="str">
        <v>ISSN匹配公开元数据；未逐站复核</v>
      </c>
      <c r="U394" s="2" t="str">
        <v>官网来源</v>
      </c>
      <c r="V394" s="2" t="n">
        <v>2026</v>
      </c>
    </row>
    <row r="395" ht="34" customHeight="1">
      <c r="A395" s="7" t="str">
        <v>One Earth</v>
      </c>
      <c r="B395" s="7" t="str">
        <v>生态环境与保护</v>
      </c>
      <c r="C395" s="11" t="n">
        <v>1</v>
      </c>
      <c r="D395" s="12" t="n">
        <v>15.5</v>
      </c>
      <c r="E395" s="13" t="n">
        <v>2025</v>
      </c>
      <c r="F395" s="7" t="str">
        <v>Cell Press（含合作刊）</v>
      </c>
      <c r="G395" s="7" t="str">
        <v>领域期刊/新兴刊</v>
      </c>
      <c r="H395" s="7" t="str">
        <v>研究/方法/综合</v>
      </c>
      <c r="I395" s="10" t="n">
        <v>2025</v>
      </c>
      <c r="J395" s="2" t="str">
        <v>是</v>
      </c>
      <c r="K395" s="2" t="str">
        <v>2590-3330</v>
      </c>
      <c r="L395" s="2" t="str">
        <v>2590-3322</v>
      </c>
      <c r="M395" s="7" t="str">
        <v>ENVIRONMENTAL SCIENCES(SCIE);ENVIRONMENTAL STUDIES(SSCI);GREEN &amp; SUSTAINABLE SCIENCE &amp; TECHNOLOGY(SCIE)</v>
      </c>
      <c r="N395" s="7" t="str">
        <v>两份公开汇编一致</v>
      </c>
      <c r="O395" s="7" t="str"/>
      <c r="P395" s="15" t="str">
        <v>JIF来源</v>
      </c>
      <c r="Q395" s="15" t="str">
        <v>分区来源</v>
      </c>
      <c r="R395" s="15" t="str"/>
      <c r="S395" s="14" t="str">
        <v>https://www.journals.elsevier.com/one-earth</v>
      </c>
      <c r="T395" s="7" t="str">
        <v>ISSN匹配公开元数据；未逐站复核</v>
      </c>
      <c r="U395" s="2" t="str">
        <v>官网来源</v>
      </c>
      <c r="V395" s="2" t="n">
        <v>2026</v>
      </c>
    </row>
    <row r="396" ht="34" customHeight="1">
      <c r="A396" s="7" t="str">
        <v>Nature Ecology &amp; Evolution</v>
      </c>
      <c r="B396" s="7" t="str">
        <v>生态环境与保护</v>
      </c>
      <c r="C396" s="11" t="n">
        <v>1</v>
      </c>
      <c r="D396" s="12" t="n">
        <v>17.1</v>
      </c>
      <c r="E396" s="13" t="n">
        <v>2025</v>
      </c>
      <c r="F396" s="7" t="str">
        <v>Nature Portfolio（含合作刊）</v>
      </c>
      <c r="G396" s="7" t="str">
        <v>领域期刊/新兴刊</v>
      </c>
      <c r="H396" s="7" t="str">
        <v>研究/方法/综合</v>
      </c>
      <c r="I396" s="10" t="n">
        <v>2025</v>
      </c>
      <c r="J396" s="2" t="str">
        <v>是</v>
      </c>
      <c r="K396" s="2" t="str">
        <v>2397-334X</v>
      </c>
      <c r="L396" s="2" t="str">
        <v>2397-334X</v>
      </c>
      <c r="M396" s="7" t="str">
        <v>ECOLOGY(SCIE);EVOLUTIONARY BIOLOGY(SCIE)</v>
      </c>
      <c r="N396" s="7" t="str">
        <v>两份公开汇编一致</v>
      </c>
      <c r="O396" s="7" t="str"/>
      <c r="P396" s="15" t="str">
        <v>JIF来源</v>
      </c>
      <c r="Q396" s="15" t="str">
        <v>分区来源</v>
      </c>
      <c r="R396" s="15" t="str"/>
      <c r="S396" s="14" t="str">
        <v>https://www.nature.com/natecolevol/</v>
      </c>
      <c r="T396" s="7" t="str">
        <v>ISSN匹配公开元数据；未逐站复核</v>
      </c>
      <c r="U396" s="2" t="str">
        <v>官网来源</v>
      </c>
      <c r="V396" s="2" t="n">
        <v>2026</v>
      </c>
    </row>
    <row r="397" ht="34" customHeight="1">
      <c r="A397" s="7" t="str">
        <v>Biochar</v>
      </c>
      <c r="B397" s="7" t="str">
        <v>生态环境与保护</v>
      </c>
      <c r="C397" s="11" t="n">
        <v>1</v>
      </c>
      <c r="D397" s="12" t="n">
        <v>15.1</v>
      </c>
      <c r="E397" s="13" t="n">
        <v>2025</v>
      </c>
      <c r="F397" s="7" t="str">
        <v>其他</v>
      </c>
      <c r="G397" s="7" t="str">
        <v>领域期刊/新兴刊</v>
      </c>
      <c r="H397" s="7" t="str">
        <v>研究/方法/综合</v>
      </c>
      <c r="I397" s="10" t="n">
        <v>2025</v>
      </c>
      <c r="J397" s="2" t="str">
        <v>是</v>
      </c>
      <c r="K397" s="2" t="str">
        <v>2524-7972</v>
      </c>
      <c r="L397" s="2" t="str">
        <v>2524-7867</v>
      </c>
      <c r="M397" s="7" t="str">
        <v>ENVIRONMENTAL SCIENCES(SCIE);SOIL SCIENCE(SCIE)</v>
      </c>
      <c r="N397" s="7" t="str">
        <v>两份公开汇编一致</v>
      </c>
      <c r="O397" s="7" t="str"/>
      <c r="P397" s="15" t="str">
        <v>JIF来源</v>
      </c>
      <c r="Q397" s="15" t="str">
        <v>分区来源</v>
      </c>
      <c r="R397" s="15" t="str"/>
      <c r="S397" s="14" t="str">
        <v>https://link.springer.com/journal/42773</v>
      </c>
      <c r="T397" s="7" t="str">
        <v>ISSN匹配公开元数据；未逐站复核</v>
      </c>
      <c r="U397" s="2" t="str">
        <v>官网来源</v>
      </c>
      <c r="V397" s="2" t="n">
        <v>2026</v>
      </c>
    </row>
    <row r="398" ht="34" customHeight="1">
      <c r="A398" s="7" t="str">
        <v>Microbiome</v>
      </c>
      <c r="B398" s="7" t="str">
        <v>生态环境与保护</v>
      </c>
      <c r="C398" s="11" t="n">
        <v>1</v>
      </c>
      <c r="D398" s="12" t="n">
        <v>14.9</v>
      </c>
      <c r="E398" s="13" t="n">
        <v>2025</v>
      </c>
      <c r="F398" s="7" t="str">
        <v>其他</v>
      </c>
      <c r="G398" s="7" t="str">
        <v>领域期刊/新兴刊</v>
      </c>
      <c r="H398" s="7" t="str">
        <v>研究/方法/综合</v>
      </c>
      <c r="I398" s="10" t="n">
        <v>2025</v>
      </c>
      <c r="J398" s="2" t="str">
        <v>是</v>
      </c>
      <c r="K398" s="2" t="str">
        <v>2049-2618</v>
      </c>
      <c r="L398" s="2" t="str">
        <v>2049-2618</v>
      </c>
      <c r="M398" s="7" t="str">
        <v>MICROBIOLOGY(SCIE)</v>
      </c>
      <c r="N398" s="7" t="str">
        <v>两份公开汇编一致</v>
      </c>
      <c r="O398" s="7" t="str"/>
      <c r="P398" s="15" t="str">
        <v>JIF来源</v>
      </c>
      <c r="Q398" s="15" t="str">
        <v>分区来源</v>
      </c>
      <c r="R398" s="15" t="str"/>
      <c r="S398" s="14" t="str">
        <v>https://microbiomejournal.biomedcentral.com/</v>
      </c>
      <c r="T398" s="7" t="str">
        <v>ISSN匹配公开元数据；未逐站复核</v>
      </c>
      <c r="U398" s="2" t="str">
        <v>官网来源</v>
      </c>
      <c r="V398" s="2" t="n">
        <v>2026</v>
      </c>
    </row>
    <row r="399" ht="34" customHeight="1">
      <c r="A399" s="7" t="str">
        <v>WATER RESEARCH</v>
      </c>
      <c r="B399" s="7" t="str">
        <v>生态环境与保护</v>
      </c>
      <c r="C399" s="11" t="n">
        <v>1</v>
      </c>
      <c r="D399" s="12" t="n">
        <v>12.8</v>
      </c>
      <c r="E399" s="13" t="n">
        <v>2025</v>
      </c>
      <c r="F399" s="7" t="str">
        <v>其他</v>
      </c>
      <c r="G399" s="7" t="str">
        <v>经典专业刊</v>
      </c>
      <c r="H399" s="7" t="str">
        <v>研究/方法/综合</v>
      </c>
      <c r="I399" s="10" t="n">
        <v>2025</v>
      </c>
      <c r="J399" s="2" t="str">
        <v>是</v>
      </c>
      <c r="K399" s="2" t="str">
        <v>0043-1354</v>
      </c>
      <c r="L399" s="2" t="str">
        <v>1879-2448</v>
      </c>
      <c r="M399" s="7" t="str">
        <v>ENGINEERING, ENVIRONMENTAL(SCIE);ENVIRONMENTAL SCIENCES(SCIE);WATER RESOURCES(SCIE)</v>
      </c>
      <c r="N399" s="7" t="str">
        <v>两份公开汇编一致</v>
      </c>
      <c r="O399" s="7" t="str"/>
      <c r="P399" s="15" t="str">
        <v>JIF来源</v>
      </c>
      <c r="Q399" s="15" t="str">
        <v>分区来源</v>
      </c>
      <c r="R399" s="15" t="str"/>
      <c r="S399" s="14" t="str">
        <v>http://www.elsevier.com/wps/find/journaldescription.cws_home/309/description</v>
      </c>
      <c r="T399" s="7" t="str">
        <v>ISSN匹配公开元数据；未逐站复核</v>
      </c>
      <c r="U399" s="2" t="str">
        <v>官网来源</v>
      </c>
      <c r="V399" s="2" t="n">
        <v>2026</v>
      </c>
    </row>
    <row r="400" ht="34" customHeight="1">
      <c r="A400" s="7" t="str">
        <v>GLOBAL CHANGE BIOLOGY</v>
      </c>
      <c r="B400" s="7" t="str">
        <v>生态环境与保护</v>
      </c>
      <c r="C400" s="11" t="n">
        <v>1</v>
      </c>
      <c r="D400" s="12" t="n">
        <v>12.5</v>
      </c>
      <c r="E400" s="13" t="n">
        <v>2025</v>
      </c>
      <c r="F400" s="7" t="str">
        <v>其他</v>
      </c>
      <c r="G400" s="7" t="str">
        <v>领域期刊/新兴刊</v>
      </c>
      <c r="H400" s="7" t="str">
        <v>研究/方法/综合</v>
      </c>
      <c r="I400" s="10" t="n">
        <v>2025</v>
      </c>
      <c r="J400" s="2" t="str">
        <v>是</v>
      </c>
      <c r="K400" s="2" t="str">
        <v>1354-1013</v>
      </c>
      <c r="L400" s="2" t="str">
        <v>1365-2486</v>
      </c>
      <c r="M400" s="7" t="str">
        <v>BIODIVERSITY CONSERVATION(SCIE);ECOLOGY(SCIE);ENVIRONMENTAL SCIENCES(SCIE)</v>
      </c>
      <c r="N400" s="7" t="str">
        <v>两份公开汇编一致</v>
      </c>
      <c r="O400" s="7" t="str"/>
      <c r="P400" s="15" t="str">
        <v>JIF来源</v>
      </c>
      <c r="Q400" s="15" t="str">
        <v>分区来源</v>
      </c>
      <c r="R400" s="15" t="str"/>
      <c r="S400" s="14" t="str">
        <v>https://onlinelibrary.wiley.com/journal/13652486</v>
      </c>
      <c r="T400" s="7" t="str">
        <v>ISSN匹配公开元数据；未逐站复核</v>
      </c>
      <c r="U400" s="2" t="str">
        <v>官网来源</v>
      </c>
      <c r="V400" s="2" t="n">
        <v>2026</v>
      </c>
    </row>
    <row r="401" ht="34" customHeight="1">
      <c r="A401" s="7" t="str">
        <v>ENVIRONMENTAL SCIENCE &amp; TECHNOLOGY</v>
      </c>
      <c r="B401" s="7" t="str">
        <v>生态环境与保护</v>
      </c>
      <c r="C401" s="11" t="n">
        <v>1</v>
      </c>
      <c r="D401" s="12" t="n">
        <v>12.2</v>
      </c>
      <c r="E401" s="13" t="n">
        <v>2025</v>
      </c>
      <c r="F401" s="7" t="str">
        <v>其他</v>
      </c>
      <c r="G401" s="7" t="str">
        <v>经典专业刊</v>
      </c>
      <c r="H401" s="7" t="str">
        <v>研究/方法/综合</v>
      </c>
      <c r="I401" s="10" t="n">
        <v>2025</v>
      </c>
      <c r="J401" s="2" t="str">
        <v>是</v>
      </c>
      <c r="K401" s="2" t="str">
        <v>0013-936X</v>
      </c>
      <c r="L401" s="2" t="str">
        <v>1520-5851</v>
      </c>
      <c r="M401" s="7" t="str">
        <v>ENGINEERING, ENVIRONMENTAL(SCIE);ENVIRONMENTAL SCIENCES(SCIE)</v>
      </c>
      <c r="N401" s="7" t="str">
        <v>两份公开汇编一致</v>
      </c>
      <c r="O401" s="7" t="str"/>
      <c r="P401" s="15" t="str">
        <v>JIF来源</v>
      </c>
      <c r="Q401" s="15" t="str">
        <v>分区来源</v>
      </c>
      <c r="R401" s="15" t="str"/>
      <c r="S401" s="14" t="str">
        <v>http://pubs.acs.org/journals/esthag/</v>
      </c>
      <c r="T401" s="7" t="str">
        <v>ISSN匹配公开元数据；未逐站复核</v>
      </c>
      <c r="U401" s="2" t="str">
        <v>官网来源</v>
      </c>
      <c r="V401" s="2" t="n">
        <v>2026</v>
      </c>
    </row>
    <row r="402" ht="34" customHeight="1">
      <c r="A402" s="7" t="str">
        <v>JOURNAL OF HAZARDOUS MATERIALS</v>
      </c>
      <c r="B402" s="7" t="str">
        <v>生态环境与保护</v>
      </c>
      <c r="C402" s="11" t="n">
        <v>1</v>
      </c>
      <c r="D402" s="12" t="n">
        <v>10.6</v>
      </c>
      <c r="E402" s="13" t="n">
        <v>2025</v>
      </c>
      <c r="F402" s="7" t="str">
        <v>其他</v>
      </c>
      <c r="G402" s="7" t="str">
        <v>领域期刊/新兴刊</v>
      </c>
      <c r="H402" s="7" t="str">
        <v>研究/方法/综合</v>
      </c>
      <c r="I402" s="10" t="n">
        <v>2025</v>
      </c>
      <c r="J402" s="2" t="str">
        <v>是</v>
      </c>
      <c r="K402" s="2" t="str">
        <v>0304-3894</v>
      </c>
      <c r="L402" s="2" t="str">
        <v>1873-3336</v>
      </c>
      <c r="M402" s="7" t="str">
        <v>ENGINEERING, ENVIRONMENTAL(SCIE);ENVIRONMENTAL SCIENCES(SCIE)</v>
      </c>
      <c r="N402" s="7" t="str">
        <v>两份公开汇编一致</v>
      </c>
      <c r="O402" s="7" t="str"/>
      <c r="P402" s="15" t="str">
        <v>JIF来源</v>
      </c>
      <c r="Q402" s="15" t="str">
        <v>分区来源</v>
      </c>
      <c r="R402" s="15" t="str"/>
      <c r="S402" s="14" t="str">
        <v>https://www.journals.elsevier.com/journal-of-hazardous-materials</v>
      </c>
      <c r="T402" s="7" t="str">
        <v>ISSN匹配公开元数据；未逐站复核</v>
      </c>
      <c r="U402" s="2" t="str">
        <v>官网来源</v>
      </c>
      <c r="V402" s="2" t="n">
        <v>2026</v>
      </c>
    </row>
    <row r="403" ht="34" customHeight="1">
      <c r="A403" s="7" t="str">
        <v>RESOURCES CONSERVATION AND RECYCLING</v>
      </c>
      <c r="B403" s="7" t="str">
        <v>生态环境与保护</v>
      </c>
      <c r="C403" s="11" t="n">
        <v>1</v>
      </c>
      <c r="D403" s="12" t="n">
        <v>10.4</v>
      </c>
      <c r="E403" s="13" t="n">
        <v>2025</v>
      </c>
      <c r="F403" s="7" t="str">
        <v>其他</v>
      </c>
      <c r="G403" s="7" t="str">
        <v>领域期刊/新兴刊</v>
      </c>
      <c r="H403" s="7" t="str">
        <v>研究/方法/综合</v>
      </c>
      <c r="I403" s="10" t="n">
        <v>2025</v>
      </c>
      <c r="J403" s="2" t="str">
        <v>是</v>
      </c>
      <c r="K403" s="2" t="str">
        <v>0921-3449</v>
      </c>
      <c r="L403" s="2" t="str">
        <v>1879-0658</v>
      </c>
      <c r="M403" s="7" t="str">
        <v>ENGINEERING, ENVIRONMENTAL(SCIE);ENVIRONMENTAL SCIENCES(SCIE)</v>
      </c>
      <c r="N403" s="7" t="str">
        <v>两份公开汇编一致</v>
      </c>
      <c r="O403" s="7" t="str"/>
      <c r="P403" s="15" t="str">
        <v>JIF来源</v>
      </c>
      <c r="Q403" s="15" t="str">
        <v>分区来源</v>
      </c>
      <c r="R403" s="15" t="str"/>
      <c r="S403" s="14" t="str">
        <v>https://www.journals.elsevier.com/resources-conservation-and-recycling</v>
      </c>
      <c r="T403" s="7" t="str">
        <v>ISSN匹配公开元数据；未逐站复核</v>
      </c>
      <c r="U403" s="2" t="str">
        <v>官网来源</v>
      </c>
      <c r="V403" s="2" t="n">
        <v>2026</v>
      </c>
    </row>
    <row r="404" ht="34" customHeight="1">
      <c r="A404" s="7" t="str">
        <v>ISME Journal</v>
      </c>
      <c r="B404" s="7" t="str">
        <v>生态环境与保护</v>
      </c>
      <c r="C404" s="11" t="n">
        <v>1</v>
      </c>
      <c r="D404" s="12" t="n">
        <v>10.2</v>
      </c>
      <c r="E404" s="13" t="n">
        <v>2025</v>
      </c>
      <c r="F404" s="7" t="str">
        <v>其他</v>
      </c>
      <c r="G404" s="7" t="str">
        <v>领域期刊/新兴刊</v>
      </c>
      <c r="H404" s="7" t="str">
        <v>研究/方法/综合</v>
      </c>
      <c r="I404" s="10" t="n">
        <v>2025</v>
      </c>
      <c r="J404" s="2" t="str">
        <v>是</v>
      </c>
      <c r="K404" s="2" t="str">
        <v>1751-7362</v>
      </c>
      <c r="L404" s="2" t="str">
        <v>1751-7370</v>
      </c>
      <c r="M404" s="7" t="str">
        <v>ECOLOGY(SCIE);MICROBIOLOGY(SCIE)</v>
      </c>
      <c r="N404" s="7" t="str">
        <v>两份公开汇编一致</v>
      </c>
      <c r="O404" s="7" t="str"/>
      <c r="P404" s="15" t="str">
        <v>JIF来源</v>
      </c>
      <c r="Q404" s="15" t="str">
        <v>分区来源</v>
      </c>
      <c r="R404" s="15" t="str"/>
      <c r="S404" s="14" t="str">
        <v>https://www.nature.com/ismej/</v>
      </c>
      <c r="T404" s="7" t="str">
        <v>ISSN匹配公开元数据；未逐站复核</v>
      </c>
      <c r="U404" s="2" t="str">
        <v>官网来源</v>
      </c>
      <c r="V404" s="2" t="n">
        <v>2026</v>
      </c>
    </row>
    <row r="405" ht="34" customHeight="1">
      <c r="A405" s="7" t="str">
        <v>Journal of Cleaner Production</v>
      </c>
      <c r="B405" s="7" t="str">
        <v>生态环境与保护</v>
      </c>
      <c r="C405" s="11" t="n">
        <v>1</v>
      </c>
      <c r="D405" s="12" t="n">
        <v>10.7</v>
      </c>
      <c r="E405" s="13" t="n">
        <v>2025</v>
      </c>
      <c r="F405" s="7" t="str">
        <v>其他</v>
      </c>
      <c r="G405" s="7" t="str">
        <v>领域期刊/新兴刊</v>
      </c>
      <c r="H405" s="7" t="str">
        <v>研究/方法/综合</v>
      </c>
      <c r="I405" s="10" t="n">
        <v>2025</v>
      </c>
      <c r="J405" s="2" t="str">
        <v>是</v>
      </c>
      <c r="K405" s="2" t="str">
        <v>0959-6526</v>
      </c>
      <c r="L405" s="2" t="str">
        <v>1879-1786</v>
      </c>
      <c r="M405" s="7" t="str">
        <v>ENGINEERING, ENVIRONMENTAL(SCIE);ENVIRONMENTAL SCIENCES(SCIE);GREEN &amp; SUSTAINABLE SCIENCE &amp; TECHNOLOGY(SCIE)</v>
      </c>
      <c r="N405" s="7" t="str">
        <v>两份公开汇编一致</v>
      </c>
      <c r="O405" s="7" t="str"/>
      <c r="P405" s="15" t="str">
        <v>JIF来源</v>
      </c>
      <c r="Q405" s="15" t="str">
        <v>分区来源</v>
      </c>
      <c r="R405" s="15" t="str"/>
      <c r="S405" s="14" t="str">
        <v>https://www.journals.elsevier.com/journal-of-cleaner-production</v>
      </c>
      <c r="T405" s="7" t="str">
        <v>ISSN匹配公开元数据；未逐站复核</v>
      </c>
      <c r="U405" s="2" t="str">
        <v>官网来源</v>
      </c>
      <c r="V405" s="2" t="n">
        <v>2026</v>
      </c>
    </row>
    <row r="406" ht="34" customHeight="1">
      <c r="A406" s="7" t="str">
        <v>ENVIRONMENT INTERNATIONAL</v>
      </c>
      <c r="B406" s="7" t="str">
        <v>生态环境与保护</v>
      </c>
      <c r="C406" s="11" t="n">
        <v>1</v>
      </c>
      <c r="D406" s="12" t="n">
        <v>10.2</v>
      </c>
      <c r="E406" s="13" t="n">
        <v>2025</v>
      </c>
      <c r="F406" s="7" t="str">
        <v>其他</v>
      </c>
      <c r="G406" s="7" t="str">
        <v>领域期刊/新兴刊</v>
      </c>
      <c r="H406" s="7" t="str">
        <v>研究/方法/综合</v>
      </c>
      <c r="I406" s="10" t="n">
        <v>2025</v>
      </c>
      <c r="J406" s="2" t="str">
        <v>是</v>
      </c>
      <c r="K406" s="2" t="str">
        <v>0160-4120</v>
      </c>
      <c r="L406" s="2" t="str">
        <v>1873-6750</v>
      </c>
      <c r="M406" s="7" t="str">
        <v>ENVIRONMENTAL SCIENCES(SCIE)</v>
      </c>
      <c r="N406" s="7" t="str">
        <v>两份公开汇编一致</v>
      </c>
      <c r="O406" s="7" t="str"/>
      <c r="P406" s="15" t="str">
        <v>JIF来源</v>
      </c>
      <c r="Q406" s="15" t="str">
        <v>分区来源</v>
      </c>
      <c r="R406" s="15" t="str"/>
      <c r="S406" s="14" t="str">
        <v>https://www.journals.elsevier.com/environment-international</v>
      </c>
      <c r="T406" s="7" t="str">
        <v>ISSN匹配公开元数据；未逐站复核</v>
      </c>
      <c r="U406" s="2" t="str">
        <v>官网来源</v>
      </c>
      <c r="V406" s="2" t="n">
        <v>2026</v>
      </c>
    </row>
    <row r="407" ht="34" customHeight="1">
      <c r="A407" s="7" t="str">
        <v>LANDSCAPE AND URBAN PLANNING</v>
      </c>
      <c r="B407" s="7" t="str">
        <v>生态环境与保护</v>
      </c>
      <c r="C407" s="11" t="n">
        <v>1</v>
      </c>
      <c r="D407" s="12" t="n">
        <v>11.4</v>
      </c>
      <c r="E407" s="13" t="n">
        <v>2025</v>
      </c>
      <c r="F407" s="7" t="str">
        <v>其他</v>
      </c>
      <c r="G407" s="7" t="str">
        <v>领域期刊/新兴刊</v>
      </c>
      <c r="H407" s="7" t="str">
        <v>研究/方法/综合</v>
      </c>
      <c r="I407" s="10" t="n">
        <v>2025</v>
      </c>
      <c r="J407" s="2" t="str">
        <v>是</v>
      </c>
      <c r="K407" s="2" t="str">
        <v>0169-2046</v>
      </c>
      <c r="L407" s="2" t="str">
        <v>1872-6062</v>
      </c>
      <c r="M407" s="7" t="str">
        <v>ECOLOGY(SCIE);ENVIRONMENTAL STUDIES(SSCI);GEOGRAPHY(SSCI);GEOGRAPHY, PHYSICAL(SCIE);REGIONAL &amp; URBAN PLANNING(SSCI);URBAN STUDIES(SSCI)</v>
      </c>
      <c r="N407" s="7" t="str">
        <v>两份公开汇编一致</v>
      </c>
      <c r="O407" s="7" t="str"/>
      <c r="P407" s="15" t="str">
        <v>JIF来源</v>
      </c>
      <c r="Q407" s="15" t="str">
        <v>分区来源</v>
      </c>
      <c r="R407" s="15" t="str"/>
      <c r="S407" s="14" t="str">
        <v>https://www.journals.elsevier.com/landscape-and-urban-planning</v>
      </c>
      <c r="T407" s="7" t="str">
        <v>ISSN匹配公开元数据；未逐站复核</v>
      </c>
      <c r="U407" s="2" t="str">
        <v>官网来源</v>
      </c>
      <c r="V407" s="2" t="n">
        <v>2026</v>
      </c>
    </row>
    <row r="408" ht="34" customHeight="1">
      <c r="A408" s="7" t="str">
        <v>BIORESOURCE TECHNOLOGY</v>
      </c>
      <c r="B408" s="7" t="str">
        <v>生态环境与保护</v>
      </c>
      <c r="C408" s="11" t="n">
        <v>1</v>
      </c>
      <c r="D408" s="12" t="n">
        <v>8.2</v>
      </c>
      <c r="E408" s="13" t="n">
        <v>2025</v>
      </c>
      <c r="F408" s="7" t="str">
        <v>其他</v>
      </c>
      <c r="G408" s="7" t="str">
        <v>领域期刊/新兴刊</v>
      </c>
      <c r="H408" s="7" t="str">
        <v>研究/方法/综合</v>
      </c>
      <c r="I408" s="10" t="n">
        <v>2025</v>
      </c>
      <c r="J408" s="2" t="str">
        <v>是</v>
      </c>
      <c r="K408" s="2" t="str">
        <v>0960-8524</v>
      </c>
      <c r="L408" s="2" t="str">
        <v>1873-2976</v>
      </c>
      <c r="M408" s="7" t="str">
        <v>AGRICULTURAL ENGINEERING(SCIE);BIOTECHNOLOGY &amp; APPLIED MICROBIOLOGY(SCIE);ENERGY &amp; FUELS(SCIE)</v>
      </c>
      <c r="N408" s="7" t="str">
        <v>两份公开汇编一致</v>
      </c>
      <c r="O408" s="7" t="str"/>
      <c r="P408" s="15" t="str">
        <v>JIF来源</v>
      </c>
      <c r="Q408" s="15" t="str">
        <v>分区来源</v>
      </c>
      <c r="R408" s="15" t="str"/>
      <c r="S408" s="14" t="str">
        <v>http://journals.elsevier.com/09608524/bioresource-technology/</v>
      </c>
      <c r="T408" s="7" t="str">
        <v>ISSN匹配公开元数据；未逐站复核</v>
      </c>
      <c r="U408" s="2" t="str">
        <v>官网来源</v>
      </c>
      <c r="V408" s="2" t="n">
        <v>2026</v>
      </c>
    </row>
    <row r="409" ht="34" customHeight="1">
      <c r="A409" s="7" t="str">
        <v>Communications Earth &amp; Environment</v>
      </c>
      <c r="B409" s="7" t="str">
        <v>生态环境与保护</v>
      </c>
      <c r="C409" s="11" t="n">
        <v>1</v>
      </c>
      <c r="D409" s="12" t="n">
        <v>9.3</v>
      </c>
      <c r="E409" s="13" t="n">
        <v>2025</v>
      </c>
      <c r="F409" s="7" t="str">
        <v>Nature Portfolio（含合作刊）</v>
      </c>
      <c r="G409" s="7" t="str">
        <v>领域期刊/新兴刊</v>
      </c>
      <c r="H409" s="7" t="str">
        <v>研究/方法/综合</v>
      </c>
      <c r="I409" s="10" t="n">
        <v>2025</v>
      </c>
      <c r="J409" s="2" t="str">
        <v>是</v>
      </c>
      <c r="K409" s="2" t="str"/>
      <c r="L409" s="2" t="str">
        <v>2662-4435</v>
      </c>
      <c r="M409" s="7" t="str">
        <v>ENVIRONMENTAL SCIENCES(SCIE);GEOSCIENCES, MULTIDISCIPLINARY(SCIE);METEOROLOGY &amp; ATMOSPHERIC SCIENCES(SCIE)</v>
      </c>
      <c r="N409" s="7" t="str">
        <v>两份公开汇编一致</v>
      </c>
      <c r="O409" s="7" t="str"/>
      <c r="P409" s="15" t="str">
        <v>JIF来源</v>
      </c>
      <c r="Q409" s="15" t="str">
        <v>分区来源</v>
      </c>
      <c r="R409" s="15" t="str"/>
      <c r="S409" s="14" t="str">
        <v>https://www.nature.com/commsenv/</v>
      </c>
      <c r="T409" s="7" t="str">
        <v>ISSN匹配公开元数据；未逐站复核</v>
      </c>
      <c r="U409" s="2" t="str">
        <v>官网来源</v>
      </c>
      <c r="V409" s="2" t="n">
        <v>2026</v>
      </c>
    </row>
    <row r="410" ht="34" customHeight="1">
      <c r="A410" s="7" t="str">
        <v>npj Climate and Atmospheric Science</v>
      </c>
      <c r="B410" s="7" t="str">
        <v>生态环境与保护</v>
      </c>
      <c r="C410" s="11" t="n">
        <v>1</v>
      </c>
      <c r="D410" s="12" t="n">
        <v>9.6</v>
      </c>
      <c r="E410" s="13" t="n">
        <v>2025</v>
      </c>
      <c r="F410" s="7" t="str">
        <v>Nature Portfolio（含合作刊）</v>
      </c>
      <c r="G410" s="7" t="str">
        <v>领域期刊/新兴刊</v>
      </c>
      <c r="H410" s="7" t="str">
        <v>研究/方法/综合</v>
      </c>
      <c r="I410" s="10" t="n">
        <v>2025</v>
      </c>
      <c r="J410" s="2" t="str">
        <v>是</v>
      </c>
      <c r="K410" s="2" t="str">
        <v>2397-3722</v>
      </c>
      <c r="L410" s="2" t="str">
        <v>2397-3722</v>
      </c>
      <c r="M410" s="7" t="str">
        <v>METEOROLOGY &amp; ATMOSPHERIC SCIENCES(SCIE)</v>
      </c>
      <c r="N410" s="7" t="str">
        <v>两份公开汇编一致</v>
      </c>
      <c r="O410" s="7" t="str"/>
      <c r="P410" s="15" t="str">
        <v>JIF来源</v>
      </c>
      <c r="Q410" s="15" t="str">
        <v>分区来源</v>
      </c>
      <c r="R410" s="15" t="str"/>
      <c r="S410" s="14" t="str">
        <v>https://www.nature.com/npjclimatsci/</v>
      </c>
      <c r="T410" s="7" t="str">
        <v>ISSN匹配公开元数据；未逐站复核</v>
      </c>
      <c r="U410" s="2" t="str">
        <v>官网来源</v>
      </c>
      <c r="V410" s="2" t="n">
        <v>2026</v>
      </c>
    </row>
    <row r="411" ht="34" customHeight="1">
      <c r="A411" s="7" t="str">
        <v>ECOLOGY LETTERS</v>
      </c>
      <c r="B411" s="7" t="str">
        <v>生态环境与保护</v>
      </c>
      <c r="C411" s="11" t="n">
        <v>1</v>
      </c>
      <c r="D411" s="12" t="n">
        <v>7.7</v>
      </c>
      <c r="E411" s="13" t="n">
        <v>2025</v>
      </c>
      <c r="F411" s="7" t="str">
        <v>其他</v>
      </c>
      <c r="G411" s="7" t="str">
        <v>领域期刊/新兴刊</v>
      </c>
      <c r="H411" s="7" t="str">
        <v>研究/方法/综合</v>
      </c>
      <c r="I411" s="10" t="n">
        <v>2025</v>
      </c>
      <c r="J411" s="2" t="str">
        <v>是</v>
      </c>
      <c r="K411" s="2" t="str">
        <v>1461-023X</v>
      </c>
      <c r="L411" s="2" t="str">
        <v>1461-0248</v>
      </c>
      <c r="M411" s="7" t="str">
        <v>ECOLOGY(SCIE)</v>
      </c>
      <c r="N411" s="7" t="str">
        <v>两份公开汇编一致</v>
      </c>
      <c r="O411" s="7" t="str"/>
      <c r="P411" s="15" t="str">
        <v>JIF来源</v>
      </c>
      <c r="Q411" s="15" t="str">
        <v>分区来源</v>
      </c>
      <c r="R411" s="15" t="str"/>
      <c r="S411" s="14" t="str">
        <v>http://onlinelibrary.wiley.com/journal/10.1111/(ISSN)1461-0248</v>
      </c>
      <c r="T411" s="7" t="str">
        <v>ISSN匹配公开元数据；未逐站复核</v>
      </c>
      <c r="U411" s="2" t="str">
        <v>官网来源</v>
      </c>
      <c r="V411" s="2" t="n">
        <v>2026</v>
      </c>
    </row>
    <row r="412" ht="34" customHeight="1">
      <c r="A412" s="7" t="str">
        <v>FRONTIERS IN ECOLOGY AND THE ENVIRONMENT</v>
      </c>
      <c r="B412" s="7" t="str">
        <v>生态环境与保护</v>
      </c>
      <c r="C412" s="11" t="n">
        <v>1</v>
      </c>
      <c r="D412" s="12" t="n">
        <v>6.5</v>
      </c>
      <c r="E412" s="13" t="n">
        <v>2025</v>
      </c>
      <c r="F412" s="7" t="str">
        <v>其他</v>
      </c>
      <c r="G412" s="7" t="str">
        <v>领域期刊/新兴刊</v>
      </c>
      <c r="H412" s="7" t="str">
        <v>研究/方法/综合</v>
      </c>
      <c r="I412" s="10" t="n">
        <v>2025</v>
      </c>
      <c r="J412" s="2" t="str">
        <v>是</v>
      </c>
      <c r="K412" s="2" t="str">
        <v>1540-9295</v>
      </c>
      <c r="L412" s="2" t="str">
        <v>1540-9309</v>
      </c>
      <c r="M412" s="7" t="str">
        <v>ECOLOGY(SCIE);ENVIRONMENTAL SCIENCES(SCIE)</v>
      </c>
      <c r="N412" s="7" t="str">
        <v>两份公开汇编一致</v>
      </c>
      <c r="O412" s="7" t="str"/>
      <c r="P412" s="15" t="str">
        <v>JIF来源</v>
      </c>
      <c r="Q412" s="15" t="str">
        <v>分区来源</v>
      </c>
      <c r="R412" s="15" t="str"/>
      <c r="S412" s="14" t="str">
        <v>https://esajournals.onlinelibrary.wiley.com/journal/15409309/</v>
      </c>
      <c r="T412" s="7" t="str">
        <v>ISSN匹配公开元数据；未逐站复核</v>
      </c>
      <c r="U412" s="2" t="str">
        <v>官网来源</v>
      </c>
      <c r="V412" s="2" t="n">
        <v>2026</v>
      </c>
    </row>
    <row r="413" ht="34" customHeight="1">
      <c r="A413" s="7" t="str">
        <v>Ecological Indicators</v>
      </c>
      <c r="B413" s="7" t="str">
        <v>生态环境与保护</v>
      </c>
      <c r="C413" s="11" t="n">
        <v>1</v>
      </c>
      <c r="D413" s="12" t="n">
        <v>8.7</v>
      </c>
      <c r="E413" s="13" t="n">
        <v>2025</v>
      </c>
      <c r="F413" s="7" t="str">
        <v>其他</v>
      </c>
      <c r="G413" s="7" t="str">
        <v>领域期刊/新兴刊</v>
      </c>
      <c r="H413" s="7" t="str">
        <v>研究/方法/综合</v>
      </c>
      <c r="I413" s="10" t="n">
        <v>2025</v>
      </c>
      <c r="J413" s="2" t="str">
        <v>是</v>
      </c>
      <c r="K413" s="2" t="str">
        <v>1470-160X</v>
      </c>
      <c r="L413" s="2" t="str">
        <v>1872-7034</v>
      </c>
      <c r="M413" s="7" t="str">
        <v>ENVIRONMENTAL SCIENCES(SCIE)</v>
      </c>
      <c r="N413" s="7" t="str">
        <v>两份公开汇编一致</v>
      </c>
      <c r="O413" s="7" t="str"/>
      <c r="P413" s="15" t="str">
        <v>JIF来源</v>
      </c>
      <c r="Q413" s="15" t="str">
        <v>分区来源</v>
      </c>
      <c r="R413" s="15" t="str"/>
      <c r="S413" s="14" t="str">
        <v>https://www.journals.elsevier.com/ecological-indicators</v>
      </c>
      <c r="T413" s="7" t="str">
        <v>ISSN匹配公开元数据；未逐站复核</v>
      </c>
      <c r="U413" s="2" t="str">
        <v>官网来源</v>
      </c>
      <c r="V413" s="2" t="n">
        <v>2026</v>
      </c>
    </row>
    <row r="414" ht="34" customHeight="1">
      <c r="A414" s="7" t="str">
        <v>GLOBAL ECOLOGY AND BIOGEOGRAPHY</v>
      </c>
      <c r="B414" s="7" t="str">
        <v>生态环境与保护</v>
      </c>
      <c r="C414" s="11" t="n">
        <v>1</v>
      </c>
      <c r="D414" s="12" t="n">
        <v>6.5</v>
      </c>
      <c r="E414" s="13" t="n">
        <v>2025</v>
      </c>
      <c r="F414" s="7" t="str">
        <v>其他</v>
      </c>
      <c r="G414" s="7" t="str">
        <v>领域期刊/新兴刊</v>
      </c>
      <c r="H414" s="7" t="str">
        <v>研究/方法/综合</v>
      </c>
      <c r="I414" s="10" t="n">
        <v>2025</v>
      </c>
      <c r="J414" s="2" t="str">
        <v>是</v>
      </c>
      <c r="K414" s="2" t="str">
        <v>1466-822X</v>
      </c>
      <c r="L414" s="2" t="str">
        <v>1466-8238</v>
      </c>
      <c r="M414" s="7" t="str">
        <v>ECOLOGY(SCIE);GEOGRAPHY, PHYSICAL(SCIE)</v>
      </c>
      <c r="N414" s="7" t="str">
        <v>两份公开汇编一致</v>
      </c>
      <c r="O414" s="7" t="str"/>
      <c r="P414" s="15" t="str">
        <v>JIF来源</v>
      </c>
      <c r="Q414" s="15" t="str">
        <v>分区来源</v>
      </c>
      <c r="R414" s="15" t="str"/>
      <c r="S414" s="14" t="str">
        <v>http://onlinelibrary.wiley.com/journal/10.1111/(ISSN)1466-8238</v>
      </c>
      <c r="T414" s="7" t="str">
        <v>ISSN匹配公开元数据；未逐站复核</v>
      </c>
      <c r="U414" s="2" t="str">
        <v>官网来源</v>
      </c>
      <c r="V414" s="2" t="n">
        <v>2026</v>
      </c>
    </row>
    <row r="415" ht="34" customHeight="1">
      <c r="A415" s="7" t="str">
        <v>Conservation Letters</v>
      </c>
      <c r="B415" s="7" t="str">
        <v>生态环境与保护</v>
      </c>
      <c r="C415" s="11" t="n">
        <v>1</v>
      </c>
      <c r="D415" s="12" t="n">
        <v>5.5</v>
      </c>
      <c r="E415" s="13" t="n">
        <v>2025</v>
      </c>
      <c r="F415" s="7" t="str">
        <v>其他</v>
      </c>
      <c r="G415" s="7" t="str">
        <v>领域期刊/新兴刊</v>
      </c>
      <c r="H415" s="7" t="str">
        <v>研究/方法/综合</v>
      </c>
      <c r="I415" s="10" t="n">
        <v>2025</v>
      </c>
      <c r="J415" s="2" t="str">
        <v>是</v>
      </c>
      <c r="K415" s="2" t="str">
        <v>1755-263X</v>
      </c>
      <c r="L415" s="2" t="str">
        <v>1755-263X</v>
      </c>
      <c r="M415" s="7" t="str">
        <v>BIODIVERSITY CONSERVATION(SCIE)</v>
      </c>
      <c r="N415" s="7" t="str">
        <v>两份公开汇编一致</v>
      </c>
      <c r="O415" s="7" t="str"/>
      <c r="P415" s="15" t="str">
        <v>JIF来源</v>
      </c>
      <c r="Q415" s="15" t="str">
        <v>分区来源</v>
      </c>
      <c r="R415" s="15" t="str"/>
      <c r="S415" s="14" t="str">
        <v>https://conbio.onlinelibrary.wiley.com/journal/1755263x</v>
      </c>
      <c r="T415" s="7" t="str">
        <v>ISSN匹配公开元数据；未逐站复核</v>
      </c>
      <c r="U415" s="2" t="str">
        <v>官网来源</v>
      </c>
      <c r="V415" s="2" t="n">
        <v>2026</v>
      </c>
    </row>
    <row r="416" ht="34" customHeight="1">
      <c r="A416" s="7" t="str">
        <v>JOURNAL OF ECOLOGY</v>
      </c>
      <c r="B416" s="7" t="str">
        <v>生态环境与保护</v>
      </c>
      <c r="C416" s="11" t="n">
        <v>1</v>
      </c>
      <c r="D416" s="12" t="n">
        <v>6.3</v>
      </c>
      <c r="E416" s="13" t="n">
        <v>2025</v>
      </c>
      <c r="F416" s="7" t="str">
        <v>其他</v>
      </c>
      <c r="G416" s="7" t="str">
        <v>经典专业刊</v>
      </c>
      <c r="H416" s="7" t="str">
        <v>研究/方法/综合</v>
      </c>
      <c r="I416" s="10" t="n">
        <v>2025</v>
      </c>
      <c r="J416" s="2" t="str">
        <v>是</v>
      </c>
      <c r="K416" s="2" t="str">
        <v>0022-0477</v>
      </c>
      <c r="L416" s="2" t="str">
        <v>1365-2745</v>
      </c>
      <c r="M416" s="7" t="str">
        <v>ECOLOGY(SCIE);PLANT SCIENCES(SCIE)</v>
      </c>
      <c r="N416" s="7" t="str">
        <v>两份公开汇编一致</v>
      </c>
      <c r="O416" s="7" t="str"/>
      <c r="P416" s="15" t="str">
        <v>JIF来源</v>
      </c>
      <c r="Q416" s="15" t="str">
        <v>分区来源</v>
      </c>
      <c r="R416" s="15" t="str"/>
      <c r="S416" s="14" t="str">
        <v>http://www.journalofecology.org/</v>
      </c>
      <c r="T416" s="7" t="str">
        <v>ISSN匹配公开元数据；未逐站复核</v>
      </c>
      <c r="U416" s="2" t="str">
        <v>官网来源</v>
      </c>
      <c r="V416" s="2" t="n">
        <v>2026</v>
      </c>
    </row>
    <row r="417" ht="34" customHeight="1">
      <c r="A417" s="7" t="str">
        <v>CONSERVATION BIOLOGY</v>
      </c>
      <c r="B417" s="7" t="str">
        <v>生态环境与保护</v>
      </c>
      <c r="C417" s="11" t="n">
        <v>1</v>
      </c>
      <c r="D417" s="12" t="n">
        <v>5.2</v>
      </c>
      <c r="E417" s="13" t="n">
        <v>2025</v>
      </c>
      <c r="F417" s="7" t="str">
        <v>其他</v>
      </c>
      <c r="G417" s="7" t="str">
        <v>经典专业刊</v>
      </c>
      <c r="H417" s="7" t="str">
        <v>研究/方法/综合</v>
      </c>
      <c r="I417" s="10" t="n">
        <v>2025</v>
      </c>
      <c r="J417" s="2" t="str">
        <v>是</v>
      </c>
      <c r="K417" s="2" t="str">
        <v>0888-8892</v>
      </c>
      <c r="L417" s="2" t="str">
        <v>1523-1739</v>
      </c>
      <c r="M417" s="7" t="str">
        <v>BIODIVERSITY CONSERVATION(SCIE);ECOLOGY(SCIE);ENVIRONMENTAL SCIENCES(SCIE)</v>
      </c>
      <c r="N417" s="7" t="str">
        <v>两份公开汇编一致</v>
      </c>
      <c r="O417" s="7" t="str"/>
      <c r="P417" s="15" t="str">
        <v>JIF来源</v>
      </c>
      <c r="Q417" s="15" t="str">
        <v>分区来源</v>
      </c>
      <c r="R417" s="15" t="str"/>
      <c r="S417" s="14" t="str">
        <v>https://conbio.onlinelibrary.wiley.com/journal/15231739</v>
      </c>
      <c r="T417" s="7" t="str">
        <v>ISSN匹配公开元数据；未逐站复核</v>
      </c>
      <c r="U417" s="2" t="str">
        <v>官网来源</v>
      </c>
      <c r="V417" s="2" t="n">
        <v>2026</v>
      </c>
    </row>
    <row r="418" ht="34" customHeight="1">
      <c r="A418" s="7" t="str">
        <v>FUNCTIONAL ECOLOGY</v>
      </c>
      <c r="B418" s="7" t="str">
        <v>生态环境与保护</v>
      </c>
      <c r="C418" s="11" t="n">
        <v>1</v>
      </c>
      <c r="D418" s="12" t="n">
        <v>5.5</v>
      </c>
      <c r="E418" s="13" t="n">
        <v>2025</v>
      </c>
      <c r="F418" s="7" t="str">
        <v>其他</v>
      </c>
      <c r="G418" s="7" t="str">
        <v>领域期刊/新兴刊</v>
      </c>
      <c r="H418" s="7" t="str">
        <v>研究/方法/综合</v>
      </c>
      <c r="I418" s="10" t="n">
        <v>2025</v>
      </c>
      <c r="J418" s="2" t="str">
        <v>是</v>
      </c>
      <c r="K418" s="2" t="str">
        <v>0269-8463</v>
      </c>
      <c r="L418" s="2" t="str">
        <v>1365-2435</v>
      </c>
      <c r="M418" s="7" t="str">
        <v>ECOLOGY(SCIE)</v>
      </c>
      <c r="N418" s="7" t="str">
        <v>两份公开汇编一致</v>
      </c>
      <c r="O418" s="7" t="str"/>
      <c r="P418" s="15" t="str">
        <v>JIF来源</v>
      </c>
      <c r="Q418" s="15" t="str">
        <v>分区来源</v>
      </c>
      <c r="R418" s="15" t="str"/>
      <c r="S418" s="14" t="str">
        <v>http://www.functionalecology.org/</v>
      </c>
      <c r="T418" s="7" t="str">
        <v>ISSN匹配公开元数据；未逐站复核</v>
      </c>
      <c r="U418" s="2" t="str">
        <v>官网来源</v>
      </c>
      <c r="V418" s="2" t="n">
        <v>2026</v>
      </c>
    </row>
    <row r="419" ht="34" customHeight="1">
      <c r="A419" s="7" t="str">
        <v>JOURNAL OF APPLIED ECOLOGY</v>
      </c>
      <c r="B419" s="7" t="str">
        <v>生态环境与保护</v>
      </c>
      <c r="C419" s="11" t="n">
        <v>1</v>
      </c>
      <c r="D419" s="12" t="n">
        <v>5.3</v>
      </c>
      <c r="E419" s="13" t="n">
        <v>2025</v>
      </c>
      <c r="F419" s="7" t="str">
        <v>其他</v>
      </c>
      <c r="G419" s="7" t="str">
        <v>经典专业刊</v>
      </c>
      <c r="H419" s="7" t="str">
        <v>研究/方法/综合</v>
      </c>
      <c r="I419" s="10" t="n">
        <v>2025</v>
      </c>
      <c r="J419" s="2" t="str">
        <v>是</v>
      </c>
      <c r="K419" s="2" t="str">
        <v>0021-8901</v>
      </c>
      <c r="L419" s="2" t="str">
        <v>1365-2664</v>
      </c>
      <c r="M419" s="7" t="str">
        <v>BIODIVERSITY CONSERVATION(SCIE);ECOLOGY(SCIE)</v>
      </c>
      <c r="N419" s="7" t="str">
        <v>两份公开汇编一致</v>
      </c>
      <c r="O419" s="7" t="str"/>
      <c r="P419" s="15" t="str">
        <v>JIF来源</v>
      </c>
      <c r="Q419" s="15" t="str">
        <v>分区来源</v>
      </c>
      <c r="R419" s="15" t="str"/>
      <c r="S419" s="14" t="str">
        <v>http://www.journalofappliedecology.org/</v>
      </c>
      <c r="T419" s="7" t="str">
        <v>ISSN匹配公开元数据；未逐站复核</v>
      </c>
      <c r="U419" s="2" t="str">
        <v>官网来源</v>
      </c>
      <c r="V419" s="2" t="n">
        <v>2026</v>
      </c>
    </row>
    <row r="420" ht="34" customHeight="1">
      <c r="A420" s="7" t="str">
        <v>ECOGRAPHY</v>
      </c>
      <c r="B420" s="7" t="str">
        <v>生态环境与保护</v>
      </c>
      <c r="C420" s="11" t="n">
        <v>1</v>
      </c>
      <c r="D420" s="12" t="n">
        <v>5.3</v>
      </c>
      <c r="E420" s="13" t="n">
        <v>2025</v>
      </c>
      <c r="F420" s="7" t="str">
        <v>其他</v>
      </c>
      <c r="G420" s="7" t="str">
        <v>经典专业刊</v>
      </c>
      <c r="H420" s="7" t="str">
        <v>研究/方法/综合</v>
      </c>
      <c r="I420" s="10" t="n">
        <v>2025</v>
      </c>
      <c r="J420" s="2" t="str">
        <v>是</v>
      </c>
      <c r="K420" s="2" t="str">
        <v>0906-7590</v>
      </c>
      <c r="L420" s="2" t="str">
        <v>1600-0587</v>
      </c>
      <c r="M420" s="7" t="str">
        <v>BIODIVERSITY CONSERVATION(SCIE);ECOLOGY(SCIE)</v>
      </c>
      <c r="N420" s="7" t="str">
        <v>两份公开汇编一致</v>
      </c>
      <c r="O420" s="7" t="str"/>
      <c r="P420" s="15" t="str">
        <v>JIF来源</v>
      </c>
      <c r="Q420" s="15" t="str">
        <v>分区来源</v>
      </c>
      <c r="R420" s="15" t="str"/>
      <c r="S420" s="14" t="str">
        <v>http://www.wiley.com/bw/journal.asp?ref=0906-7590</v>
      </c>
      <c r="T420" s="7" t="str">
        <v>ISSN匹配公开元数据；未逐站复核</v>
      </c>
      <c r="U420" s="2" t="str">
        <v>官网来源</v>
      </c>
      <c r="V420" s="2" t="n">
        <v>2026</v>
      </c>
    </row>
    <row r="421" ht="34" customHeight="1">
      <c r="A421" s="7" t="str">
        <v>BIOLOGICAL CONSERVATION</v>
      </c>
      <c r="B421" s="7" t="str">
        <v>生态环境与保护</v>
      </c>
      <c r="C421" s="11" t="n">
        <v>1</v>
      </c>
      <c r="D421" s="12" t="n">
        <v>5.1</v>
      </c>
      <c r="E421" s="13" t="n">
        <v>2025</v>
      </c>
      <c r="F421" s="7" t="str">
        <v>其他</v>
      </c>
      <c r="G421" s="7" t="str">
        <v>经典专业刊</v>
      </c>
      <c r="H421" s="7" t="str">
        <v>研究/方法/综合</v>
      </c>
      <c r="I421" s="10" t="n">
        <v>2025</v>
      </c>
      <c r="J421" s="2" t="str">
        <v>是</v>
      </c>
      <c r="K421" s="2" t="str">
        <v>0006-3207</v>
      </c>
      <c r="L421" s="2" t="str">
        <v>1873-2917</v>
      </c>
      <c r="M421" s="7" t="str">
        <v>BIODIVERSITY CONSERVATION(SCIE);ECOLOGY(SCIE);ENVIRONMENTAL SCIENCES(SCIE)</v>
      </c>
      <c r="N421" s="7" t="str">
        <v>两份公开汇编一致</v>
      </c>
      <c r="O421" s="7" t="str"/>
      <c r="P421" s="15" t="str">
        <v>JIF来源</v>
      </c>
      <c r="Q421" s="15" t="str">
        <v>分区来源</v>
      </c>
      <c r="R421" s="15" t="str"/>
      <c r="S421" s="14" t="str">
        <v>https://www.journals.elsevier.com/biological-conservation</v>
      </c>
      <c r="T421" s="7" t="str">
        <v>ISSN匹配公开元数据；未逐站复核</v>
      </c>
      <c r="U421" s="2" t="str">
        <v>官网来源</v>
      </c>
      <c r="V421" s="2" t="n">
        <v>2026</v>
      </c>
    </row>
    <row r="422" ht="34" customHeight="1">
      <c r="A422" s="7" t="str">
        <v>DIVERSITY AND DISTRIBUTIONS</v>
      </c>
      <c r="B422" s="7" t="str">
        <v>生态环境与保护</v>
      </c>
      <c r="C422" s="11" t="n">
        <v>1</v>
      </c>
      <c r="D422" s="12" t="n">
        <v>4.2</v>
      </c>
      <c r="E422" s="13" t="n">
        <v>2025</v>
      </c>
      <c r="F422" s="7" t="str">
        <v>其他</v>
      </c>
      <c r="G422" s="7" t="str">
        <v>领域期刊/新兴刊</v>
      </c>
      <c r="H422" s="7" t="str">
        <v>研究/方法/综合</v>
      </c>
      <c r="I422" s="10" t="n">
        <v>2025</v>
      </c>
      <c r="J422" s="2" t="str">
        <v>是</v>
      </c>
      <c r="K422" s="2" t="str">
        <v>1366-9516</v>
      </c>
      <c r="L422" s="2" t="str">
        <v>1472-4642</v>
      </c>
      <c r="M422" s="7" t="str">
        <v>BIODIVERSITY CONSERVATION(SCIE);ECOLOGY(SCIE)</v>
      </c>
      <c r="N422" s="7" t="str">
        <v>两份公开汇编一致</v>
      </c>
      <c r="O422" s="7" t="str"/>
      <c r="P422" s="15" t="str">
        <v>JIF来源</v>
      </c>
      <c r="Q422" s="15" t="str">
        <v>分区来源</v>
      </c>
      <c r="R422" s="15" t="str"/>
      <c r="S422" s="14" t="str">
        <v>http://onlinelibrary.wiley.com/journal/10.1111/(ISSN)1472-4642</v>
      </c>
      <c r="T422" s="7" t="str">
        <v>ISSN匹配公开元数据；未逐站复核</v>
      </c>
      <c r="U422" s="2" t="str">
        <v>官网来源</v>
      </c>
      <c r="V422" s="2" t="n">
        <v>2026</v>
      </c>
    </row>
    <row r="423" ht="34" customHeight="1">
      <c r="A423" s="7" t="str">
        <v>Journal of Plant Ecology</v>
      </c>
      <c r="B423" s="7" t="str">
        <v>生态环境与保护</v>
      </c>
      <c r="C423" s="11" t="n">
        <v>1</v>
      </c>
      <c r="D423" s="12" t="n">
        <v>4.5</v>
      </c>
      <c r="E423" s="13" t="n">
        <v>2025</v>
      </c>
      <c r="F423" s="7" t="str">
        <v>其他</v>
      </c>
      <c r="G423" s="7" t="str">
        <v>领域期刊/新兴刊</v>
      </c>
      <c r="H423" s="7" t="str">
        <v>研究/方法/综合</v>
      </c>
      <c r="I423" s="10" t="n">
        <v>2025</v>
      </c>
      <c r="J423" s="2" t="str">
        <v>是</v>
      </c>
      <c r="K423" s="2" t="str">
        <v>1752-9921</v>
      </c>
      <c r="L423" s="2" t="str">
        <v>1752-993X</v>
      </c>
      <c r="M423" s="7" t="str">
        <v>ECOLOGY(SCIE);FORESTRY(SCIE);PLANT SCIENCES(SCIE)</v>
      </c>
      <c r="N423" s="7" t="str">
        <v>两份公开汇编一致</v>
      </c>
      <c r="O423" s="7" t="str"/>
      <c r="P423" s="15" t="str">
        <v>JIF来源</v>
      </c>
      <c r="Q423" s="15" t="str">
        <v>分区来源</v>
      </c>
      <c r="R423" s="15" t="str"/>
      <c r="S423" s="14" t="str">
        <v>https://academic.oup.com/jpe</v>
      </c>
      <c r="T423" s="7" t="str">
        <v>ISSN匹配公开元数据；未逐站复核</v>
      </c>
      <c r="U423" s="2" t="str">
        <v>官网来源</v>
      </c>
      <c r="V423" s="2" t="n">
        <v>2026</v>
      </c>
    </row>
    <row r="424" ht="34" customHeight="1">
      <c r="A424" s="7" t="str">
        <v>Environmental Chemistry Letters</v>
      </c>
      <c r="B424" s="7" t="str">
        <v>生态环境与保护</v>
      </c>
      <c r="C424" s="11" t="n">
        <v>2</v>
      </c>
      <c r="D424" s="12" t="n">
        <v>25.2</v>
      </c>
      <c r="E424" s="13" t="n">
        <v>2025</v>
      </c>
      <c r="F424" s="7" t="str">
        <v>其他</v>
      </c>
      <c r="G424" s="7" t="str">
        <v>领域期刊/新兴刊</v>
      </c>
      <c r="H424" s="7" t="str">
        <v>研究/方法/综合</v>
      </c>
      <c r="I424" s="10" t="n">
        <v>2025</v>
      </c>
      <c r="J424" s="2" t="str">
        <v>否</v>
      </c>
      <c r="K424" s="2" t="str">
        <v>1610-3653</v>
      </c>
      <c r="L424" s="2" t="str">
        <v>1610-3661</v>
      </c>
      <c r="M424" s="7" t="str">
        <v>CHEMISTRY, MULTIDISCIPLINARY(SCIE);ENGINEERING, ENVIRONMENTAL(SCIE);ENVIRONMENTAL SCIENCES(SCIE)</v>
      </c>
      <c r="N424" s="7" t="str">
        <v>两份公开汇编一致</v>
      </c>
      <c r="O424" s="7" t="str"/>
      <c r="P424" s="15" t="str">
        <v>JIF来源</v>
      </c>
      <c r="Q424" s="15" t="str">
        <v>分区来源</v>
      </c>
      <c r="R424" s="15" t="str"/>
      <c r="S424" s="14" t="str">
        <v>https://link.springer.com/journal/10311</v>
      </c>
      <c r="T424" s="7" t="str">
        <v>ISSN匹配公开元数据；未逐站复核</v>
      </c>
      <c r="U424" s="2" t="str">
        <v>官网来源</v>
      </c>
      <c r="V424" s="2" t="n">
        <v>2026</v>
      </c>
    </row>
    <row r="425" ht="34" customHeight="1">
      <c r="A425" s="7" t="str">
        <v>npj Clean Water</v>
      </c>
      <c r="B425" s="7" t="str">
        <v>生态环境与保护</v>
      </c>
      <c r="C425" s="11" t="n">
        <v>2</v>
      </c>
      <c r="D425" s="12" t="n">
        <v>11</v>
      </c>
      <c r="E425" s="13" t="n">
        <v>2025</v>
      </c>
      <c r="F425" s="7" t="str">
        <v>Nature Portfolio（含合作刊）</v>
      </c>
      <c r="G425" s="7" t="str">
        <v>领域期刊/新兴刊</v>
      </c>
      <c r="H425" s="7" t="str">
        <v>研究/方法/综合</v>
      </c>
      <c r="I425" s="10" t="n">
        <v>2025</v>
      </c>
      <c r="J425" s="2" t="str">
        <v>否</v>
      </c>
      <c r="K425" s="2" t="str">
        <v>2059-7037</v>
      </c>
      <c r="L425" s="2" t="str">
        <v>2059-7037</v>
      </c>
      <c r="M425" s="7" t="str">
        <v>ENGINEERING, CHEMICAL(SCIE);ENVIRONMENTAL SCIENCES(SCIE);WATER RESOURCES(SCIE)</v>
      </c>
      <c r="N425" s="7" t="str">
        <v>两份公开汇编一致</v>
      </c>
      <c r="O425" s="7" t="str"/>
      <c r="P425" s="15" t="str">
        <v>JIF来源</v>
      </c>
      <c r="Q425" s="15" t="str">
        <v>分区来源</v>
      </c>
      <c r="R425" s="15" t="str"/>
      <c r="S425" s="14" t="str">
        <v>https://www.nature.com/npjcleanwater/</v>
      </c>
      <c r="T425" s="7" t="str">
        <v>ISSN匹配公开元数据；未逐站复核</v>
      </c>
      <c r="U425" s="2" t="str">
        <v>官网来源</v>
      </c>
      <c r="V425" s="2" t="n">
        <v>2026</v>
      </c>
    </row>
    <row r="426" ht="34" customHeight="1">
      <c r="A426" s="7" t="str">
        <v>Environmental Science &amp; Technology Letters</v>
      </c>
      <c r="B426" s="7" t="str">
        <v>生态环境与保护</v>
      </c>
      <c r="C426" s="11" t="n">
        <v>2</v>
      </c>
      <c r="D426" s="12" t="n">
        <v>7.3</v>
      </c>
      <c r="E426" s="13" t="n">
        <v>2025</v>
      </c>
      <c r="F426" s="7" t="str">
        <v>其他</v>
      </c>
      <c r="G426" s="7" t="str">
        <v>领域期刊/新兴刊</v>
      </c>
      <c r="H426" s="7" t="str">
        <v>研究/方法/综合</v>
      </c>
      <c r="I426" s="10" t="n">
        <v>2025</v>
      </c>
      <c r="J426" s="2" t="str">
        <v>否</v>
      </c>
      <c r="K426" s="2" t="str">
        <v>2328-8930</v>
      </c>
      <c r="L426" s="2" t="str"/>
      <c r="M426" s="7" t="str">
        <v>ENGINEERING, ENVIRONMENTAL(SCIE);ENVIRONMENTAL SCIENCES(SCIE)</v>
      </c>
      <c r="N426" s="7" t="str">
        <v>两份公开汇编一致</v>
      </c>
      <c r="O426" s="7" t="str"/>
      <c r="P426" s="15" t="str">
        <v>JIF来源</v>
      </c>
      <c r="Q426" s="15" t="str">
        <v>分区来源</v>
      </c>
      <c r="R426" s="15" t="str"/>
      <c r="S426" s="14" t="str">
        <v>https://pubs.acs.org/journal/estlcu</v>
      </c>
      <c r="T426" s="7" t="str">
        <v>ISSN匹配公开元数据；未逐站复核</v>
      </c>
      <c r="U426" s="2" t="str">
        <v>官网来源</v>
      </c>
      <c r="V426" s="2" t="n">
        <v>2026</v>
      </c>
    </row>
    <row r="427" ht="34" customHeight="1">
      <c r="A427" s="7" t="str">
        <v>Journal of Environmental Management</v>
      </c>
      <c r="B427" s="7" t="str">
        <v>生态环境与保护</v>
      </c>
      <c r="C427" s="11" t="n">
        <v>2</v>
      </c>
      <c r="D427" s="12" t="n">
        <v>9.2</v>
      </c>
      <c r="E427" s="13" t="n">
        <v>2025</v>
      </c>
      <c r="F427" s="7" t="str">
        <v>其他</v>
      </c>
      <c r="G427" s="7" t="str">
        <v>领域期刊/新兴刊</v>
      </c>
      <c r="H427" s="7" t="str">
        <v>研究/方法/综合</v>
      </c>
      <c r="I427" s="10" t="n">
        <v>2025</v>
      </c>
      <c r="J427" s="2" t="str">
        <v>是</v>
      </c>
      <c r="K427" s="2" t="str">
        <v>0301-4797</v>
      </c>
      <c r="L427" s="2" t="str">
        <v>1095-8630</v>
      </c>
      <c r="M427" s="7" t="str">
        <v>ENVIRONMENTAL SCIENCES(SCIE)</v>
      </c>
      <c r="N427" s="7" t="str">
        <v>两份公开汇编一致</v>
      </c>
      <c r="O427" s="7" t="str"/>
      <c r="P427" s="15" t="str">
        <v>JIF来源</v>
      </c>
      <c r="Q427" s="15" t="str">
        <v>分区来源</v>
      </c>
      <c r="R427" s="15" t="str"/>
      <c r="S427" s="14" t="str">
        <v>https://www.journals.elsevier.com/journal-of-environmental-management</v>
      </c>
      <c r="T427" s="7" t="str">
        <v>ISSN匹配公开元数据；未逐站复核</v>
      </c>
      <c r="U427" s="2" t="str">
        <v>官网来源</v>
      </c>
      <c r="V427" s="2" t="n">
        <v>2026</v>
      </c>
    </row>
    <row r="428" ht="34" customHeight="1">
      <c r="A428" s="7" t="str">
        <v>Water Research X</v>
      </c>
      <c r="B428" s="7" t="str">
        <v>生态环境与保护</v>
      </c>
      <c r="C428" s="11" t="n">
        <v>2</v>
      </c>
      <c r="D428" s="12" t="n">
        <v>7</v>
      </c>
      <c r="E428" s="13" t="n">
        <v>2025</v>
      </c>
      <c r="F428" s="7" t="str">
        <v>其他</v>
      </c>
      <c r="G428" s="7" t="str">
        <v>领域期刊/新兴刊</v>
      </c>
      <c r="H428" s="7" t="str">
        <v>研究/方法/综合</v>
      </c>
      <c r="I428" s="10" t="n">
        <v>2025</v>
      </c>
      <c r="J428" s="2" t="str">
        <v>否</v>
      </c>
      <c r="K428" s="2" t="str"/>
      <c r="L428" s="2" t="str">
        <v>2589-9147</v>
      </c>
      <c r="M428" s="7" t="str">
        <v>ENGINEERING, ENVIRONMENTAL(SCIE);ENVIRONMENTAL SCIENCES(SCIE);WATER RESOURCES(SCIE)</v>
      </c>
      <c r="N428" s="7" t="str">
        <v>两份公开汇编一致</v>
      </c>
      <c r="O428" s="7" t="str"/>
      <c r="P428" s="15" t="str">
        <v>JIF来源</v>
      </c>
      <c r="Q428" s="15" t="str">
        <v>分区来源</v>
      </c>
      <c r="R428" s="15" t="str"/>
      <c r="S428" s="14" t="str">
        <v>https://www.journals.elsevier.com/water-research-x</v>
      </c>
      <c r="T428" s="7" t="str">
        <v>ISSN匹配公开元数据；未逐站复核</v>
      </c>
      <c r="U428" s="2" t="str">
        <v>官网来源</v>
      </c>
      <c r="V428" s="2" t="n">
        <v>2026</v>
      </c>
    </row>
    <row r="429" ht="34" customHeight="1">
      <c r="A429" s="7" t="str">
        <v>Science of The Total Environment</v>
      </c>
      <c r="B429" s="7" t="str">
        <v>生态环境与保护</v>
      </c>
      <c r="C429" s="11" t="n">
        <v>2</v>
      </c>
      <c r="D429" s="12"/>
      <c r="E429" s="13" t="n">
        <v>2025</v>
      </c>
      <c r="F429" s="7" t="str">
        <v>其他</v>
      </c>
      <c r="G429" s="7" t="str">
        <v>经典专业刊</v>
      </c>
      <c r="H429" s="7" t="str">
        <v>研究/方法/综合</v>
      </c>
      <c r="I429" s="10" t="n">
        <v>2025</v>
      </c>
      <c r="J429" s="2" t="str">
        <v>是</v>
      </c>
      <c r="K429" s="2" t="str">
        <v>0048-9697</v>
      </c>
      <c r="L429" s="2" t="str">
        <v>1879-1026</v>
      </c>
      <c r="M429" s="7" t="str">
        <v>ENVIRONMENTAL SCIENCES(SCIE)</v>
      </c>
      <c r="N429" s="7" t="str">
        <v>2025 JIF未检得/未给值</v>
      </c>
      <c r="O429" s="7" t="str">
        <v>所用2026发布来源未检得2025 JIF数值；未沿用往年指标。</v>
      </c>
      <c r="P429" s="15" t="str">
        <v>JIF来源</v>
      </c>
      <c r="Q429" s="15" t="str">
        <v>分区来源</v>
      </c>
      <c r="R429" s="15" t="str"/>
      <c r="S429" s="14" t="str">
        <v>https://www.journals.elsevier.com/science-of-the-total-environment</v>
      </c>
      <c r="T429" s="7" t="str">
        <v>ISSN匹配公开元数据；未逐站复核</v>
      </c>
      <c r="U429" s="2" t="str">
        <v>官网来源</v>
      </c>
      <c r="V429" s="2" t="n">
        <v>2026</v>
      </c>
    </row>
    <row r="430" ht="34" customHeight="1">
      <c r="A430" s="7" t="str">
        <v>ENVIRONMENTAL RESEARCH</v>
      </c>
      <c r="B430" s="7" t="str">
        <v>生态环境与保护</v>
      </c>
      <c r="C430" s="11" t="n">
        <v>2</v>
      </c>
      <c r="D430" s="12" t="n">
        <v>8.2</v>
      </c>
      <c r="E430" s="13" t="n">
        <v>2025</v>
      </c>
      <c r="F430" s="7" t="str">
        <v>其他</v>
      </c>
      <c r="G430" s="7" t="str">
        <v>领域期刊/新兴刊</v>
      </c>
      <c r="H430" s="7" t="str">
        <v>研究/方法/综合</v>
      </c>
      <c r="I430" s="10" t="n">
        <v>2025</v>
      </c>
      <c r="J430" s="2" t="str">
        <v>否</v>
      </c>
      <c r="K430" s="2" t="str">
        <v>0013-9351</v>
      </c>
      <c r="L430" s="2" t="str">
        <v>1096-0953</v>
      </c>
      <c r="M430" s="7" t="str">
        <v>ENVIRONMENTAL SCIENCES(SCIE);PUBLIC, ENVIRONMENTAL &amp; OCCUPATIONAL HEALTH(SCIE)</v>
      </c>
      <c r="N430" s="7" t="str">
        <v>两份公开汇编一致</v>
      </c>
      <c r="O430" s="7" t="str"/>
      <c r="P430" s="15" t="str">
        <v>JIF来源</v>
      </c>
      <c r="Q430" s="15" t="str">
        <v>分区来源</v>
      </c>
      <c r="R430" s="15" t="str"/>
      <c r="S430" s="14" t="str">
        <v>http://www.journals.elsevier.com/environmental-research/</v>
      </c>
      <c r="T430" s="7" t="str">
        <v>ISSN匹配公开元数据；未逐站复核</v>
      </c>
      <c r="U430" s="2" t="str">
        <v>官网来源</v>
      </c>
      <c r="V430" s="2" t="n">
        <v>2026</v>
      </c>
    </row>
    <row r="431" ht="34" customHeight="1">
      <c r="A431" s="7" t="str">
        <v>ECOLOGICAL MONOGRAPHS</v>
      </c>
      <c r="B431" s="7" t="str">
        <v>生态环境与保护</v>
      </c>
      <c r="C431" s="11" t="n">
        <v>2</v>
      </c>
      <c r="D431" s="12" t="n">
        <v>9</v>
      </c>
      <c r="E431" s="13" t="n">
        <v>2025</v>
      </c>
      <c r="F431" s="7" t="str">
        <v>其他</v>
      </c>
      <c r="G431" s="7" t="str">
        <v>经典专业刊</v>
      </c>
      <c r="H431" s="7" t="str">
        <v>综述为主</v>
      </c>
      <c r="I431" s="10" t="n">
        <v>2025</v>
      </c>
      <c r="J431" s="2" t="str">
        <v>否</v>
      </c>
      <c r="K431" s="2" t="str">
        <v>0012-9615</v>
      </c>
      <c r="L431" s="2" t="str">
        <v>1557-7015</v>
      </c>
      <c r="M431" s="7" t="str">
        <v>ECOLOGY(SCIE)</v>
      </c>
      <c r="N431" s="7" t="str">
        <v>两份公开汇编一致</v>
      </c>
      <c r="O431" s="7" t="str"/>
      <c r="P431" s="15" t="str">
        <v>JIF来源</v>
      </c>
      <c r="Q431" s="15" t="str">
        <v>分区来源</v>
      </c>
      <c r="R431" s="15" t="str"/>
      <c r="S431" s="14" t="str">
        <v>https://esajournals.onlinelibrary.wiley.com/journal/15577015</v>
      </c>
      <c r="T431" s="7" t="str">
        <v>ISSN匹配公开元数据；未逐站复核</v>
      </c>
      <c r="U431" s="2" t="str">
        <v>官网来源</v>
      </c>
      <c r="V431" s="2" t="n">
        <v>2026</v>
      </c>
    </row>
    <row r="432" ht="34" customHeight="1">
      <c r="A432" s="7" t="str">
        <v>ENVIRONMENTAL POLLUTION</v>
      </c>
      <c r="B432" s="7" t="str">
        <v>生态环境与保护</v>
      </c>
      <c r="C432" s="11" t="n">
        <v>2</v>
      </c>
      <c r="D432" s="12" t="n">
        <v>7.2</v>
      </c>
      <c r="E432" s="13" t="n">
        <v>2025</v>
      </c>
      <c r="F432" s="7" t="str">
        <v>其他</v>
      </c>
      <c r="G432" s="7" t="str">
        <v>经典专业刊</v>
      </c>
      <c r="H432" s="7" t="str">
        <v>研究/方法/综合</v>
      </c>
      <c r="I432" s="10" t="n">
        <v>2025</v>
      </c>
      <c r="J432" s="2" t="str">
        <v>否</v>
      </c>
      <c r="K432" s="2" t="str">
        <v>0269-7491</v>
      </c>
      <c r="L432" s="2" t="str">
        <v>1873-6424</v>
      </c>
      <c r="M432" s="7" t="str">
        <v>ENVIRONMENTAL SCIENCES(SCIE)</v>
      </c>
      <c r="N432" s="7" t="str">
        <v>两份公开汇编一致</v>
      </c>
      <c r="O432" s="7" t="str"/>
      <c r="P432" s="15" t="str">
        <v>JIF来源</v>
      </c>
      <c r="Q432" s="15" t="str">
        <v>分区来源</v>
      </c>
      <c r="R432" s="15" t="str"/>
      <c r="S432" s="14" t="str">
        <v>https://www.journals.elsevier.com/environmental-pollution</v>
      </c>
      <c r="T432" s="7" t="str">
        <v>ISSN匹配公开元数据；未逐站复核</v>
      </c>
      <c r="U432" s="2" t="str">
        <v>官网来源</v>
      </c>
      <c r="V432" s="2" t="n">
        <v>2026</v>
      </c>
    </row>
    <row r="433" ht="34" customHeight="1">
      <c r="A433" s="7" t="str">
        <v>Ecological Informatics</v>
      </c>
      <c r="B433" s="7" t="str">
        <v>生态环境与保护</v>
      </c>
      <c r="C433" s="11" t="n">
        <v>2</v>
      </c>
      <c r="D433" s="12" t="n">
        <v>8.5</v>
      </c>
      <c r="E433" s="13" t="n">
        <v>2025</v>
      </c>
      <c r="F433" s="7" t="str">
        <v>其他</v>
      </c>
      <c r="G433" s="7" t="str">
        <v>领域期刊/新兴刊</v>
      </c>
      <c r="H433" s="7" t="str">
        <v>研究/方法/综合</v>
      </c>
      <c r="I433" s="10" t="n">
        <v>2025</v>
      </c>
      <c r="J433" s="2" t="str">
        <v>否</v>
      </c>
      <c r="K433" s="2" t="str">
        <v>1574-9541</v>
      </c>
      <c r="L433" s="2" t="str">
        <v>1878-0512</v>
      </c>
      <c r="M433" s="7" t="str">
        <v>ECOLOGY(SCIE)</v>
      </c>
      <c r="N433" s="7" t="str">
        <v>两份公开汇编一致</v>
      </c>
      <c r="O433" s="7" t="str"/>
      <c r="P433" s="15" t="str">
        <v>JIF来源</v>
      </c>
      <c r="Q433" s="15" t="str">
        <v>分区来源</v>
      </c>
      <c r="R433" s="15" t="str"/>
      <c r="S433" s="14" t="str">
        <v>https://www.journals.elsevier.com/ecological-informatics</v>
      </c>
      <c r="T433" s="7" t="str">
        <v>ISSN匹配公开元数据；未逐站复核</v>
      </c>
      <c r="U433" s="2" t="str">
        <v>官网来源</v>
      </c>
      <c r="V433" s="2" t="n">
        <v>2026</v>
      </c>
    </row>
    <row r="434" ht="34" customHeight="1">
      <c r="A434" s="7" t="str">
        <v>Waste Management</v>
      </c>
      <c r="B434" s="7" t="str">
        <v>生态环境与保护</v>
      </c>
      <c r="C434" s="11" t="n">
        <v>2</v>
      </c>
      <c r="D434" s="12" t="n">
        <v>7.3</v>
      </c>
      <c r="E434" s="13" t="n">
        <v>2025</v>
      </c>
      <c r="F434" s="7" t="str">
        <v>其他</v>
      </c>
      <c r="G434" s="7" t="str">
        <v>领域期刊/新兴刊</v>
      </c>
      <c r="H434" s="7" t="str">
        <v>研究/方法/综合</v>
      </c>
      <c r="I434" s="10" t="n">
        <v>2025</v>
      </c>
      <c r="J434" s="2" t="str">
        <v>是</v>
      </c>
      <c r="K434" s="2" t="str">
        <v>0956-053X</v>
      </c>
      <c r="L434" s="2" t="str">
        <v>1879-2456</v>
      </c>
      <c r="M434" s="7" t="str">
        <v>ENGINEERING, ENVIRONMENTAL(SCIE);ENVIRONMENTAL SCIENCES(SCIE)</v>
      </c>
      <c r="N434" s="7" t="str">
        <v>两份公开汇编一致</v>
      </c>
      <c r="O434" s="7" t="str"/>
      <c r="P434" s="15" t="str">
        <v>JIF来源</v>
      </c>
      <c r="Q434" s="15" t="str">
        <v>分区来源</v>
      </c>
      <c r="R434" s="15" t="str"/>
      <c r="S434" s="14" t="str">
        <v>https://www.journals.elsevier.com/waste-management</v>
      </c>
      <c r="T434" s="7" t="str">
        <v>ISSN匹配公开元数据；未逐站复核</v>
      </c>
      <c r="U434" s="2" t="str">
        <v>官网来源</v>
      </c>
      <c r="V434" s="2" t="n">
        <v>2026</v>
      </c>
    </row>
    <row r="435" ht="34" customHeight="1">
      <c r="A435" s="7" t="str">
        <v>Ecosystem Services</v>
      </c>
      <c r="B435" s="7" t="str">
        <v>生态环境与保护</v>
      </c>
      <c r="C435" s="11" t="n">
        <v>2</v>
      </c>
      <c r="D435" s="12" t="n">
        <v>7.8</v>
      </c>
      <c r="E435" s="13" t="n">
        <v>2025</v>
      </c>
      <c r="F435" s="7" t="str">
        <v>其他</v>
      </c>
      <c r="G435" s="7" t="str">
        <v>领域期刊/新兴刊</v>
      </c>
      <c r="H435" s="7" t="str">
        <v>研究/方法/综合</v>
      </c>
      <c r="I435" s="10" t="n">
        <v>2025</v>
      </c>
      <c r="J435" s="2" t="str">
        <v>否</v>
      </c>
      <c r="K435" s="2" t="str">
        <v>2212-0416</v>
      </c>
      <c r="L435" s="2" t="str">
        <v>2212-0416</v>
      </c>
      <c r="M435" s="7" t="str">
        <v>ECOLOGY(SCIE);ENVIRONMENTAL SCIENCES(SCIE);ENVIRONMENTAL STUDIES(SSCI)</v>
      </c>
      <c r="N435" s="7" t="str">
        <v>两份公开汇编一致</v>
      </c>
      <c r="O435" s="7" t="str"/>
      <c r="P435" s="15" t="str">
        <v>JIF来源</v>
      </c>
      <c r="Q435" s="15" t="str">
        <v>分区来源</v>
      </c>
      <c r="R435" s="15" t="str"/>
      <c r="S435" s="14" t="str">
        <v>https://www.journals.elsevier.com/ecosystem-services</v>
      </c>
      <c r="T435" s="7" t="str">
        <v>ISSN匹配公开元数据；未逐站复核</v>
      </c>
      <c r="U435" s="2" t="str">
        <v>官网来源</v>
      </c>
      <c r="V435" s="2" t="n">
        <v>2026</v>
      </c>
    </row>
    <row r="436" ht="34" customHeight="1">
      <c r="A436" s="7" t="str">
        <v>Journal of Environmental Sciences</v>
      </c>
      <c r="B436" s="7" t="str">
        <v>生态环境与保护</v>
      </c>
      <c r="C436" s="11" t="n">
        <v>2</v>
      </c>
      <c r="D436" s="12" t="n">
        <v>6.5</v>
      </c>
      <c r="E436" s="13" t="n">
        <v>2025</v>
      </c>
      <c r="F436" s="7" t="str">
        <v>其他</v>
      </c>
      <c r="G436" s="7" t="str">
        <v>领域期刊/新兴刊</v>
      </c>
      <c r="H436" s="7" t="str">
        <v>研究/方法/综合</v>
      </c>
      <c r="I436" s="10" t="n">
        <v>2025</v>
      </c>
      <c r="J436" s="2" t="str">
        <v>否</v>
      </c>
      <c r="K436" s="2" t="str">
        <v>1001-0742</v>
      </c>
      <c r="L436" s="2" t="str">
        <v>1878-7320</v>
      </c>
      <c r="M436" s="7" t="str">
        <v>ENVIRONMENTAL SCIENCES(SCIE)</v>
      </c>
      <c r="N436" s="7" t="str">
        <v>两份公开汇编一致</v>
      </c>
      <c r="O436" s="7" t="str"/>
      <c r="P436" s="15" t="str">
        <v>JIF来源</v>
      </c>
      <c r="Q436" s="15" t="str">
        <v>分区来源</v>
      </c>
      <c r="R436" s="15" t="str"/>
      <c r="S436" s="14" t="str">
        <v>https://www.journals.elsevier.com/journal-of-environmental-sciences</v>
      </c>
      <c r="T436" s="7" t="str">
        <v>ISSN匹配公开元数据；未逐站复核</v>
      </c>
      <c r="U436" s="2" t="str">
        <v>官网来源</v>
      </c>
      <c r="V436" s="2" t="n">
        <v>2026</v>
      </c>
    </row>
    <row r="437" ht="34" customHeight="1">
      <c r="A437" s="7" t="str">
        <v>Methods in Ecology and Evolution</v>
      </c>
      <c r="B437" s="7" t="str">
        <v>生态环境与保护</v>
      </c>
      <c r="C437" s="11" t="n">
        <v>2</v>
      </c>
      <c r="D437" s="12" t="n">
        <v>5.7</v>
      </c>
      <c r="E437" s="13" t="n">
        <v>2025</v>
      </c>
      <c r="F437" s="7" t="str">
        <v>其他</v>
      </c>
      <c r="G437" s="7" t="str">
        <v>领域期刊/新兴刊</v>
      </c>
      <c r="H437" s="7" t="str">
        <v>研究/方法/综合</v>
      </c>
      <c r="I437" s="10" t="n">
        <v>2025</v>
      </c>
      <c r="J437" s="2" t="str">
        <v>是</v>
      </c>
      <c r="K437" s="2" t="str">
        <v>2041-210X</v>
      </c>
      <c r="L437" s="2" t="str">
        <v>2041-2096</v>
      </c>
      <c r="M437" s="7" t="str">
        <v>ECOLOGY(SCIE)</v>
      </c>
      <c r="N437" s="7" t="str">
        <v>两份公开汇编一致</v>
      </c>
      <c r="O437" s="7" t="str"/>
      <c r="P437" s="15" t="str">
        <v>JIF来源</v>
      </c>
      <c r="Q437" s="15" t="str">
        <v>分区来源</v>
      </c>
      <c r="R437" s="15" t="str"/>
      <c r="S437" s="14" t="str">
        <v>https://besjournals.onlinelibrary.wiley.com/journal/2041210x</v>
      </c>
      <c r="T437" s="7" t="str">
        <v>出版社/期刊主页匹配</v>
      </c>
      <c r="U437" s="2" t="str">
        <v>官网来源</v>
      </c>
      <c r="V437" s="2" t="n">
        <v>2026</v>
      </c>
    </row>
    <row r="438" ht="34" customHeight="1">
      <c r="A438" s="7" t="str">
        <v>ECOTOXICOLOGY AND ENVIRONMENTAL SAFETY</v>
      </c>
      <c r="B438" s="7" t="str">
        <v>生态环境与保护</v>
      </c>
      <c r="C438" s="11" t="n">
        <v>2</v>
      </c>
      <c r="D438" s="12" t="n">
        <v>6.6</v>
      </c>
      <c r="E438" s="13" t="n">
        <v>2025</v>
      </c>
      <c r="F438" s="7" t="str">
        <v>其他</v>
      </c>
      <c r="G438" s="7" t="str">
        <v>领域期刊/新兴刊</v>
      </c>
      <c r="H438" s="7" t="str">
        <v>研究/方法/综合</v>
      </c>
      <c r="I438" s="10" t="n">
        <v>2025</v>
      </c>
      <c r="J438" s="2" t="str">
        <v>否</v>
      </c>
      <c r="K438" s="2" t="str">
        <v>0147-6513</v>
      </c>
      <c r="L438" s="2" t="str">
        <v>1090-2414</v>
      </c>
      <c r="M438" s="7" t="str">
        <v>ENVIRONMENTAL SCIENCES(SCIE);TOXICOLOGY(SCIE)</v>
      </c>
      <c r="N438" s="7" t="str">
        <v>两份公开汇编一致</v>
      </c>
      <c r="O438" s="7" t="str"/>
      <c r="P438" s="15" t="str">
        <v>JIF来源</v>
      </c>
      <c r="Q438" s="15" t="str">
        <v>分区来源</v>
      </c>
      <c r="R438" s="15" t="str"/>
      <c r="S438" s="14" t="str">
        <v>https://www.journals.elsevier.com/ecotoxicology-and-environmental-safety</v>
      </c>
      <c r="T438" s="7" t="str">
        <v>ISSN匹配公开元数据；未逐站复核</v>
      </c>
      <c r="U438" s="2" t="str">
        <v>官网来源</v>
      </c>
      <c r="V438" s="2" t="n">
        <v>2026</v>
      </c>
    </row>
    <row r="439" ht="34" customHeight="1">
      <c r="A439" s="7" t="str">
        <v>ISME Communications</v>
      </c>
      <c r="B439" s="7" t="str">
        <v>生态环境与保护</v>
      </c>
      <c r="C439" s="11" t="n">
        <v>2</v>
      </c>
      <c r="D439" s="12" t="n">
        <v>6.4</v>
      </c>
      <c r="E439" s="13" t="n">
        <v>2025</v>
      </c>
      <c r="F439" s="7" t="str">
        <v>其他</v>
      </c>
      <c r="G439" s="7" t="str">
        <v>领域期刊/新兴刊</v>
      </c>
      <c r="H439" s="7" t="str">
        <v>研究/方法/综合</v>
      </c>
      <c r="I439" s="10" t="n">
        <v>2025</v>
      </c>
      <c r="J439" s="2" t="str">
        <v>否</v>
      </c>
      <c r="K439" s="2" t="str"/>
      <c r="L439" s="2" t="str">
        <v>2730-6151</v>
      </c>
      <c r="M439" s="7" t="str">
        <v>ECOLOGY(ESCI);MICROBIOLOGY(ESCI)</v>
      </c>
      <c r="N439" s="7" t="str">
        <v>两份公开汇编一致</v>
      </c>
      <c r="O439" s="7" t="str"/>
      <c r="P439" s="15" t="str">
        <v>JIF来源</v>
      </c>
      <c r="Q439" s="15" t="str">
        <v>分区来源</v>
      </c>
      <c r="R439" s="15" t="str"/>
      <c r="S439" s="14" t="str">
        <v>https://www.nature.com/ismecomms/</v>
      </c>
      <c r="T439" s="7" t="str">
        <v>ISSN匹配公开元数据；未逐站复核</v>
      </c>
      <c r="U439" s="2" t="str">
        <v>官网来源</v>
      </c>
      <c r="V439" s="2" t="n">
        <v>2026</v>
      </c>
    </row>
    <row r="440" ht="34" customHeight="1">
      <c r="A440" s="7" t="str">
        <v>Environmental Research Letters</v>
      </c>
      <c r="B440" s="7" t="str">
        <v>生态环境与保护</v>
      </c>
      <c r="C440" s="11" t="n">
        <v>2</v>
      </c>
      <c r="D440" s="12" t="n">
        <v>5.4</v>
      </c>
      <c r="E440" s="13" t="n">
        <v>2025</v>
      </c>
      <c r="F440" s="7" t="str">
        <v>其他</v>
      </c>
      <c r="G440" s="7" t="str">
        <v>领域期刊/新兴刊</v>
      </c>
      <c r="H440" s="7" t="str">
        <v>研究/方法/综合</v>
      </c>
      <c r="I440" s="10" t="n">
        <v>2025</v>
      </c>
      <c r="J440" s="2" t="str">
        <v>否</v>
      </c>
      <c r="K440" s="2" t="str">
        <v>1748-9326</v>
      </c>
      <c r="L440" s="2" t="str">
        <v>1748-9326</v>
      </c>
      <c r="M440" s="7" t="str">
        <v>ENVIRONMENTAL SCIENCES(SCIE);METEOROLOGY &amp; ATMOSPHERIC SCIENCES(SCIE)</v>
      </c>
      <c r="N440" s="7" t="str">
        <v>两份公开汇编一致</v>
      </c>
      <c r="O440" s="7" t="str"/>
      <c r="P440" s="15" t="str">
        <v>JIF来源</v>
      </c>
      <c r="Q440" s="15" t="str">
        <v>分区来源</v>
      </c>
      <c r="R440" s="15" t="str"/>
      <c r="S440" s="14" t="str">
        <v>http://iopscience.org/erl</v>
      </c>
      <c r="T440" s="7" t="str">
        <v>ISSN匹配公开元数据；未逐站复核</v>
      </c>
      <c r="U440" s="2" t="str">
        <v>官网来源</v>
      </c>
      <c r="V440" s="2" t="n">
        <v>2026</v>
      </c>
    </row>
    <row r="441" ht="34" customHeight="1">
      <c r="A441" s="7" t="str">
        <v>AMBIO</v>
      </c>
      <c r="B441" s="7" t="str">
        <v>生态环境与保护</v>
      </c>
      <c r="C441" s="11" t="n">
        <v>2</v>
      </c>
      <c r="D441" s="12" t="n">
        <v>5.7</v>
      </c>
      <c r="E441" s="13" t="n">
        <v>2025</v>
      </c>
      <c r="F441" s="7" t="str">
        <v>其他</v>
      </c>
      <c r="G441" s="7" t="str">
        <v>领域期刊/新兴刊</v>
      </c>
      <c r="H441" s="7" t="str">
        <v>研究/方法/综合</v>
      </c>
      <c r="I441" s="10" t="n">
        <v>2025</v>
      </c>
      <c r="J441" s="2" t="str">
        <v>否</v>
      </c>
      <c r="K441" s="2" t="str">
        <v>0044-7447</v>
      </c>
      <c r="L441" s="2" t="str">
        <v>1654-7209</v>
      </c>
      <c r="M441" s="7" t="str">
        <v>ENGINEERING, ENVIRONMENTAL(SCIE);ENVIRONMENTAL SCIENCES(SCIE)</v>
      </c>
      <c r="N441" s="7" t="str">
        <v>两份公开汇编一致</v>
      </c>
      <c r="O441" s="7" t="str"/>
      <c r="P441" s="15" t="str">
        <v>JIF来源</v>
      </c>
      <c r="Q441" s="15" t="str">
        <v>分区来源</v>
      </c>
      <c r="R441" s="15" t="str"/>
      <c r="S441" s="14" t="str">
        <v>http://www.springer.com/environment/journal/13280</v>
      </c>
      <c r="T441" s="7" t="str">
        <v>ISSN匹配公开元数据；未逐站复核</v>
      </c>
      <c r="U441" s="2" t="str">
        <v>官网来源</v>
      </c>
      <c r="V441" s="2" t="n">
        <v>2026</v>
      </c>
    </row>
    <row r="442" ht="34" customHeight="1">
      <c r="A442" s="7" t="str">
        <v>ECOLOGICAL APPLICATIONS</v>
      </c>
      <c r="B442" s="7" t="str">
        <v>生态环境与保护</v>
      </c>
      <c r="C442" s="11" t="n">
        <v>2</v>
      </c>
      <c r="D442" s="12" t="n">
        <v>4.6</v>
      </c>
      <c r="E442" s="13" t="n">
        <v>2025</v>
      </c>
      <c r="F442" s="7" t="str">
        <v>其他</v>
      </c>
      <c r="G442" s="7" t="str">
        <v>领域期刊/新兴刊</v>
      </c>
      <c r="H442" s="7" t="str">
        <v>研究/方法/综合</v>
      </c>
      <c r="I442" s="10" t="n">
        <v>2025</v>
      </c>
      <c r="J442" s="2" t="str">
        <v>是</v>
      </c>
      <c r="K442" s="2" t="str">
        <v>1051-0761</v>
      </c>
      <c r="L442" s="2" t="str">
        <v>1939-5582</v>
      </c>
      <c r="M442" s="7" t="str">
        <v>ECOLOGY(SCIE);ENVIRONMENTAL SCIENCES(SCIE)</v>
      </c>
      <c r="N442" s="7" t="str">
        <v>两份公开汇编一致</v>
      </c>
      <c r="O442" s="7" t="str"/>
      <c r="P442" s="15" t="str">
        <v>JIF来源</v>
      </c>
      <c r="Q442" s="15" t="str">
        <v>分区来源</v>
      </c>
      <c r="R442" s="15" t="str"/>
      <c r="S442" s="14" t="str">
        <v>https://esajournals.onlinelibrary.wiley.com/journal/19395582</v>
      </c>
      <c r="T442" s="7" t="str">
        <v>ISSN匹配公开元数据；未逐站复核</v>
      </c>
      <c r="U442" s="2" t="str">
        <v>官网来源</v>
      </c>
      <c r="V442" s="2" t="n">
        <v>2026</v>
      </c>
    </row>
    <row r="443" ht="34" customHeight="1">
      <c r="A443" s="7" t="str">
        <v>ECOLOGY</v>
      </c>
      <c r="B443" s="7" t="str">
        <v>生态环境与保护</v>
      </c>
      <c r="C443" s="11" t="n">
        <v>2</v>
      </c>
      <c r="D443" s="12" t="n">
        <v>4.1</v>
      </c>
      <c r="E443" s="13" t="n">
        <v>2025</v>
      </c>
      <c r="F443" s="7" t="str">
        <v>其他</v>
      </c>
      <c r="G443" s="7" t="str">
        <v>经典专业刊</v>
      </c>
      <c r="H443" s="7" t="str">
        <v>研究/方法/综合</v>
      </c>
      <c r="I443" s="10" t="n">
        <v>2025</v>
      </c>
      <c r="J443" s="2" t="str">
        <v>是</v>
      </c>
      <c r="K443" s="2" t="str">
        <v>0012-9658</v>
      </c>
      <c r="L443" s="2" t="str">
        <v>1939-9170</v>
      </c>
      <c r="M443" s="7" t="str">
        <v>ECOLOGY(SCIE)</v>
      </c>
      <c r="N443" s="7" t="str">
        <v>两份公开汇编一致</v>
      </c>
      <c r="O443" s="7" t="str"/>
      <c r="P443" s="15" t="str">
        <v>JIF来源</v>
      </c>
      <c r="Q443" s="15" t="str">
        <v>分区来源</v>
      </c>
      <c r="R443" s="15" t="str"/>
      <c r="S443" s="14" t="str">
        <v>https://esajournals.onlinelibrary.wiley.com/journal/19399170</v>
      </c>
      <c r="T443" s="7" t="str">
        <v>ISSN匹配公开元数据；未逐站复核</v>
      </c>
      <c r="U443" s="2" t="str">
        <v>官网来源</v>
      </c>
      <c r="V443" s="2" t="n">
        <v>2026</v>
      </c>
    </row>
    <row r="444" ht="34" customHeight="1">
      <c r="A444" s="7" t="str">
        <v>ECOLOGICAL ENGINEERING</v>
      </c>
      <c r="B444" s="7" t="str">
        <v>生态环境与保护</v>
      </c>
      <c r="C444" s="11" t="n">
        <v>2</v>
      </c>
      <c r="D444" s="12" t="n">
        <v>4.1</v>
      </c>
      <c r="E444" s="13" t="n">
        <v>2025</v>
      </c>
      <c r="F444" s="7" t="str">
        <v>其他</v>
      </c>
      <c r="G444" s="7" t="str">
        <v>领域期刊/新兴刊</v>
      </c>
      <c r="H444" s="7" t="str">
        <v>研究/方法/综合</v>
      </c>
      <c r="I444" s="10" t="n">
        <v>2025</v>
      </c>
      <c r="J444" s="2" t="str">
        <v>否</v>
      </c>
      <c r="K444" s="2" t="str">
        <v>0925-8574</v>
      </c>
      <c r="L444" s="2" t="str">
        <v>1872-6992</v>
      </c>
      <c r="M444" s="7" t="str">
        <v>ECOLOGY(SCIE);ENGINEERING, ENVIRONMENTAL(SCIE);ENVIRONMENTAL SCIENCES(SCIE)</v>
      </c>
      <c r="N444" s="7" t="str">
        <v>两份公开汇编一致</v>
      </c>
      <c r="O444" s="7" t="str"/>
      <c r="P444" s="15" t="str">
        <v>JIF来源</v>
      </c>
      <c r="Q444" s="15" t="str">
        <v>分区来源</v>
      </c>
      <c r="R444" s="15" t="str"/>
      <c r="S444" s="14" t="str">
        <v>https://www.journals.elsevier.com/ecological-engineering</v>
      </c>
      <c r="T444" s="7" t="str">
        <v>ISSN匹配公开元数据；未逐站复核</v>
      </c>
      <c r="U444" s="2" t="str">
        <v>官网来源</v>
      </c>
      <c r="V444" s="2" t="n">
        <v>2026</v>
      </c>
    </row>
    <row r="445" ht="34" customHeight="1">
      <c r="A445" s="7" t="str">
        <v>Global Change Biology Bioenergy</v>
      </c>
      <c r="B445" s="7" t="str">
        <v>生态环境与保护</v>
      </c>
      <c r="C445" s="11" t="n">
        <v>2</v>
      </c>
      <c r="D445" s="12" t="n">
        <v>4.9</v>
      </c>
      <c r="E445" s="13" t="n">
        <v>2025</v>
      </c>
      <c r="F445" s="7" t="str">
        <v>其他</v>
      </c>
      <c r="G445" s="7" t="str">
        <v>领域期刊/新兴刊</v>
      </c>
      <c r="H445" s="7" t="str">
        <v>研究/方法/综合</v>
      </c>
      <c r="I445" s="10" t="n">
        <v>2025</v>
      </c>
      <c r="J445" s="2" t="str">
        <v>否</v>
      </c>
      <c r="K445" s="2" t="str">
        <v>1757-1693</v>
      </c>
      <c r="L445" s="2" t="str">
        <v>1757-1707</v>
      </c>
      <c r="M445" s="7" t="str">
        <v>AGRONOMY(SCIE);ENERGY &amp; FUELS(SCIE)</v>
      </c>
      <c r="N445" s="7" t="str">
        <v>两份公开汇编一致</v>
      </c>
      <c r="O445" s="7" t="str"/>
      <c r="P445" s="15" t="str">
        <v>JIF来源</v>
      </c>
      <c r="Q445" s="15" t="str">
        <v>分区来源</v>
      </c>
      <c r="R445" s="15" t="str"/>
      <c r="S445" s="14" t="str">
        <v>https://onlinelibrary.wiley.com/journal/17571707</v>
      </c>
      <c r="T445" s="7" t="str">
        <v>ISSN匹配公开元数据；未逐站复核</v>
      </c>
      <c r="U445" s="2" t="str">
        <v>官网来源</v>
      </c>
      <c r="V445" s="2" t="n">
        <v>2026</v>
      </c>
    </row>
    <row r="446" ht="34" customHeight="1">
      <c r="A446" s="7" t="str">
        <v>ENVIRONMENTAL MICROBIOLOGY</v>
      </c>
      <c r="B446" s="7" t="str">
        <v>生态环境与保护</v>
      </c>
      <c r="C446" s="11" t="n">
        <v>2</v>
      </c>
      <c r="D446" s="12" t="n">
        <v>4</v>
      </c>
      <c r="E446" s="13" t="n">
        <v>2025</v>
      </c>
      <c r="F446" s="7" t="str">
        <v>其他</v>
      </c>
      <c r="G446" s="7" t="str">
        <v>领域期刊/新兴刊</v>
      </c>
      <c r="H446" s="7" t="str">
        <v>研究/方法/综合</v>
      </c>
      <c r="I446" s="10" t="n">
        <v>2025</v>
      </c>
      <c r="J446" s="2" t="str">
        <v>否</v>
      </c>
      <c r="K446" s="2" t="str">
        <v>1462-2912</v>
      </c>
      <c r="L446" s="2" t="str">
        <v>1462-2920</v>
      </c>
      <c r="M446" s="7" t="str">
        <v>MICROBIOLOGY(SCIE)</v>
      </c>
      <c r="N446" s="7" t="str">
        <v>两份公开汇编一致</v>
      </c>
      <c r="O446" s="7" t="str"/>
      <c r="P446" s="15" t="str">
        <v>JIF来源</v>
      </c>
      <c r="Q446" s="15" t="str">
        <v>分区来源</v>
      </c>
      <c r="R446" s="15" t="str"/>
      <c r="S446" s="14" t="str">
        <v>https://sfamjournals.onlinelibrary.wiley.com/journal/14622920</v>
      </c>
      <c r="T446" s="7" t="str">
        <v>ISSN匹配公开元数据；未逐站复核</v>
      </c>
      <c r="U446" s="2" t="str">
        <v>官网来源</v>
      </c>
      <c r="V446" s="2" t="n">
        <v>2026</v>
      </c>
    </row>
    <row r="447" ht="34" customHeight="1">
      <c r="A447" s="7" t="str">
        <v>LANDSCAPE ECOLOGY</v>
      </c>
      <c r="B447" s="7" t="str">
        <v>生态环境与保护</v>
      </c>
      <c r="C447" s="11" t="n">
        <v>2</v>
      </c>
      <c r="D447" s="12" t="n">
        <v>4.7</v>
      </c>
      <c r="E447" s="13" t="n">
        <v>2025</v>
      </c>
      <c r="F447" s="7" t="str">
        <v>其他</v>
      </c>
      <c r="G447" s="7" t="str">
        <v>领域期刊/新兴刊</v>
      </c>
      <c r="H447" s="7" t="str">
        <v>研究/方法/综合</v>
      </c>
      <c r="I447" s="10" t="n">
        <v>2025</v>
      </c>
      <c r="J447" s="2" t="str">
        <v>否</v>
      </c>
      <c r="K447" s="2" t="str">
        <v>0921-2973</v>
      </c>
      <c r="L447" s="2" t="str">
        <v>1572-9761</v>
      </c>
      <c r="M447" s="7" t="str">
        <v>ECOLOGY(SCIE);GEOGRAPHY, PHYSICAL(SCIE);GEOSCIENCES, MULTIDISCIPLINARY(SCIE)</v>
      </c>
      <c r="N447" s="7" t="str">
        <v>两份公开汇编一致</v>
      </c>
      <c r="O447" s="7" t="str"/>
      <c r="P447" s="15" t="str">
        <v>JIF来源</v>
      </c>
      <c r="Q447" s="15" t="str">
        <v>分区来源</v>
      </c>
      <c r="R447" s="15" t="str"/>
      <c r="S447" s="14" t="str">
        <v>https://link.springer.com/journal/10980</v>
      </c>
      <c r="T447" s="7" t="str">
        <v>ISSN匹配公开元数据；未逐站复核</v>
      </c>
      <c r="U447" s="2" t="str">
        <v>官网来源</v>
      </c>
      <c r="V447" s="2" t="n">
        <v>2026</v>
      </c>
    </row>
    <row r="448" ht="34" customHeight="1">
      <c r="A448" s="7" t="str">
        <v>Global Ecology and Conservation</v>
      </c>
      <c r="B448" s="7" t="str">
        <v>生态环境与保护</v>
      </c>
      <c r="C448" s="11" t="n">
        <v>2</v>
      </c>
      <c r="D448" s="12" t="n">
        <v>3.7</v>
      </c>
      <c r="E448" s="13" t="n">
        <v>2025</v>
      </c>
      <c r="F448" s="7" t="str">
        <v>其他</v>
      </c>
      <c r="G448" s="7" t="str">
        <v>领域期刊/新兴刊</v>
      </c>
      <c r="H448" s="7" t="str">
        <v>研究/方法/综合</v>
      </c>
      <c r="I448" s="10" t="n">
        <v>2025</v>
      </c>
      <c r="J448" s="2" t="str">
        <v>否</v>
      </c>
      <c r="K448" s="2" t="str"/>
      <c r="L448" s="2" t="str">
        <v>2351-9894</v>
      </c>
      <c r="M448" s="7" t="str">
        <v>BIODIVERSITY CONSERVATION(SCIE);ECOLOGY(SCIE)</v>
      </c>
      <c r="N448" s="7" t="str">
        <v>两份公开汇编一致</v>
      </c>
      <c r="O448" s="7" t="str"/>
      <c r="P448" s="15" t="str">
        <v>JIF来源</v>
      </c>
      <c r="Q448" s="15" t="str">
        <v>分区来源</v>
      </c>
      <c r="R448" s="15" t="str"/>
      <c r="S448" s="14" t="str">
        <v>https://www.journals.elsevier.com/global-ecology-and-conservation</v>
      </c>
      <c r="T448" s="7" t="str">
        <v>ISSN匹配公开元数据；未逐站复核</v>
      </c>
      <c r="U448" s="2" t="str">
        <v>官网来源</v>
      </c>
      <c r="V448" s="2" t="n">
        <v>2026</v>
      </c>
    </row>
    <row r="449" ht="34" customHeight="1">
      <c r="A449" s="7" t="str">
        <v>BIODIVERSITY AND CONSERVATION</v>
      </c>
      <c r="B449" s="7" t="str">
        <v>生态环境与保护</v>
      </c>
      <c r="C449" s="11" t="n">
        <v>2</v>
      </c>
      <c r="D449" s="12" t="n">
        <v>3.7</v>
      </c>
      <c r="E449" s="13" t="n">
        <v>2025</v>
      </c>
      <c r="F449" s="7" t="str">
        <v>其他</v>
      </c>
      <c r="G449" s="7" t="str">
        <v>领域期刊/新兴刊</v>
      </c>
      <c r="H449" s="7" t="str">
        <v>研究/方法/综合</v>
      </c>
      <c r="I449" s="10" t="n">
        <v>2025</v>
      </c>
      <c r="J449" s="2" t="str">
        <v>否</v>
      </c>
      <c r="K449" s="2" t="str">
        <v>0960-3115</v>
      </c>
      <c r="L449" s="2" t="str">
        <v>1572-9710</v>
      </c>
      <c r="M449" s="7" t="str">
        <v>BIODIVERSITY CONSERVATION(SCIE);ECOLOGY(SCIE);ENVIRONMENTAL SCIENCES(SCIE)</v>
      </c>
      <c r="N449" s="7" t="str">
        <v>两份公开汇编一致</v>
      </c>
      <c r="O449" s="7" t="str"/>
      <c r="P449" s="15" t="str">
        <v>JIF来源</v>
      </c>
      <c r="Q449" s="15" t="str">
        <v>分区来源</v>
      </c>
      <c r="R449" s="15" t="str"/>
      <c r="S449" s="14" t="str">
        <v>https://link.springer.com/journal/10531</v>
      </c>
      <c r="T449" s="7" t="str">
        <v>ISSN匹配公开元数据；未逐站复核</v>
      </c>
      <c r="U449" s="2" t="str">
        <v>官网来源</v>
      </c>
      <c r="V449" s="2" t="n">
        <v>2026</v>
      </c>
    </row>
    <row r="450" ht="34" customHeight="1">
      <c r="A450" s="7" t="str">
        <v>OIKOS</v>
      </c>
      <c r="B450" s="7" t="str">
        <v>生态环境与保护</v>
      </c>
      <c r="C450" s="11" t="n">
        <v>2</v>
      </c>
      <c r="D450" s="12" t="n">
        <v>3</v>
      </c>
      <c r="E450" s="13" t="n">
        <v>2025</v>
      </c>
      <c r="F450" s="7" t="str">
        <v>其他</v>
      </c>
      <c r="G450" s="7" t="str">
        <v>经典专业刊</v>
      </c>
      <c r="H450" s="7" t="str">
        <v>研究/方法/综合</v>
      </c>
      <c r="I450" s="10" t="n">
        <v>2025</v>
      </c>
      <c r="J450" s="2" t="str">
        <v>否</v>
      </c>
      <c r="K450" s="2" t="str">
        <v>0030-1299</v>
      </c>
      <c r="L450" s="2" t="str">
        <v>1600-0706</v>
      </c>
      <c r="M450" s="7" t="str">
        <v>ECOLOGY(SCIE)</v>
      </c>
      <c r="N450" s="7" t="str">
        <v>两份公开汇编一致</v>
      </c>
      <c r="O450" s="7" t="str"/>
      <c r="P450" s="15" t="str">
        <v>JIF来源</v>
      </c>
      <c r="Q450" s="15" t="str">
        <v>分区来源</v>
      </c>
      <c r="R450" s="15" t="str"/>
      <c r="S450" s="14" t="str">
        <v>http://onlinelibrary.wiley.com/journal/10.1111/(ISSN)1600-0706</v>
      </c>
      <c r="T450" s="7" t="str">
        <v>ISSN匹配公开元数据；未逐站复核</v>
      </c>
      <c r="U450" s="2" t="str">
        <v>官网来源</v>
      </c>
      <c r="V450" s="2" t="n">
        <v>2026</v>
      </c>
    </row>
    <row r="451" ht="34" customHeight="1">
      <c r="A451" s="7" t="str">
        <v>Ecology and Evolution</v>
      </c>
      <c r="B451" s="7" t="str">
        <v>生态环境与保护</v>
      </c>
      <c r="C451" s="11" t="n">
        <v>2</v>
      </c>
      <c r="D451" s="12" t="n">
        <v>2.6</v>
      </c>
      <c r="E451" s="13" t="n">
        <v>2025</v>
      </c>
      <c r="F451" s="7" t="str">
        <v>其他</v>
      </c>
      <c r="G451" s="7" t="str">
        <v>领域期刊/新兴刊</v>
      </c>
      <c r="H451" s="7" t="str">
        <v>研究/方法/综合</v>
      </c>
      <c r="I451" s="10" t="n">
        <v>2025</v>
      </c>
      <c r="J451" s="2" t="str">
        <v>否</v>
      </c>
      <c r="K451" s="2" t="str">
        <v>2045-7758</v>
      </c>
      <c r="L451" s="2" t="str">
        <v>2045-7758</v>
      </c>
      <c r="M451" s="7" t="str">
        <v>ECOLOGY(SCIE);EVOLUTIONARY BIOLOGY(SCIE)</v>
      </c>
      <c r="N451" s="7" t="str">
        <v>两份公开汇编一致</v>
      </c>
      <c r="O451" s="7" t="str"/>
      <c r="P451" s="15" t="str">
        <v>JIF来源</v>
      </c>
      <c r="Q451" s="15" t="str">
        <v>分区来源</v>
      </c>
      <c r="R451" s="15" t="str"/>
      <c r="S451" s="14" t="str">
        <v>http://onlinelibrary.wiley.com/journal/10.1002/(ISSN)2045-7758</v>
      </c>
      <c r="T451" s="7" t="str">
        <v>ISSN匹配公开元数据；未逐站复核</v>
      </c>
      <c r="U451" s="2" t="str">
        <v>官网来源</v>
      </c>
      <c r="V451" s="2" t="n">
        <v>2026</v>
      </c>
    </row>
    <row r="452" ht="34" customHeight="1">
      <c r="A452" s="7" t="str">
        <v>MICROBIAL ECOLOGY</v>
      </c>
      <c r="B452" s="7" t="str">
        <v>生态环境与保护</v>
      </c>
      <c r="C452" s="11" t="n">
        <v>3</v>
      </c>
      <c r="D452" s="12" t="n">
        <v>4.3</v>
      </c>
      <c r="E452" s="13" t="n">
        <v>2025</v>
      </c>
      <c r="F452" s="7" t="str">
        <v>其他</v>
      </c>
      <c r="G452" s="7" t="str">
        <v>领域期刊/新兴刊</v>
      </c>
      <c r="H452" s="7" t="str">
        <v>研究/方法/综合</v>
      </c>
      <c r="I452" s="10" t="n">
        <v>2025</v>
      </c>
      <c r="J452" s="2" t="str">
        <v>否</v>
      </c>
      <c r="K452" s="2" t="str">
        <v>0095-3628</v>
      </c>
      <c r="L452" s="2" t="str">
        <v>1432-184X</v>
      </c>
      <c r="M452" s="7" t="str">
        <v>ECOLOGY(SCIE);MARINE &amp; FRESHWATER BIOLOGY(SCIE);MICROBIOLOGY(SCIE)</v>
      </c>
      <c r="N452" s="7" t="str">
        <v>两份公开汇编一致</v>
      </c>
      <c r="O452" s="7" t="str"/>
      <c r="P452" s="15" t="str">
        <v>JIF来源</v>
      </c>
      <c r="Q452" s="15" t="str">
        <v>分区来源</v>
      </c>
      <c r="R452" s="15" t="str"/>
      <c r="S452" s="14" t="str">
        <v>https://www.springer.com/journal/248</v>
      </c>
      <c r="T452" s="7" t="str">
        <v>ISSN匹配公开元数据；未逐站复核</v>
      </c>
      <c r="U452" s="2" t="str">
        <v>官网来源</v>
      </c>
      <c r="V452" s="2" t="n">
        <v>2026</v>
      </c>
    </row>
    <row r="453" ht="34" customHeight="1">
      <c r="A453" s="7" t="str">
        <v>ECOSYSTEMS</v>
      </c>
      <c r="B453" s="7" t="str">
        <v>生态环境与保护</v>
      </c>
      <c r="C453" s="11" t="n">
        <v>3</v>
      </c>
      <c r="D453" s="12" t="n">
        <v>3.3</v>
      </c>
      <c r="E453" s="13" t="n">
        <v>2025</v>
      </c>
      <c r="F453" s="7" t="str">
        <v>其他</v>
      </c>
      <c r="G453" s="7" t="str">
        <v>领域期刊/新兴刊</v>
      </c>
      <c r="H453" s="7" t="str">
        <v>研究/方法/综合</v>
      </c>
      <c r="I453" s="10" t="n">
        <v>2025</v>
      </c>
      <c r="J453" s="2" t="str">
        <v>否</v>
      </c>
      <c r="K453" s="2" t="str">
        <v>1432-9840</v>
      </c>
      <c r="L453" s="2" t="str">
        <v>1435-0629</v>
      </c>
      <c r="M453" s="7" t="str">
        <v>ECOLOGY(SCIE)</v>
      </c>
      <c r="N453" s="7" t="str">
        <v>两份公开汇编一致</v>
      </c>
      <c r="O453" s="7" t="str"/>
      <c r="P453" s="15" t="str">
        <v>JIF来源</v>
      </c>
      <c r="Q453" s="15" t="str">
        <v>分区来源</v>
      </c>
      <c r="R453" s="15" t="str"/>
      <c r="S453" s="14" t="str">
        <v>https://link.springer.com/journal/10021</v>
      </c>
      <c r="T453" s="7" t="str">
        <v>ISSN匹配公开元数据；未逐站复核</v>
      </c>
      <c r="U453" s="2" t="str">
        <v>官网来源</v>
      </c>
      <c r="V453" s="2" t="n">
        <v>2026</v>
      </c>
    </row>
    <row r="454" ht="34" customHeight="1">
      <c r="A454" s="7" t="str">
        <v>ECOLOGICAL MODELLING</v>
      </c>
      <c r="B454" s="7" t="str">
        <v>生态环境与保护</v>
      </c>
      <c r="C454" s="11" t="n">
        <v>3</v>
      </c>
      <c r="D454" s="12" t="n">
        <v>3.5</v>
      </c>
      <c r="E454" s="13" t="n">
        <v>2025</v>
      </c>
      <c r="F454" s="7" t="str">
        <v>其他</v>
      </c>
      <c r="G454" s="7" t="str">
        <v>领域期刊/新兴刊</v>
      </c>
      <c r="H454" s="7" t="str">
        <v>研究/方法/综合</v>
      </c>
      <c r="I454" s="10" t="n">
        <v>2025</v>
      </c>
      <c r="J454" s="2" t="str">
        <v>否</v>
      </c>
      <c r="K454" s="2" t="str">
        <v>0304-3800</v>
      </c>
      <c r="L454" s="2" t="str">
        <v>1872-7026</v>
      </c>
      <c r="M454" s="7" t="str">
        <v>ECOLOGY(SCIE)</v>
      </c>
      <c r="N454" s="7" t="str">
        <v>两份公开汇编一致</v>
      </c>
      <c r="O454" s="7" t="str"/>
      <c r="P454" s="15" t="str">
        <v>JIF来源</v>
      </c>
      <c r="Q454" s="15" t="str">
        <v>分区来源</v>
      </c>
      <c r="R454" s="15" t="str"/>
      <c r="S454" s="14" t="str">
        <v>https://www.journals.elsevier.com/ecological-modelling</v>
      </c>
      <c r="T454" s="7" t="str">
        <v>ISSN匹配公开元数据；未逐站复核</v>
      </c>
      <c r="U454" s="2" t="str">
        <v>官网来源</v>
      </c>
      <c r="V454" s="2" t="n">
        <v>2026</v>
      </c>
    </row>
    <row r="455" ht="34" customHeight="1">
      <c r="A455" s="7" t="str">
        <v>FEMS MICROBIOLOGY ECOLOGY</v>
      </c>
      <c r="B455" s="7" t="str">
        <v>生态环境与保护</v>
      </c>
      <c r="C455" s="11" t="n">
        <v>3</v>
      </c>
      <c r="D455" s="12" t="n">
        <v>4.1</v>
      </c>
      <c r="E455" s="13" t="n">
        <v>2025</v>
      </c>
      <c r="F455" s="7" t="str">
        <v>其他</v>
      </c>
      <c r="G455" s="7" t="str">
        <v>领域期刊/新兴刊</v>
      </c>
      <c r="H455" s="7" t="str">
        <v>研究/方法/综合</v>
      </c>
      <c r="I455" s="10" t="n">
        <v>2025</v>
      </c>
      <c r="J455" s="2" t="str">
        <v>否</v>
      </c>
      <c r="K455" s="2" t="str">
        <v>0168-6496</v>
      </c>
      <c r="L455" s="2" t="str">
        <v>1574-6941</v>
      </c>
      <c r="M455" s="7" t="str">
        <v>MICROBIOLOGY(SCIE)</v>
      </c>
      <c r="N455" s="7" t="str">
        <v>两份公开汇编一致</v>
      </c>
      <c r="O455" s="7" t="str"/>
      <c r="P455" s="15" t="str">
        <v>JIF来源</v>
      </c>
      <c r="Q455" s="15" t="str">
        <v>分区来源</v>
      </c>
      <c r="R455" s="15" t="str"/>
      <c r="S455" s="14" t="str">
        <v>https://academic.oup.com/femsec</v>
      </c>
      <c r="T455" s="7" t="str">
        <v>ISSN匹配公开元数据；未逐站复核</v>
      </c>
      <c r="U455" s="2" t="str">
        <v>官网来源</v>
      </c>
      <c r="V455" s="2" t="n">
        <v>2026</v>
      </c>
    </row>
    <row r="456" ht="34" customHeight="1">
      <c r="A456" s="7" t="str">
        <v>Journal of Arid Land</v>
      </c>
      <c r="B456" s="7" t="str">
        <v>生态环境与保护</v>
      </c>
      <c r="C456" s="11" t="n">
        <v>3</v>
      </c>
      <c r="D456" s="12" t="n">
        <v>3.4</v>
      </c>
      <c r="E456" s="13" t="n">
        <v>2025</v>
      </c>
      <c r="F456" s="7" t="str">
        <v>其他</v>
      </c>
      <c r="G456" s="7" t="str">
        <v>领域期刊/新兴刊</v>
      </c>
      <c r="H456" s="7" t="str">
        <v>研究/方法/综合</v>
      </c>
      <c r="I456" s="10" t="n">
        <v>2025</v>
      </c>
      <c r="J456" s="2" t="str">
        <v>否</v>
      </c>
      <c r="K456" s="2" t="str">
        <v>1674-6767</v>
      </c>
      <c r="L456" s="2" t="str">
        <v>2194-7783</v>
      </c>
      <c r="M456" s="7" t="str">
        <v>ENVIRONMENTAL SCIENCES(SCIE)</v>
      </c>
      <c r="N456" s="7" t="str">
        <v>两份公开汇编一致</v>
      </c>
      <c r="O456" s="7" t="str"/>
      <c r="P456" s="15" t="str">
        <v>JIF来源</v>
      </c>
      <c r="Q456" s="15" t="str">
        <v>分区来源</v>
      </c>
      <c r="R456" s="15" t="str"/>
      <c r="S456" s="14" t="str">
        <v>https://link.springer.com/journal/40333</v>
      </c>
      <c r="T456" s="7" t="str">
        <v>ISSN匹配公开元数据；未逐站复核</v>
      </c>
      <c r="U456" s="2" t="str">
        <v>官网来源</v>
      </c>
      <c r="V456" s="2" t="n">
        <v>2026</v>
      </c>
    </row>
    <row r="457" ht="34" customHeight="1">
      <c r="A457" s="7" t="str">
        <v>Environmental Earth Sciences</v>
      </c>
      <c r="B457" s="7" t="str">
        <v>生态环境与保护</v>
      </c>
      <c r="C457" s="11" t="n">
        <v>3</v>
      </c>
      <c r="D457" s="12" t="n">
        <v>3.3</v>
      </c>
      <c r="E457" s="13" t="n">
        <v>2025</v>
      </c>
      <c r="F457" s="7" t="str">
        <v>其他</v>
      </c>
      <c r="G457" s="7" t="str">
        <v>领域期刊/新兴刊</v>
      </c>
      <c r="H457" s="7" t="str">
        <v>研究/方法/综合</v>
      </c>
      <c r="I457" s="10" t="n">
        <v>2025</v>
      </c>
      <c r="J457" s="2" t="str">
        <v>否</v>
      </c>
      <c r="K457" s="2" t="str">
        <v>1866-6280</v>
      </c>
      <c r="L457" s="2" t="str">
        <v>1866-6299</v>
      </c>
      <c r="M457" s="7" t="str">
        <v>ENVIRONMENTAL SCIENCES(SCIE);GEOSCIENCES, MULTIDISCIPLINARY(SCIE);WATER RESOURCES(SCIE)</v>
      </c>
      <c r="N457" s="7" t="str">
        <v>两份公开汇编一致</v>
      </c>
      <c r="O457" s="7" t="str"/>
      <c r="P457" s="15" t="str">
        <v>JIF来源</v>
      </c>
      <c r="Q457" s="15" t="str">
        <v>分区来源</v>
      </c>
      <c r="R457" s="15" t="str"/>
      <c r="S457" s="14" t="str">
        <v>http://www.springer.com/journal/12665</v>
      </c>
      <c r="T457" s="7" t="str">
        <v>ISSN匹配公开元数据；未逐站复核</v>
      </c>
      <c r="U457" s="2" t="str">
        <v>官网来源</v>
      </c>
      <c r="V457" s="2" t="n">
        <v>2026</v>
      </c>
    </row>
    <row r="458" ht="34" customHeight="1">
      <c r="A458" s="7" t="str">
        <v>JOURNAL OF VEGETATION SCIENCE</v>
      </c>
      <c r="B458" s="7" t="str">
        <v>生态环境与保护</v>
      </c>
      <c r="C458" s="11" t="n">
        <v>3</v>
      </c>
      <c r="D458" s="12" t="n">
        <v>3.3</v>
      </c>
      <c r="E458" s="13" t="n">
        <v>2025</v>
      </c>
      <c r="F458" s="7" t="str">
        <v>其他</v>
      </c>
      <c r="G458" s="7" t="str">
        <v>领域期刊/新兴刊</v>
      </c>
      <c r="H458" s="7" t="str">
        <v>研究/方法/综合</v>
      </c>
      <c r="I458" s="10" t="n">
        <v>2025</v>
      </c>
      <c r="J458" s="2" t="str">
        <v>否</v>
      </c>
      <c r="K458" s="2" t="str">
        <v>1100-9233</v>
      </c>
      <c r="L458" s="2" t="str">
        <v>1654-1103</v>
      </c>
      <c r="M458" s="7" t="str">
        <v>ECOLOGY(SCIE);FORESTRY(SCIE);PLANT SCIENCES(SCIE)</v>
      </c>
      <c r="N458" s="7" t="str">
        <v>两份公开汇编一致</v>
      </c>
      <c r="O458" s="7" t="str"/>
      <c r="P458" s="15" t="str">
        <v>JIF来源</v>
      </c>
      <c r="Q458" s="15" t="str">
        <v>分区来源</v>
      </c>
      <c r="R458" s="15" t="str"/>
      <c r="S458" s="14" t="str">
        <v>https://onlinelibrary.wiley.com/journal/16541103</v>
      </c>
      <c r="T458" s="7" t="str">
        <v>ISSN匹配公开元数据；未逐站复核</v>
      </c>
      <c r="U458" s="2" t="str">
        <v>官网来源</v>
      </c>
      <c r="V458" s="2" t="n">
        <v>2026</v>
      </c>
    </row>
    <row r="459" ht="34" customHeight="1">
      <c r="A459" s="7" t="str">
        <v>RESTORATION ECOLOGY</v>
      </c>
      <c r="B459" s="7" t="str">
        <v>生态环境与保护</v>
      </c>
      <c r="C459" s="11" t="n">
        <v>3</v>
      </c>
      <c r="D459" s="12" t="n">
        <v>2.7</v>
      </c>
      <c r="E459" s="13" t="n">
        <v>2025</v>
      </c>
      <c r="F459" s="7" t="str">
        <v>其他</v>
      </c>
      <c r="G459" s="7" t="str">
        <v>领域期刊/新兴刊</v>
      </c>
      <c r="H459" s="7" t="str">
        <v>研究/方法/综合</v>
      </c>
      <c r="I459" s="10" t="n">
        <v>2025</v>
      </c>
      <c r="J459" s="2" t="str">
        <v>否</v>
      </c>
      <c r="K459" s="2" t="str">
        <v>1061-2971</v>
      </c>
      <c r="L459" s="2" t="str">
        <v>1526-100X</v>
      </c>
      <c r="M459" s="7" t="str">
        <v>ECOLOGY(SCIE)</v>
      </c>
      <c r="N459" s="7" t="str">
        <v>两份公开汇编一致</v>
      </c>
      <c r="O459" s="7" t="str"/>
      <c r="P459" s="15" t="str">
        <v>JIF来源</v>
      </c>
      <c r="Q459" s="15" t="str">
        <v>分区来源</v>
      </c>
      <c r="R459" s="15" t="str"/>
      <c r="S459" s="14" t="str">
        <v>https://onlinelibrary.wiley.com/journal/1526100X</v>
      </c>
      <c r="T459" s="7" t="str">
        <v>ISSN匹配公开元数据；未逐站复核</v>
      </c>
      <c r="U459" s="2" t="str">
        <v>官网来源</v>
      </c>
      <c r="V459" s="2" t="n">
        <v>2026</v>
      </c>
    </row>
    <row r="460" ht="34" customHeight="1">
      <c r="A460" s="7" t="str">
        <v>APPLIED VEGETATION SCIENCE</v>
      </c>
      <c r="B460" s="7" t="str">
        <v>生态环境与保护</v>
      </c>
      <c r="C460" s="11" t="n">
        <v>3</v>
      </c>
      <c r="D460" s="12" t="n">
        <v>3.7</v>
      </c>
      <c r="E460" s="13" t="n">
        <v>2025</v>
      </c>
      <c r="F460" s="7" t="str">
        <v>其他</v>
      </c>
      <c r="G460" s="7" t="str">
        <v>领域期刊/新兴刊</v>
      </c>
      <c r="H460" s="7" t="str">
        <v>研究/方法/综合</v>
      </c>
      <c r="I460" s="10" t="n">
        <v>2025</v>
      </c>
      <c r="J460" s="2" t="str">
        <v>否</v>
      </c>
      <c r="K460" s="2" t="str">
        <v>1402-2001</v>
      </c>
      <c r="L460" s="2" t="str">
        <v>1654-109X</v>
      </c>
      <c r="M460" s="7" t="str">
        <v>ECOLOGY(SCIE);FORESTRY(SCIE);PLANT SCIENCES(SCIE)</v>
      </c>
      <c r="N460" s="7" t="str">
        <v>两份公开汇编一致</v>
      </c>
      <c r="O460" s="7" t="str"/>
      <c r="P460" s="15" t="str">
        <v>JIF来源</v>
      </c>
      <c r="Q460" s="15" t="str">
        <v>分区来源</v>
      </c>
      <c r="R460" s="15" t="str"/>
      <c r="S460" s="14" t="str">
        <v>https://onlinelibrary.wiley.com/journal/1654109X</v>
      </c>
      <c r="T460" s="7" t="str">
        <v>ISSN匹配公开元数据；未逐站复核</v>
      </c>
      <c r="U460" s="2" t="str">
        <v>官网来源</v>
      </c>
      <c r="V460" s="2" t="n">
        <v>2026</v>
      </c>
    </row>
    <row r="461" ht="34" customHeight="1">
      <c r="A461" s="7" t="str">
        <v>BMC Ecology and Evolution</v>
      </c>
      <c r="B461" s="7" t="str">
        <v>生态环境与保护</v>
      </c>
      <c r="C461" s="11" t="n">
        <v>3</v>
      </c>
      <c r="D461" s="12" t="n">
        <v>2.7</v>
      </c>
      <c r="E461" s="13" t="n">
        <v>2025</v>
      </c>
      <c r="F461" s="7" t="str">
        <v>其他</v>
      </c>
      <c r="G461" s="7" t="str">
        <v>领域期刊/新兴刊</v>
      </c>
      <c r="H461" s="7" t="str">
        <v>研究/方法/综合</v>
      </c>
      <c r="I461" s="10" t="n">
        <v>2025</v>
      </c>
      <c r="J461" s="2" t="str">
        <v>否</v>
      </c>
      <c r="K461" s="2" t="str"/>
      <c r="L461" s="2" t="str">
        <v>2730-7182</v>
      </c>
      <c r="M461" s="7" t="str">
        <v>ECOLOGY(SCIE);EVOLUTIONARY BIOLOGY(SCIE);GENETICS &amp; HEREDITY(SCIE)</v>
      </c>
      <c r="N461" s="7" t="str">
        <v>两份公开汇编一致</v>
      </c>
      <c r="O461" s="7" t="str"/>
      <c r="P461" s="15" t="str">
        <v>JIF来源</v>
      </c>
      <c r="Q461" s="15" t="str">
        <v>分区来源</v>
      </c>
      <c r="R461" s="15" t="str"/>
      <c r="S461" s="14" t="str">
        <v>https://link.springer.com/journal/12862</v>
      </c>
      <c r="T461" s="7" t="str">
        <v>ISSN匹配公开元数据；未逐站复核</v>
      </c>
      <c r="U461" s="2" t="str">
        <v>官网来源</v>
      </c>
      <c r="V461" s="2" t="n">
        <v>2026</v>
      </c>
    </row>
    <row r="462" ht="34" customHeight="1">
      <c r="A462" s="7" t="str">
        <v>Frontiers in Ecology and Evolution</v>
      </c>
      <c r="B462" s="7" t="str">
        <v>生态环境与保护</v>
      </c>
      <c r="C462" s="11" t="n">
        <v>3</v>
      </c>
      <c r="D462" s="12" t="n">
        <v>3.2</v>
      </c>
      <c r="E462" s="13" t="n">
        <v>2025</v>
      </c>
      <c r="F462" s="7" t="str">
        <v>其他</v>
      </c>
      <c r="G462" s="7" t="str">
        <v>领域期刊/新兴刊</v>
      </c>
      <c r="H462" s="7" t="str">
        <v>研究/方法/综合</v>
      </c>
      <c r="I462" s="10" t="n">
        <v>2025</v>
      </c>
      <c r="J462" s="2" t="str">
        <v>否</v>
      </c>
      <c r="K462" s="2" t="str">
        <v>2296-701X</v>
      </c>
      <c r="L462" s="2" t="str">
        <v>2296-701X</v>
      </c>
      <c r="M462" s="7" t="str">
        <v>ECOLOGY(SCIE)</v>
      </c>
      <c r="N462" s="7" t="str">
        <v>两份公开汇编一致</v>
      </c>
      <c r="O462" s="7" t="str"/>
      <c r="P462" s="15" t="str">
        <v>JIF来源</v>
      </c>
      <c r="Q462" s="15" t="str">
        <v>分区来源</v>
      </c>
      <c r="R462" s="15" t="str"/>
      <c r="S462" s="14" t="str">
        <v>http://www.frontiersin.org/ecology_and_evolution</v>
      </c>
      <c r="T462" s="7" t="str">
        <v>ISSN匹配公开元数据；未逐站复核</v>
      </c>
      <c r="U462" s="2" t="str">
        <v>官网来源</v>
      </c>
      <c r="V462" s="2" t="n">
        <v>2026</v>
      </c>
    </row>
    <row r="463" ht="34" customHeight="1">
      <c r="A463" s="7" t="str">
        <v>Journal of Arid Environments</v>
      </c>
      <c r="B463" s="7" t="str">
        <v>生态环境与保护</v>
      </c>
      <c r="C463" s="11" t="n">
        <v>3</v>
      </c>
      <c r="D463" s="12" t="n">
        <v>2.5</v>
      </c>
      <c r="E463" s="13" t="n">
        <v>2025</v>
      </c>
      <c r="F463" s="7" t="str">
        <v>其他</v>
      </c>
      <c r="G463" s="7" t="str">
        <v>领域期刊/新兴刊</v>
      </c>
      <c r="H463" s="7" t="str">
        <v>研究/方法/综合</v>
      </c>
      <c r="I463" s="10" t="n">
        <v>2025</v>
      </c>
      <c r="J463" s="2" t="str">
        <v>否</v>
      </c>
      <c r="K463" s="2" t="str">
        <v>0140-1963</v>
      </c>
      <c r="L463" s="2" t="str">
        <v>1095-922X</v>
      </c>
      <c r="M463" s="7" t="str">
        <v>ECOLOGY(SCIE);ENVIRONMENTAL SCIENCES(SCIE)</v>
      </c>
      <c r="N463" s="7" t="str">
        <v>公开汇编已匹配</v>
      </c>
      <c r="O463" s="7" t="str"/>
      <c r="P463" s="15" t="str">
        <v>JIF来源</v>
      </c>
      <c r="Q463" s="15" t="str">
        <v>分区来源</v>
      </c>
      <c r="R463" s="15" t="str"/>
      <c r="S463" s="14" t="str">
        <v>http://www.journals.elsevier.com/journal-of-arid-environments</v>
      </c>
      <c r="T463" s="7" t="str">
        <v>ISSN匹配公开元数据；未逐站复核</v>
      </c>
      <c r="U463" s="2" t="str">
        <v>官网来源</v>
      </c>
      <c r="V463" s="2" t="n">
        <v>2026</v>
      </c>
    </row>
    <row r="464" ht="34" customHeight="1">
      <c r="A464" s="7" t="str">
        <v>PEDOBIOLOGIA</v>
      </c>
      <c r="B464" s="7" t="str">
        <v>生态环境与保护</v>
      </c>
      <c r="C464" s="11" t="n">
        <v>3</v>
      </c>
      <c r="D464" s="12" t="n">
        <v>2.6</v>
      </c>
      <c r="E464" s="13" t="n">
        <v>2025</v>
      </c>
      <c r="F464" s="7" t="str">
        <v>其他</v>
      </c>
      <c r="G464" s="7" t="str">
        <v>领域期刊/新兴刊</v>
      </c>
      <c r="H464" s="7" t="str">
        <v>研究/方法/综合</v>
      </c>
      <c r="I464" s="10" t="n">
        <v>2025</v>
      </c>
      <c r="J464" s="2" t="str">
        <v>否</v>
      </c>
      <c r="K464" s="2" t="str">
        <v>0031-4056</v>
      </c>
      <c r="L464" s="2" t="str">
        <v>1873-1511</v>
      </c>
      <c r="M464" s="7" t="str">
        <v>ECOLOGY(SCIE);SOIL SCIENCE(SCIE)</v>
      </c>
      <c r="N464" s="7" t="str">
        <v>公开汇编已匹配</v>
      </c>
      <c r="O464" s="7" t="str"/>
      <c r="P464" s="15" t="str">
        <v>JIF来源</v>
      </c>
      <c r="Q464" s="15" t="str">
        <v>分区来源</v>
      </c>
      <c r="R464" s="15" t="str"/>
      <c r="S464" s="14" t="str">
        <v>https://www.journals.elsevier.com/pedobiologia</v>
      </c>
      <c r="T464" s="7" t="str">
        <v>ISSN匹配公开元数据；未逐站复核</v>
      </c>
      <c r="U464" s="2" t="str">
        <v>官网来源</v>
      </c>
      <c r="V464" s="2" t="n">
        <v>2026</v>
      </c>
    </row>
    <row r="465" ht="34" customHeight="1">
      <c r="A465" s="7" t="str">
        <v>ARID LAND RESEARCH AND MANAGEMENT</v>
      </c>
      <c r="B465" s="7" t="str">
        <v>生态环境与保护</v>
      </c>
      <c r="C465" s="11" t="n">
        <v>3</v>
      </c>
      <c r="D465" s="12" t="n">
        <v>1.8</v>
      </c>
      <c r="E465" s="13" t="n">
        <v>2025</v>
      </c>
      <c r="F465" s="7" t="str">
        <v>其他</v>
      </c>
      <c r="G465" s="7" t="str">
        <v>领域期刊/新兴刊</v>
      </c>
      <c r="H465" s="7" t="str">
        <v>研究/方法/综合</v>
      </c>
      <c r="I465" s="10" t="n">
        <v>2025</v>
      </c>
      <c r="J465" s="2" t="str">
        <v>否</v>
      </c>
      <c r="K465" s="2" t="str">
        <v>1532-4982</v>
      </c>
      <c r="L465" s="2" t="str">
        <v>1532-4990</v>
      </c>
      <c r="M465" s="7" t="str">
        <v>ENVIRONMENTAL SCIENCES(SCIE);SOIL SCIENCE(SCIE)</v>
      </c>
      <c r="N465" s="7" t="str">
        <v>公开汇编已匹配</v>
      </c>
      <c r="O465" s="7" t="str"/>
      <c r="P465" s="15" t="str">
        <v>JIF来源</v>
      </c>
      <c r="Q465" s="15" t="str">
        <v>分区来源</v>
      </c>
      <c r="R465" s="15" t="str"/>
      <c r="S465" s="14" t="str">
        <v>https://www.tandfonline.com/toc/uasr20/current</v>
      </c>
      <c r="T465" s="7" t="str">
        <v>ISSN匹配公开元数据；未逐站复核</v>
      </c>
      <c r="U465" s="2" t="str">
        <v>官网来源</v>
      </c>
      <c r="V465" s="2" t="n">
        <v>2026</v>
      </c>
    </row>
    <row r="466" ht="34" customHeight="1">
      <c r="A466" s="7" t="str">
        <v>ENVIRONMENTAL MONITORING AND ASSESSMENT</v>
      </c>
      <c r="B466" s="7" t="str">
        <v>生态环境与保护</v>
      </c>
      <c r="C466" s="11" t="n">
        <v>4</v>
      </c>
      <c r="D466" s="12" t="n">
        <v>3.6</v>
      </c>
      <c r="E466" s="13" t="n">
        <v>2025</v>
      </c>
      <c r="F466" s="7" t="str">
        <v>其他</v>
      </c>
      <c r="G466" s="7" t="str">
        <v>领域期刊/新兴刊</v>
      </c>
      <c r="H466" s="7" t="str">
        <v>研究/方法/综合</v>
      </c>
      <c r="I466" s="10" t="n">
        <v>2025</v>
      </c>
      <c r="J466" s="2" t="str">
        <v>否</v>
      </c>
      <c r="K466" s="2" t="str">
        <v>0167-6369</v>
      </c>
      <c r="L466" s="2" t="str">
        <v>1573-2959</v>
      </c>
      <c r="M466" s="7" t="str">
        <v>ENVIRONMENTAL SCIENCES(SCIE)</v>
      </c>
      <c r="N466" s="7" t="str">
        <v>两份公开汇编一致</v>
      </c>
      <c r="O466" s="7" t="str"/>
      <c r="P466" s="15" t="str">
        <v>JIF来源</v>
      </c>
      <c r="Q466" s="15" t="str">
        <v>分区来源</v>
      </c>
      <c r="R466" s="15" t="str"/>
      <c r="S466" s="14" t="str">
        <v>http://www.springer.com/environment/monitoring+-+environmental+analysis/journal/10661</v>
      </c>
      <c r="T466" s="7" t="str">
        <v>ISSN匹配公开元数据；未逐站复核</v>
      </c>
      <c r="U466" s="2" t="str">
        <v>官网来源</v>
      </c>
      <c r="V466" s="2" t="n">
        <v>2026</v>
      </c>
    </row>
    <row r="467" ht="34" customHeight="1">
      <c r="A467" s="7" t="str">
        <v>WATER AIR AND SOIL POLLUTION</v>
      </c>
      <c r="B467" s="7" t="str">
        <v>生态环境与保护</v>
      </c>
      <c r="C467" s="11" t="n">
        <v>4</v>
      </c>
      <c r="D467" s="12" t="n">
        <v>3.5</v>
      </c>
      <c r="E467" s="13" t="n">
        <v>2025</v>
      </c>
      <c r="F467" s="7" t="str">
        <v>其他</v>
      </c>
      <c r="G467" s="7" t="str">
        <v>领域期刊/新兴刊</v>
      </c>
      <c r="H467" s="7" t="str">
        <v>研究/方法/综合</v>
      </c>
      <c r="I467" s="10" t="n">
        <v>2025</v>
      </c>
      <c r="J467" s="2" t="str">
        <v>否</v>
      </c>
      <c r="K467" s="2" t="str">
        <v>0049-6979</v>
      </c>
      <c r="L467" s="2" t="str">
        <v>1573-2932</v>
      </c>
      <c r="M467" s="7" t="str">
        <v>ENVIRONMENTAL SCIENCES(SCIE);METEOROLOGY &amp; ATMOSPHERIC SCIENCES(SCIE);WATER RESOURCES(SCIE)</v>
      </c>
      <c r="N467" s="7" t="str">
        <v>两份公开汇编一致</v>
      </c>
      <c r="O467" s="7" t="str"/>
      <c r="P467" s="15" t="str">
        <v>JIF来源</v>
      </c>
      <c r="Q467" s="15" t="str">
        <v>分区来源</v>
      </c>
      <c r="R467" s="15" t="str"/>
      <c r="S467" s="14" t="str">
        <v>https://www.springer.com/journal/11270</v>
      </c>
      <c r="T467" s="7" t="str">
        <v>ISSN匹配公开元数据；未逐站复核</v>
      </c>
      <c r="U467" s="2" t="str">
        <v>官网来源</v>
      </c>
      <c r="V467" s="2" t="n">
        <v>2026</v>
      </c>
    </row>
    <row r="468" ht="34" customHeight="1">
      <c r="A468" s="7" t="str">
        <v>ENVIRONMENTAL TOXICOLOGY AND CHEMISTRY</v>
      </c>
      <c r="B468" s="7" t="str">
        <v>生态环境与保护</v>
      </c>
      <c r="C468" s="11" t="n">
        <v>4</v>
      </c>
      <c r="D468" s="12" t="n">
        <v>3.6</v>
      </c>
      <c r="E468" s="13" t="n">
        <v>2025</v>
      </c>
      <c r="F468" s="7" t="str">
        <v>其他</v>
      </c>
      <c r="G468" s="7" t="str">
        <v>领域期刊/新兴刊</v>
      </c>
      <c r="H468" s="7" t="str">
        <v>研究/方法/综合</v>
      </c>
      <c r="I468" s="10" t="n">
        <v>2025</v>
      </c>
      <c r="J468" s="2" t="str">
        <v>否</v>
      </c>
      <c r="K468" s="2" t="str">
        <v>0730-7268</v>
      </c>
      <c r="L468" s="2" t="str">
        <v>1552-8618</v>
      </c>
      <c r="M468" s="7" t="str">
        <v>ENVIRONMENTAL SCIENCES(SCIE);TOXICOLOGY(SCIE)</v>
      </c>
      <c r="N468" s="7" t="str">
        <v>两份公开汇编一致</v>
      </c>
      <c r="O468" s="7" t="str"/>
      <c r="P468" s="15" t="str">
        <v>JIF来源</v>
      </c>
      <c r="Q468" s="15" t="str">
        <v>分区来源</v>
      </c>
      <c r="R468" s="15" t="str"/>
      <c r="S468" s="14" t="str">
        <v>https://setac.onlinelibrary.wiley.com/journal/15528618</v>
      </c>
      <c r="T468" s="7" t="str">
        <v>ISSN匹配公开元数据；未逐站复核</v>
      </c>
      <c r="U468" s="2" t="str">
        <v>官网来源</v>
      </c>
      <c r="V468" s="2" t="n">
        <v>2026</v>
      </c>
    </row>
    <row r="469" ht="34" customHeight="1">
      <c r="A469" s="7" t="str">
        <v>ECOTOXICOLOGY</v>
      </c>
      <c r="B469" s="7" t="str">
        <v>生态环境与保护</v>
      </c>
      <c r="C469" s="11" t="n">
        <v>4</v>
      </c>
      <c r="D469" s="12" t="n">
        <v>2.7</v>
      </c>
      <c r="E469" s="13" t="n">
        <v>2025</v>
      </c>
      <c r="F469" s="7" t="str">
        <v>其他</v>
      </c>
      <c r="G469" s="7" t="str">
        <v>领域期刊/新兴刊</v>
      </c>
      <c r="H469" s="7" t="str">
        <v>研究/方法/综合</v>
      </c>
      <c r="I469" s="10" t="n">
        <v>2025</v>
      </c>
      <c r="J469" s="2" t="str">
        <v>否</v>
      </c>
      <c r="K469" s="2" t="str">
        <v>0963-9292</v>
      </c>
      <c r="L469" s="2" t="str">
        <v>1573-3017</v>
      </c>
      <c r="M469" s="7" t="str">
        <v>ECOLOGY(SCIE);ENVIRONMENTAL SCIENCES(SCIE);TOXICOLOGY(SCIE)</v>
      </c>
      <c r="N469" s="7" t="str">
        <v>两份公开汇编一致</v>
      </c>
      <c r="O469" s="7" t="str"/>
      <c r="P469" s="15" t="str">
        <v>JIF来源</v>
      </c>
      <c r="Q469" s="15" t="str">
        <v>分区来源</v>
      </c>
      <c r="R469" s="15" t="str"/>
      <c r="S469" s="14" t="str">
        <v>https://link.springer.com/journal/10646</v>
      </c>
      <c r="T469" s="7" t="str">
        <v>ISSN匹配公开元数据；未逐站复核</v>
      </c>
      <c r="U469" s="2" t="str">
        <v>官网来源</v>
      </c>
      <c r="V469" s="2" t="n">
        <v>2026</v>
      </c>
    </row>
    <row r="470" ht="34" customHeight="1">
      <c r="A470" s="7" t="str">
        <v>ENVIRONMENTAL CONSERVATION</v>
      </c>
      <c r="B470" s="7" t="str">
        <v>生态环境与保护</v>
      </c>
      <c r="C470" s="11" t="n">
        <v>4</v>
      </c>
      <c r="D470" s="12" t="n">
        <v>2.5</v>
      </c>
      <c r="E470" s="13" t="n">
        <v>2025</v>
      </c>
      <c r="F470" s="7" t="str">
        <v>其他</v>
      </c>
      <c r="G470" s="7" t="str">
        <v>领域期刊/新兴刊</v>
      </c>
      <c r="H470" s="7" t="str">
        <v>研究/方法/综合</v>
      </c>
      <c r="I470" s="10" t="n">
        <v>2025</v>
      </c>
      <c r="J470" s="2" t="str">
        <v>否</v>
      </c>
      <c r="K470" s="2" t="str">
        <v>0376-8929</v>
      </c>
      <c r="L470" s="2" t="str">
        <v>1469-4387</v>
      </c>
      <c r="M470" s="7" t="str">
        <v>BIODIVERSITY CONSERVATION(SCIE);ENVIRONMENTAL SCIENCES(SCIE)</v>
      </c>
      <c r="N470" s="7" t="str">
        <v>公开汇编已匹配</v>
      </c>
      <c r="O470" s="7" t="str"/>
      <c r="P470" s="15" t="str">
        <v>JIF来源</v>
      </c>
      <c r="Q470" s="15" t="str">
        <v>分区来源</v>
      </c>
      <c r="R470" s="15" t="str"/>
      <c r="S470" s="14" t="str">
        <v>https://www.cambridge.org/core/journals/environmental-conservation</v>
      </c>
      <c r="T470" s="7" t="str">
        <v>ISSN匹配公开元数据；未逐站复核</v>
      </c>
      <c r="U470" s="2" t="str">
        <v>官网来源</v>
      </c>
      <c r="V470" s="2" t="n">
        <v>2026</v>
      </c>
    </row>
    <row r="471" ht="34" customHeight="1">
      <c r="A471" s="7" t="str">
        <v>JOURNAL OF ENVIRONMENTAL QUALITY</v>
      </c>
      <c r="B471" s="7" t="str">
        <v>生态环境与保护</v>
      </c>
      <c r="C471" s="11" t="n">
        <v>4</v>
      </c>
      <c r="D471" s="12" t="n">
        <v>2.6</v>
      </c>
      <c r="E471" s="13" t="n">
        <v>2025</v>
      </c>
      <c r="F471" s="7" t="str">
        <v>其他</v>
      </c>
      <c r="G471" s="7" t="str">
        <v>领域期刊/新兴刊</v>
      </c>
      <c r="H471" s="7" t="str">
        <v>研究/方法/综合</v>
      </c>
      <c r="I471" s="10" t="n">
        <v>2025</v>
      </c>
      <c r="J471" s="2" t="str">
        <v>否</v>
      </c>
      <c r="K471" s="2" t="str">
        <v>0047-2425</v>
      </c>
      <c r="L471" s="2" t="str">
        <v>1537-2537</v>
      </c>
      <c r="M471" s="7" t="str">
        <v>ENVIRONMENTAL SCIENCES(SCIE)</v>
      </c>
      <c r="N471" s="7" t="str">
        <v>公开汇编已匹配</v>
      </c>
      <c r="O471" s="7" t="str"/>
      <c r="P471" s="15" t="str">
        <v>JIF来源</v>
      </c>
      <c r="Q471" s="15" t="str">
        <v>分区来源</v>
      </c>
      <c r="R471" s="15" t="str"/>
      <c r="S471" s="14" t="str">
        <v>https://acsess.onlinelibrary.wiley.com/journal/15372537</v>
      </c>
      <c r="T471" s="7" t="str">
        <v>ISSN匹配公开元数据；未逐站复核</v>
      </c>
      <c r="U471" s="2" t="str">
        <v>官网来源</v>
      </c>
      <c r="V471" s="2" t="n">
        <v>2026</v>
      </c>
    </row>
    <row r="472" ht="34" customHeight="1">
      <c r="A472" s="7" t="str">
        <v>ARCTIC ANTARCTIC AND ALPINE RESEARCH</v>
      </c>
      <c r="B472" s="7" t="str">
        <v>生态环境与保护</v>
      </c>
      <c r="C472" s="11" t="n">
        <v>4</v>
      </c>
      <c r="D472" s="12" t="n">
        <v>2</v>
      </c>
      <c r="E472" s="13" t="n">
        <v>2025</v>
      </c>
      <c r="F472" s="7" t="str">
        <v>其他</v>
      </c>
      <c r="G472" s="7" t="str">
        <v>领域期刊/新兴刊</v>
      </c>
      <c r="H472" s="7" t="str">
        <v>研究/方法/综合</v>
      </c>
      <c r="I472" s="10" t="n">
        <v>2025</v>
      </c>
      <c r="J472" s="2" t="str">
        <v>否</v>
      </c>
      <c r="K472" s="2" t="str">
        <v>1523-0430</v>
      </c>
      <c r="L472" s="2" t="str">
        <v>1938-4246</v>
      </c>
      <c r="M472" s="7" t="str">
        <v>ENVIRONMENTAL SCIENCES(SCIE);GEOGRAPHY, PHYSICAL(SCIE)</v>
      </c>
      <c r="N472" s="7" t="str">
        <v>公开汇编已匹配</v>
      </c>
      <c r="O472" s="7" t="str"/>
      <c r="P472" s="15" t="str">
        <v>JIF来源</v>
      </c>
      <c r="Q472" s="15" t="str">
        <v>分区来源</v>
      </c>
      <c r="R472" s="15" t="str"/>
      <c r="S472" s="14" t="str">
        <v>http://aaarjournal.org/</v>
      </c>
      <c r="T472" s="7" t="str">
        <v>ISSN匹配公开元数据；未逐站复核</v>
      </c>
      <c r="U472" s="2" t="str">
        <v>官网来源</v>
      </c>
      <c r="V472" s="2" t="n">
        <v>2026</v>
      </c>
    </row>
    <row r="473" ht="34" customHeight="1">
      <c r="A473" s="7" t="str">
        <v>WETLANDS</v>
      </c>
      <c r="B473" s="7" t="str">
        <v>生态环境与保护</v>
      </c>
      <c r="C473" s="11" t="n">
        <v>4</v>
      </c>
      <c r="D473" s="12" t="n">
        <v>2.4</v>
      </c>
      <c r="E473" s="13" t="n">
        <v>2025</v>
      </c>
      <c r="F473" s="7" t="str">
        <v>其他</v>
      </c>
      <c r="G473" s="7" t="str">
        <v>领域期刊/新兴刊</v>
      </c>
      <c r="H473" s="7" t="str">
        <v>研究/方法/综合</v>
      </c>
      <c r="I473" s="10" t="n">
        <v>2025</v>
      </c>
      <c r="J473" s="2" t="str">
        <v>否</v>
      </c>
      <c r="K473" s="2" t="str">
        <v>0277-5212</v>
      </c>
      <c r="L473" s="2" t="str">
        <v>1943-6246</v>
      </c>
      <c r="M473" s="7" t="str">
        <v>ECOLOGY(SCIE);ENVIRONMENTAL SCIENCES(SCIE)</v>
      </c>
      <c r="N473" s="7" t="str">
        <v>公开汇编已匹配</v>
      </c>
      <c r="O473" s="7" t="str"/>
      <c r="P473" s="15" t="str">
        <v>JIF来源</v>
      </c>
      <c r="Q473" s="15" t="str">
        <v>分区来源</v>
      </c>
      <c r="R473" s="15" t="str"/>
      <c r="S473" s="14" t="str">
        <v>https://link.springer.com/journal/13157</v>
      </c>
      <c r="T473" s="7" t="str">
        <v>ISSN匹配公开元数据；未逐站复核</v>
      </c>
      <c r="U473" s="2" t="str">
        <v>官网来源</v>
      </c>
      <c r="V473" s="2" t="n">
        <v>2026</v>
      </c>
    </row>
    <row r="474" ht="34" customHeight="1">
      <c r="A474" s="7" t="str">
        <v>PLANT ECOLOGY</v>
      </c>
      <c r="B474" s="7" t="str">
        <v>生态环境与保护</v>
      </c>
      <c r="C474" s="11" t="n">
        <v>4</v>
      </c>
      <c r="D474" s="12" t="n">
        <v>1.8</v>
      </c>
      <c r="E474" s="13" t="n">
        <v>2025</v>
      </c>
      <c r="F474" s="7" t="str">
        <v>其他</v>
      </c>
      <c r="G474" s="7" t="str">
        <v>领域期刊/新兴刊</v>
      </c>
      <c r="H474" s="7" t="str">
        <v>研究/方法/综合</v>
      </c>
      <c r="I474" s="10" t="n">
        <v>2025</v>
      </c>
      <c r="J474" s="2" t="str">
        <v>否</v>
      </c>
      <c r="K474" s="2" t="str">
        <v>1385-0237</v>
      </c>
      <c r="L474" s="2" t="str">
        <v>1573-5052</v>
      </c>
      <c r="M474" s="7" t="str">
        <v>ECOLOGY(SCIE);FORESTRY(SCIE);PLANT SCIENCES(SCIE)</v>
      </c>
      <c r="N474" s="7" t="str">
        <v>公开汇编已匹配</v>
      </c>
      <c r="O474" s="7" t="str"/>
      <c r="P474" s="15" t="str">
        <v>JIF来源</v>
      </c>
      <c r="Q474" s="15" t="str">
        <v>分区来源</v>
      </c>
      <c r="R474" s="15" t="str"/>
      <c r="S474" s="14" t="str">
        <v>http://www.springer.com/life+sciences/plant+sciences/journal/11258</v>
      </c>
      <c r="T474" s="7" t="str">
        <v>ISSN匹配公开元数据；未逐站复核</v>
      </c>
      <c r="U474" s="2" t="str">
        <v>官网来源</v>
      </c>
      <c r="V474" s="2" t="n">
        <v>2026</v>
      </c>
    </row>
    <row r="475" ht="34" customHeight="1">
      <c r="A475" s="7" t="str">
        <v>TROPICAL ECOLOGY</v>
      </c>
      <c r="B475" s="7" t="str">
        <v>生态环境与保护</v>
      </c>
      <c r="C475" s="11" t="n">
        <v>4</v>
      </c>
      <c r="D475" s="12" t="n">
        <v>1.9</v>
      </c>
      <c r="E475" s="13" t="n">
        <v>2025</v>
      </c>
      <c r="F475" s="7" t="str">
        <v>其他</v>
      </c>
      <c r="G475" s="7" t="str">
        <v>领域期刊/新兴刊</v>
      </c>
      <c r="H475" s="7" t="str">
        <v>研究/方法/综合</v>
      </c>
      <c r="I475" s="10" t="n">
        <v>2025</v>
      </c>
      <c r="J475" s="2" t="str">
        <v>否</v>
      </c>
      <c r="K475" s="2" t="str">
        <v>0564-3295</v>
      </c>
      <c r="L475" s="2" t="str">
        <v>2661-8982</v>
      </c>
      <c r="M475" s="7" t="str">
        <v>ECOLOGY(SCIE)</v>
      </c>
      <c r="N475" s="7" t="str">
        <v>公开汇编已匹配</v>
      </c>
      <c r="O475" s="7" t="str"/>
      <c r="P475" s="15" t="str">
        <v>JIF来源</v>
      </c>
      <c r="Q475" s="15" t="str">
        <v>分区来源</v>
      </c>
      <c r="R475" s="15" t="str"/>
      <c r="S475" s="14" t="str">
        <v>https://link.springer.com/journal/42965</v>
      </c>
      <c r="T475" s="7" t="str">
        <v>ISSN匹配公开元数据；未逐站复核</v>
      </c>
      <c r="U475" s="2" t="str">
        <v>官网来源</v>
      </c>
      <c r="V475" s="2" t="n">
        <v>2026</v>
      </c>
    </row>
    <row r="476" ht="34" customHeight="1">
      <c r="A476" s="7" t="str">
        <v>POLAR BIOLOGY</v>
      </c>
      <c r="B476" s="7" t="str">
        <v>生态环境与保护</v>
      </c>
      <c r="C476" s="11" t="n">
        <v>4</v>
      </c>
      <c r="D476" s="12" t="n">
        <v>1.4</v>
      </c>
      <c r="E476" s="13" t="n">
        <v>2025</v>
      </c>
      <c r="F476" s="7" t="str">
        <v>其他</v>
      </c>
      <c r="G476" s="7" t="str">
        <v>领域期刊/新兴刊</v>
      </c>
      <c r="H476" s="7" t="str">
        <v>研究/方法/综合</v>
      </c>
      <c r="I476" s="10" t="n">
        <v>2025</v>
      </c>
      <c r="J476" s="2" t="str">
        <v>否</v>
      </c>
      <c r="K476" s="2" t="str">
        <v>0722-4060</v>
      </c>
      <c r="L476" s="2" t="str">
        <v>1432-2056</v>
      </c>
      <c r="M476" s="7" t="str">
        <v>BIODIVERSITY CONSERVATION(SCIE);ECOLOGY(SCIE)</v>
      </c>
      <c r="N476" s="7" t="str">
        <v>公开汇编已匹配</v>
      </c>
      <c r="O476" s="7" t="str"/>
      <c r="P476" s="15" t="str">
        <v>JIF来源</v>
      </c>
      <c r="Q476" s="15" t="str">
        <v>分区来源</v>
      </c>
      <c r="R476" s="15" t="str"/>
      <c r="S476" s="14" t="str">
        <v>https://www.springer.com/journal/300</v>
      </c>
      <c r="T476" s="7" t="str">
        <v>ISSN匹配公开元数据；未逐站复核</v>
      </c>
      <c r="U476" s="2" t="str">
        <v>官网来源</v>
      </c>
      <c r="V476" s="2" t="n">
        <v>2026</v>
      </c>
    </row>
    <row r="477" ht="34" customHeight="1">
      <c r="A477" s="7" t="str">
        <v>WETLANDS ECOLOGY AND MANAGEMENT</v>
      </c>
      <c r="B477" s="7" t="str">
        <v>生态环境与保护</v>
      </c>
      <c r="C477" s="11" t="n">
        <v>4</v>
      </c>
      <c r="D477" s="12" t="n">
        <v>1.8</v>
      </c>
      <c r="E477" s="13" t="n">
        <v>2025</v>
      </c>
      <c r="F477" s="7" t="str">
        <v>其他</v>
      </c>
      <c r="G477" s="7" t="str">
        <v>领域期刊/新兴刊</v>
      </c>
      <c r="H477" s="7" t="str">
        <v>研究/方法/综合</v>
      </c>
      <c r="I477" s="10" t="n">
        <v>2025</v>
      </c>
      <c r="J477" s="2" t="str">
        <v>否</v>
      </c>
      <c r="K477" s="2" t="str">
        <v>0923-4861</v>
      </c>
      <c r="L477" s="2" t="str">
        <v>1572-9834</v>
      </c>
      <c r="M477" s="7" t="str">
        <v>ENVIRONMENTAL SCIENCES(SCIE);WATER RESOURCES(SCIE)</v>
      </c>
      <c r="N477" s="7" t="str">
        <v>公开汇编已匹配</v>
      </c>
      <c r="O477" s="7" t="str"/>
      <c r="P477" s="15" t="str">
        <v>JIF来源</v>
      </c>
      <c r="Q477" s="15" t="str">
        <v>分区来源</v>
      </c>
      <c r="R477" s="15" t="str"/>
      <c r="S477" s="14" t="str">
        <v>https://link.springer.com/journal/11273</v>
      </c>
      <c r="T477" s="7" t="str">
        <v>ISSN匹配公开元数据；未逐站复核</v>
      </c>
      <c r="U477" s="2" t="str">
        <v>官网来源</v>
      </c>
      <c r="V477" s="2" t="n">
        <v>2026</v>
      </c>
    </row>
    <row r="478" ht="34" customHeight="1">
      <c r="A478" s="7" t="str">
        <v>Nature Water</v>
      </c>
      <c r="B478" s="7" t="str">
        <v>生态环境与保护</v>
      </c>
      <c r="C478" s="11"/>
      <c r="D478" s="12" t="n">
        <v>30.7</v>
      </c>
      <c r="E478" s="13" t="n">
        <v>2025</v>
      </c>
      <c r="F478" s="7" t="str">
        <v>Nature Portfolio（含合作刊）</v>
      </c>
      <c r="G478" s="7" t="str">
        <v>领域期刊/新兴刊</v>
      </c>
      <c r="H478" s="7" t="str">
        <v>研究/方法/综合</v>
      </c>
      <c r="I478" s="10" t="n">
        <v>2025</v>
      </c>
      <c r="J478" s="2" t="str">
        <v>未检得</v>
      </c>
      <c r="K478" s="2" t="str"/>
      <c r="L478" s="2" t="str">
        <v>2731-6084</v>
      </c>
      <c r="M478" s="7" t="str">
        <v>ENVIRONMENTAL SCIENCES(ESCI);WATER RESOURCES(ESCI)</v>
      </c>
      <c r="N478" s="7" t="str">
        <v>两份公开汇编一致</v>
      </c>
      <c r="O478" s="7" t="str"/>
      <c r="P478" s="15" t="str">
        <v>JIF来源</v>
      </c>
      <c r="Q478" s="15" t="str"/>
      <c r="R478" s="15" t="str"/>
      <c r="S478" s="14" t="str">
        <v>https://www.nature.com/natwater/</v>
      </c>
      <c r="T478" s="7" t="str">
        <v>出版社/期刊主页匹配</v>
      </c>
      <c r="U478" s="2" t="str">
        <v>官网来源</v>
      </c>
      <c r="V478" s="2" t="n">
        <v>2026</v>
      </c>
    </row>
    <row r="479" ht="34" customHeight="1">
      <c r="A479" s="7" t="str">
        <v>Cell Reports Sustainability</v>
      </c>
      <c r="B479" s="7" t="str">
        <v>生态环境与保护</v>
      </c>
      <c r="C479" s="11"/>
      <c r="D479" s="12" t="n">
        <v>7.5</v>
      </c>
      <c r="E479" s="13" t="n">
        <v>2025</v>
      </c>
      <c r="F479" s="7" t="str">
        <v>Cell Press（含合作刊）</v>
      </c>
      <c r="G479" s="7" t="str">
        <v>领域期刊/新兴刊</v>
      </c>
      <c r="H479" s="7" t="str">
        <v>研究/方法/综合</v>
      </c>
      <c r="I479" s="10" t="n">
        <v>2025</v>
      </c>
      <c r="J479" s="2" t="str">
        <v>未检得</v>
      </c>
      <c r="K479" s="2" t="str"/>
      <c r="L479" s="2" t="str">
        <v>2949-7906</v>
      </c>
      <c r="M479" s="7" t="str"/>
      <c r="N479" s="7" t="str">
        <v>两份公开汇编一致</v>
      </c>
      <c r="O479" s="7" t="str"/>
      <c r="P479" s="15" t="str">
        <v>JIF来源</v>
      </c>
      <c r="Q479" s="15" t="str"/>
      <c r="R479" s="15" t="str"/>
      <c r="S479" s="14" t="str">
        <v>https://www.cell.com/cell-reports-sustainability/home</v>
      </c>
      <c r="T479" s="7" t="str">
        <v>出版社/期刊主页匹配</v>
      </c>
      <c r="U479" s="2" t="str">
        <v>官网来源</v>
      </c>
      <c r="V479" s="2" t="n">
        <v>2026</v>
      </c>
    </row>
    <row r="480" ht="34" customHeight="1">
      <c r="A480" s="7" t="str">
        <v>Chemosphere</v>
      </c>
      <c r="B480" s="7" t="str">
        <v>生态环境与保护</v>
      </c>
      <c r="C480" s="11"/>
      <c r="D480" s="12"/>
      <c r="E480" s="13" t="n">
        <v>2025</v>
      </c>
      <c r="F480" s="7" t="str">
        <v>其他</v>
      </c>
      <c r="G480" s="7" t="str">
        <v>经典专业刊</v>
      </c>
      <c r="H480" s="7" t="str">
        <v>研究/方法/综合</v>
      </c>
      <c r="I480" s="10" t="n">
        <v>2025</v>
      </c>
      <c r="J480" s="2" t="str">
        <v>未检得</v>
      </c>
      <c r="K480" s="2" t="str"/>
      <c r="L480" s="2" t="str"/>
      <c r="M480" s="7" t="str"/>
      <c r="N480" s="7" t="str">
        <v>2025 JIF未检得/未给值</v>
      </c>
      <c r="O480" s="7" t="str">
        <v>所用2026发布来源未检得2025 JIF数值；未沿用往年指标。</v>
      </c>
      <c r="P480" s="15" t="str">
        <v>JIF来源</v>
      </c>
      <c r="Q480" s="15" t="str"/>
      <c r="R480" s="15" t="str"/>
      <c r="S480" s="14" t="str">
        <v>https://www.sciencedirect.com/journal/chemosphere</v>
      </c>
      <c r="T480" s="7" t="str">
        <v>出版社/期刊主页匹配</v>
      </c>
      <c r="U480" s="2" t="str">
        <v>官网来源</v>
      </c>
      <c r="V480" s="2" t="n">
        <v>2026</v>
      </c>
    </row>
    <row r="481" ht="34" customHeight="1">
      <c r="A481" s="7" t="str">
        <v>Environmental Science and Pollution Research</v>
      </c>
      <c r="B481" s="7" t="str">
        <v>生态环境与保护</v>
      </c>
      <c r="C481" s="11"/>
      <c r="D481" s="12"/>
      <c r="E481" s="13" t="n">
        <v>2025</v>
      </c>
      <c r="F481" s="7" t="str">
        <v>其他</v>
      </c>
      <c r="G481" s="7" t="str">
        <v>领域期刊/新兴刊</v>
      </c>
      <c r="H481" s="7" t="str">
        <v>研究/方法/综合</v>
      </c>
      <c r="I481" s="10" t="n">
        <v>2025</v>
      </c>
      <c r="J481" s="2" t="str">
        <v>未检得</v>
      </c>
      <c r="K481" s="2" t="str"/>
      <c r="L481" s="2" t="str"/>
      <c r="M481" s="7" t="str"/>
      <c r="N481" s="7" t="str">
        <v>2025 JIF未检得/未给值</v>
      </c>
      <c r="O481" s="7" t="str">
        <v>所用2026发布来源未检得2025 JIF数值；未沿用往年指标。</v>
      </c>
      <c r="P481" s="15" t="str">
        <v>JIF来源</v>
      </c>
      <c r="Q481" s="15" t="str"/>
      <c r="R481" s="15" t="str"/>
      <c r="S481" s="14" t="str">
        <v>https://link.springer.com/journal/11356</v>
      </c>
      <c r="T481" s="7" t="str">
        <v>出版社/期刊主页匹配</v>
      </c>
      <c r="U481" s="2" t="str">
        <v>官网来源</v>
      </c>
      <c r="V481" s="2" t="n">
        <v>2026</v>
      </c>
    </row>
    <row r="482" ht="34" customHeight="1">
      <c r="A482" s="7" t="str">
        <v>npj Biodiversity</v>
      </c>
      <c r="B482" s="7" t="str">
        <v>生态环境与保护</v>
      </c>
      <c r="C482" s="11"/>
      <c r="D482" s="12" t="n">
        <v>10.7</v>
      </c>
      <c r="E482" s="13" t="n">
        <v>2025</v>
      </c>
      <c r="F482" s="7" t="str">
        <v>Nature Portfolio（含合作刊）</v>
      </c>
      <c r="G482" s="7" t="str">
        <v>领域期刊/新兴刊</v>
      </c>
      <c r="H482" s="7" t="str">
        <v>研究/方法/综合</v>
      </c>
      <c r="I482" s="10" t="n">
        <v>2025</v>
      </c>
      <c r="J482" s="2" t="str">
        <v>未检得</v>
      </c>
      <c r="K482" s="2" t="str"/>
      <c r="L482" s="2" t="str">
        <v>2731-4243</v>
      </c>
      <c r="M482" s="7" t="str"/>
      <c r="N482" s="7" t="str">
        <v>已核对出版社2025指标</v>
      </c>
      <c r="O482" s="7" t="str"/>
      <c r="P482" s="15" t="str">
        <v>JIF来源</v>
      </c>
      <c r="Q482" s="15" t="str"/>
      <c r="R482" s="15" t="str">
        <v>补充证据</v>
      </c>
      <c r="S482" s="14" t="str">
        <v>https://www.nature.com/npjbiodivers/</v>
      </c>
      <c r="T482" s="7" t="str">
        <v>出版社/期刊主页匹配</v>
      </c>
      <c r="U482" s="2" t="str">
        <v>官网来源</v>
      </c>
      <c r="V482" s="2" t="n">
        <v>2026</v>
      </c>
    </row>
    <row r="483" ht="34" customHeight="1">
      <c r="A483" s="7" t="str">
        <v>NATURE REVIEWS MICROBIOLOGY</v>
      </c>
      <c r="B483" s="7" t="str">
        <v>微生物真菌与生物技术</v>
      </c>
      <c r="C483" s="11" t="n">
        <v>1</v>
      </c>
      <c r="D483" s="12" t="n">
        <v>104.6</v>
      </c>
      <c r="E483" s="13" t="n">
        <v>2025</v>
      </c>
      <c r="F483" s="7" t="str">
        <v>Nature Portfolio（含合作刊）</v>
      </c>
      <c r="G483" s="7" t="str">
        <v>领域期刊/新兴刊</v>
      </c>
      <c r="H483" s="7" t="str">
        <v>综述为主</v>
      </c>
      <c r="I483" s="10" t="n">
        <v>2025</v>
      </c>
      <c r="J483" s="2" t="str">
        <v>是</v>
      </c>
      <c r="K483" s="2" t="str">
        <v>1740-1526</v>
      </c>
      <c r="L483" s="2" t="str">
        <v>1740-1534</v>
      </c>
      <c r="M483" s="7" t="str">
        <v>MICROBIOLOGY(SCIE)</v>
      </c>
      <c r="N483" s="7" t="str">
        <v>两份公开汇编一致</v>
      </c>
      <c r="O483" s="7" t="str"/>
      <c r="P483" s="15" t="str">
        <v>JIF来源</v>
      </c>
      <c r="Q483" s="15" t="str">
        <v>分区来源</v>
      </c>
      <c r="R483" s="15" t="str"/>
      <c r="S483" s="14" t="str">
        <v>https://www.nature.com/nrmicro/</v>
      </c>
      <c r="T483" s="7" t="str">
        <v>ISSN匹配公开元数据；未逐站复核</v>
      </c>
      <c r="U483" s="2" t="str">
        <v>官网来源</v>
      </c>
      <c r="V483" s="2" t="n">
        <v>2026</v>
      </c>
    </row>
    <row r="484" ht="34" customHeight="1">
      <c r="A484" s="7" t="str">
        <v>Nature Reviews Chemistry</v>
      </c>
      <c r="B484" s="7" t="str">
        <v>微生物真菌与生物技术</v>
      </c>
      <c r="C484" s="11" t="n">
        <v>1</v>
      </c>
      <c r="D484" s="12" t="n">
        <v>50.3</v>
      </c>
      <c r="E484" s="13" t="n">
        <v>2025</v>
      </c>
      <c r="F484" s="7" t="str">
        <v>Nature Portfolio（含合作刊）</v>
      </c>
      <c r="G484" s="7" t="str">
        <v>领域期刊/新兴刊</v>
      </c>
      <c r="H484" s="7" t="str">
        <v>综述为主</v>
      </c>
      <c r="I484" s="10" t="n">
        <v>2025</v>
      </c>
      <c r="J484" s="2" t="str">
        <v>是</v>
      </c>
      <c r="K484" s="2" t="str"/>
      <c r="L484" s="2" t="str">
        <v>2397-3358</v>
      </c>
      <c r="M484" s="7" t="str">
        <v>CHEMISTRY, MULTIDISCIPLINARY(SCIE)</v>
      </c>
      <c r="N484" s="7" t="str">
        <v>两份公开汇编一致</v>
      </c>
      <c r="O484" s="7" t="str"/>
      <c r="P484" s="15" t="str">
        <v>JIF来源</v>
      </c>
      <c r="Q484" s="15" t="str">
        <v>分区来源</v>
      </c>
      <c r="R484" s="15" t="str"/>
      <c r="S484" s="14" t="str">
        <v>https://www.nature.com/natrevchem/</v>
      </c>
      <c r="T484" s="7" t="str">
        <v>ISSN匹配公开元数据；未逐站复核</v>
      </c>
      <c r="U484" s="2" t="str">
        <v>官网来源</v>
      </c>
      <c r="V484" s="2" t="n">
        <v>2026</v>
      </c>
    </row>
    <row r="485" ht="34" customHeight="1">
      <c r="A485" s="7" t="str">
        <v>NATURE BIOTECHNOLOGY</v>
      </c>
      <c r="B485" s="7" t="str">
        <v>微生物真菌与生物技术</v>
      </c>
      <c r="C485" s="11" t="n">
        <v>1</v>
      </c>
      <c r="D485" s="12" t="n">
        <v>44.5</v>
      </c>
      <c r="E485" s="13" t="n">
        <v>2025</v>
      </c>
      <c r="F485" s="7" t="str">
        <v>Nature Portfolio（含合作刊）</v>
      </c>
      <c r="G485" s="7" t="str">
        <v>领域期刊/新兴刊</v>
      </c>
      <c r="H485" s="7" t="str">
        <v>研究/方法/综合</v>
      </c>
      <c r="I485" s="10" t="n">
        <v>2025</v>
      </c>
      <c r="J485" s="2" t="str">
        <v>是</v>
      </c>
      <c r="K485" s="2" t="str">
        <v>1087-0156</v>
      </c>
      <c r="L485" s="2" t="str">
        <v>1546-1696</v>
      </c>
      <c r="M485" s="7" t="str">
        <v>BIOTECHNOLOGY &amp; APPLIED MICROBIOLOGY(SCIE)</v>
      </c>
      <c r="N485" s="7" t="str">
        <v>两份公开汇编一致</v>
      </c>
      <c r="O485" s="7" t="str"/>
      <c r="P485" s="15" t="str">
        <v>JIF来源</v>
      </c>
      <c r="Q485" s="15" t="str">
        <v>分区来源</v>
      </c>
      <c r="R485" s="15" t="str"/>
      <c r="S485" s="14" t="str">
        <v>http://www.nature.com/nbt</v>
      </c>
      <c r="T485" s="7" t="str">
        <v>ISSN匹配公开元数据；未逐站复核</v>
      </c>
      <c r="U485" s="2" t="str">
        <v>官网来源</v>
      </c>
      <c r="V485" s="2" t="n">
        <v>2026</v>
      </c>
    </row>
    <row r="486" ht="34" customHeight="1">
      <c r="A486" s="7" t="str">
        <v>Nature Biomedical Engineering</v>
      </c>
      <c r="B486" s="7" t="str">
        <v>微生物真菌与生物技术</v>
      </c>
      <c r="C486" s="11" t="n">
        <v>1</v>
      </c>
      <c r="D486" s="12" t="n">
        <v>26.3</v>
      </c>
      <c r="E486" s="13" t="n">
        <v>2025</v>
      </c>
      <c r="F486" s="7" t="str">
        <v>Nature Portfolio（含合作刊）</v>
      </c>
      <c r="G486" s="7" t="str">
        <v>领域期刊/新兴刊</v>
      </c>
      <c r="H486" s="7" t="str">
        <v>研究/方法/综合</v>
      </c>
      <c r="I486" s="10" t="n">
        <v>2025</v>
      </c>
      <c r="J486" s="2" t="str">
        <v>是</v>
      </c>
      <c r="K486" s="2" t="str">
        <v>2157-846X</v>
      </c>
      <c r="L486" s="2" t="str">
        <v>2157-846X</v>
      </c>
      <c r="M486" s="7" t="str">
        <v>ENGINEERING, BIOMEDICAL(SCIE)</v>
      </c>
      <c r="N486" s="7" t="str">
        <v>两份公开汇编一致</v>
      </c>
      <c r="O486" s="7" t="str"/>
      <c r="P486" s="15" t="str">
        <v>JIF来源</v>
      </c>
      <c r="Q486" s="15" t="str">
        <v>分区来源</v>
      </c>
      <c r="R486" s="15" t="str"/>
      <c r="S486" s="14" t="str">
        <v>https://www.nature.com/natbiomedeng/</v>
      </c>
      <c r="T486" s="7" t="str">
        <v>ISSN匹配公开元数据；未逐站复核</v>
      </c>
      <c r="U486" s="2" t="str">
        <v>官网来源</v>
      </c>
      <c r="V486" s="2" t="n">
        <v>2026</v>
      </c>
    </row>
    <row r="487" ht="34" customHeight="1">
      <c r="A487" s="7" t="str">
        <v>FUNGAL DIVERSITY</v>
      </c>
      <c r="B487" s="7" t="str">
        <v>微生物真菌与生物技术</v>
      </c>
      <c r="C487" s="11" t="n">
        <v>1</v>
      </c>
      <c r="D487" s="12" t="n">
        <v>27</v>
      </c>
      <c r="E487" s="13" t="n">
        <v>2025</v>
      </c>
      <c r="F487" s="7" t="str">
        <v>其他</v>
      </c>
      <c r="G487" s="7" t="str">
        <v>领域期刊/新兴刊</v>
      </c>
      <c r="H487" s="7" t="str">
        <v>研究/方法/综合</v>
      </c>
      <c r="I487" s="10" t="n">
        <v>2025</v>
      </c>
      <c r="J487" s="2" t="str">
        <v>是</v>
      </c>
      <c r="K487" s="2" t="str">
        <v>1560-2745</v>
      </c>
      <c r="L487" s="2" t="str">
        <v>1878-9129</v>
      </c>
      <c r="M487" s="7" t="str">
        <v>MYCOLOGY(SCIE)</v>
      </c>
      <c r="N487" s="7" t="str">
        <v>两份公开汇编一致</v>
      </c>
      <c r="O487" s="7" t="str"/>
      <c r="P487" s="15" t="str">
        <v>JIF来源</v>
      </c>
      <c r="Q487" s="15" t="str">
        <v>分区来源</v>
      </c>
      <c r="R487" s="15" t="str"/>
      <c r="S487" s="14" t="str">
        <v>https://www.springer.com/journal/13225</v>
      </c>
      <c r="T487" s="7" t="str">
        <v>ISSN匹配公开元数据；未逐站复核</v>
      </c>
      <c r="U487" s="2" t="str">
        <v>官网来源</v>
      </c>
      <c r="V487" s="2" t="n">
        <v>2026</v>
      </c>
    </row>
    <row r="488" ht="34" customHeight="1">
      <c r="A488" s="7" t="str">
        <v>Nature Microbiology</v>
      </c>
      <c r="B488" s="7" t="str">
        <v>微生物真菌与生物技术</v>
      </c>
      <c r="C488" s="11" t="n">
        <v>1</v>
      </c>
      <c r="D488" s="12" t="n">
        <v>18.7</v>
      </c>
      <c r="E488" s="13" t="n">
        <v>2025</v>
      </c>
      <c r="F488" s="7" t="str">
        <v>Nature Portfolio（含合作刊）</v>
      </c>
      <c r="G488" s="7" t="str">
        <v>领域期刊/新兴刊</v>
      </c>
      <c r="H488" s="7" t="str">
        <v>研究/方法/综合</v>
      </c>
      <c r="I488" s="10" t="n">
        <v>2025</v>
      </c>
      <c r="J488" s="2" t="str">
        <v>是</v>
      </c>
      <c r="K488" s="2" t="str">
        <v>2058-5276</v>
      </c>
      <c r="L488" s="2" t="str">
        <v>2058-5276</v>
      </c>
      <c r="M488" s="7" t="str">
        <v>MICROBIOLOGY(SCIE)</v>
      </c>
      <c r="N488" s="7" t="str">
        <v>两份公开汇编一致</v>
      </c>
      <c r="O488" s="7" t="str"/>
      <c r="P488" s="15" t="str">
        <v>JIF来源</v>
      </c>
      <c r="Q488" s="15" t="str">
        <v>分区来源</v>
      </c>
      <c r="R488" s="15" t="str"/>
      <c r="S488" s="14" t="str">
        <v>http://www.nature.com/nmicrobiol/</v>
      </c>
      <c r="T488" s="7" t="str">
        <v>ISSN匹配公开元数据；未逐站复核</v>
      </c>
      <c r="U488" s="2" t="str">
        <v>官网来源</v>
      </c>
      <c r="V488" s="2" t="n">
        <v>2026</v>
      </c>
    </row>
    <row r="489" ht="34" customHeight="1">
      <c r="A489" s="7" t="str">
        <v>STUDIES IN MYCOLOGY</v>
      </c>
      <c r="B489" s="7" t="str">
        <v>微生物真菌与生物技术</v>
      </c>
      <c r="C489" s="11" t="n">
        <v>1</v>
      </c>
      <c r="D489" s="12" t="n">
        <v>18.3</v>
      </c>
      <c r="E489" s="13" t="n">
        <v>2025</v>
      </c>
      <c r="F489" s="7" t="str">
        <v>其他</v>
      </c>
      <c r="G489" s="7" t="str">
        <v>领域期刊/新兴刊</v>
      </c>
      <c r="H489" s="7" t="str">
        <v>研究/方法/综合</v>
      </c>
      <c r="I489" s="10" t="n">
        <v>2025</v>
      </c>
      <c r="J489" s="2" t="str">
        <v>是</v>
      </c>
      <c r="K489" s="2" t="str">
        <v>0166-0616</v>
      </c>
      <c r="L489" s="2" t="str">
        <v>1872-9797</v>
      </c>
      <c r="M489" s="7" t="str">
        <v>MYCOLOGY(SCIE)</v>
      </c>
      <c r="N489" s="7" t="str">
        <v>两份公开汇编一致</v>
      </c>
      <c r="O489" s="7" t="str"/>
      <c r="P489" s="15" t="str">
        <v>JIF来源</v>
      </c>
      <c r="Q489" s="15" t="str">
        <v>分区来源</v>
      </c>
      <c r="R489" s="15" t="str"/>
      <c r="S489" s="14" t="str">
        <v>https://www.journals.elsevier.com/studies-in-mycology</v>
      </c>
      <c r="T489" s="7" t="str">
        <v>ISSN匹配公开元数据；未逐站复核</v>
      </c>
      <c r="U489" s="2" t="str">
        <v>官网来源</v>
      </c>
      <c r="V489" s="2" t="n">
        <v>2026</v>
      </c>
    </row>
    <row r="490" ht="34" customHeight="1">
      <c r="A490" s="7" t="str">
        <v>Mycosphere</v>
      </c>
      <c r="B490" s="7" t="str">
        <v>微生物真菌与生物技术</v>
      </c>
      <c r="C490" s="11" t="n">
        <v>1</v>
      </c>
      <c r="D490" s="12" t="n">
        <v>19.9</v>
      </c>
      <c r="E490" s="13" t="n">
        <v>2025</v>
      </c>
      <c r="F490" s="7" t="str">
        <v>其他</v>
      </c>
      <c r="G490" s="7" t="str">
        <v>领域期刊/新兴刊</v>
      </c>
      <c r="H490" s="7" t="str">
        <v>研究/方法/综合</v>
      </c>
      <c r="I490" s="10" t="n">
        <v>2025</v>
      </c>
      <c r="J490" s="2" t="str">
        <v>是</v>
      </c>
      <c r="K490" s="2" t="str">
        <v>2077-7000</v>
      </c>
      <c r="L490" s="2" t="str">
        <v>2077-7019</v>
      </c>
      <c r="M490" s="7" t="str">
        <v>MYCOLOGY(SCIE)</v>
      </c>
      <c r="N490" s="7" t="str">
        <v>两份公开汇编一致</v>
      </c>
      <c r="O490" s="7" t="str"/>
      <c r="P490" s="15" t="str">
        <v>JIF来源</v>
      </c>
      <c r="Q490" s="15" t="str">
        <v>分区来源</v>
      </c>
      <c r="R490" s="15" t="str"/>
      <c r="S490" s="14" t="str">
        <v>http://www.mycosphere.org/</v>
      </c>
      <c r="T490" s="7" t="str">
        <v>ISSN匹配公开元数据；未逐站复核</v>
      </c>
      <c r="U490" s="2" t="str">
        <v>官网来源</v>
      </c>
      <c r="V490" s="2" t="n">
        <v>2026</v>
      </c>
    </row>
    <row r="491" ht="34" customHeight="1">
      <c r="A491" s="7" t="str">
        <v>TRENDS IN BIOTECHNOLOGY</v>
      </c>
      <c r="B491" s="7" t="str">
        <v>微生物真菌与生物技术</v>
      </c>
      <c r="C491" s="11" t="n">
        <v>1</v>
      </c>
      <c r="D491" s="12" t="n">
        <v>16.6</v>
      </c>
      <c r="E491" s="13" t="n">
        <v>2025</v>
      </c>
      <c r="F491" s="7" t="str">
        <v>Cell Press（含合作刊）</v>
      </c>
      <c r="G491" s="7" t="str">
        <v>领域期刊/新兴刊</v>
      </c>
      <c r="H491" s="7" t="str">
        <v>综述为主</v>
      </c>
      <c r="I491" s="10" t="n">
        <v>2025</v>
      </c>
      <c r="J491" s="2" t="str">
        <v>是</v>
      </c>
      <c r="K491" s="2" t="str">
        <v>0167-7799</v>
      </c>
      <c r="L491" s="2" t="str">
        <v>1879-3096</v>
      </c>
      <c r="M491" s="7" t="str">
        <v>BIOTECHNOLOGY &amp; APPLIED MICROBIOLOGY(SCIE)</v>
      </c>
      <c r="N491" s="7" t="str">
        <v>两份公开汇编一致</v>
      </c>
      <c r="O491" s="7" t="str"/>
      <c r="P491" s="15" t="str">
        <v>JIF来源</v>
      </c>
      <c r="Q491" s="15" t="str">
        <v>分区来源</v>
      </c>
      <c r="R491" s="15" t="str"/>
      <c r="S491" s="14" t="str">
        <v>https://www.sciencedirect.com/journal/trends-in-biotechnology</v>
      </c>
      <c r="T491" s="7" t="str">
        <v>ISSN匹配公开元数据；未逐站复核</v>
      </c>
      <c r="U491" s="2" t="str">
        <v>官网来源</v>
      </c>
      <c r="V491" s="2" t="n">
        <v>2026</v>
      </c>
    </row>
    <row r="492" ht="34" customHeight="1">
      <c r="A492" s="7" t="str">
        <v>TRENDS IN MICROBIOLOGY</v>
      </c>
      <c r="B492" s="7" t="str">
        <v>微生物真菌与生物技术</v>
      </c>
      <c r="C492" s="11" t="n">
        <v>1</v>
      </c>
      <c r="D492" s="12" t="n">
        <v>18.7</v>
      </c>
      <c r="E492" s="13" t="n">
        <v>2025</v>
      </c>
      <c r="F492" s="7" t="str">
        <v>Cell Press（含合作刊）</v>
      </c>
      <c r="G492" s="7" t="str">
        <v>领域期刊/新兴刊</v>
      </c>
      <c r="H492" s="7" t="str">
        <v>综述为主</v>
      </c>
      <c r="I492" s="10" t="n">
        <v>2025</v>
      </c>
      <c r="J492" s="2" t="str">
        <v>是</v>
      </c>
      <c r="K492" s="2" t="str">
        <v>0966-842X</v>
      </c>
      <c r="L492" s="2" t="str">
        <v>1878-4380</v>
      </c>
      <c r="M492" s="7" t="str">
        <v>BIOCHEMISTRY &amp; MOLECULAR BIOLOGY(SCIE);MICROBIOLOGY(SCIE)</v>
      </c>
      <c r="N492" s="7" t="str">
        <v>两份公开汇编一致</v>
      </c>
      <c r="O492" s="7" t="str"/>
      <c r="P492" s="15" t="str">
        <v>JIF来源</v>
      </c>
      <c r="Q492" s="15" t="str">
        <v>分区来源</v>
      </c>
      <c r="R492" s="15" t="str"/>
      <c r="S492" s="14" t="str">
        <v>https://www.journals.elsevier.com/trends-in-microbiology</v>
      </c>
      <c r="T492" s="7" t="str">
        <v>ISSN匹配公开元数据；未逐站复核</v>
      </c>
      <c r="U492" s="2" t="str">
        <v>官网来源</v>
      </c>
      <c r="V492" s="2" t="n">
        <v>2026</v>
      </c>
    </row>
    <row r="493" ht="34" customHeight="1">
      <c r="A493" s="7" t="str">
        <v>Nature Chemical Biology</v>
      </c>
      <c r="B493" s="7" t="str">
        <v>微生物真菌与生物技术</v>
      </c>
      <c r="C493" s="11" t="n">
        <v>1</v>
      </c>
      <c r="D493" s="12" t="n">
        <v>15.8</v>
      </c>
      <c r="E493" s="13" t="n">
        <v>2025</v>
      </c>
      <c r="F493" s="7" t="str">
        <v>Nature Portfolio（含合作刊）</v>
      </c>
      <c r="G493" s="7" t="str">
        <v>领域期刊/新兴刊</v>
      </c>
      <c r="H493" s="7" t="str">
        <v>研究/方法/综合</v>
      </c>
      <c r="I493" s="10" t="n">
        <v>2025</v>
      </c>
      <c r="J493" s="2" t="str">
        <v>是</v>
      </c>
      <c r="K493" s="2" t="str">
        <v>1552-4450</v>
      </c>
      <c r="L493" s="2" t="str">
        <v>1552-4469</v>
      </c>
      <c r="M493" s="7" t="str">
        <v>BIOCHEMISTRY &amp; MOLECULAR BIOLOGY(SCIE)</v>
      </c>
      <c r="N493" s="7" t="str">
        <v>两份公开汇编一致</v>
      </c>
      <c r="O493" s="7" t="str"/>
      <c r="P493" s="15" t="str">
        <v>JIF来源</v>
      </c>
      <c r="Q493" s="15" t="str">
        <v>分区来源</v>
      </c>
      <c r="R493" s="15" t="str"/>
      <c r="S493" s="14" t="str">
        <v>https://www.nature.com/nchembio/</v>
      </c>
      <c r="T493" s="7" t="str">
        <v>ISSN匹配公开元数据；未逐站复核</v>
      </c>
      <c r="U493" s="2" t="str">
        <v>官网来源</v>
      </c>
      <c r="V493" s="2" t="n">
        <v>2026</v>
      </c>
    </row>
    <row r="494" ht="34" customHeight="1">
      <c r="A494" s="7" t="str">
        <v>BIOTECHNOLOGY ADVANCES</v>
      </c>
      <c r="B494" s="7" t="str">
        <v>微生物真菌与生物技术</v>
      </c>
      <c r="C494" s="11" t="n">
        <v>1</v>
      </c>
      <c r="D494" s="12" t="n">
        <v>14.1</v>
      </c>
      <c r="E494" s="13" t="n">
        <v>2025</v>
      </c>
      <c r="F494" s="7" t="str">
        <v>其他</v>
      </c>
      <c r="G494" s="7" t="str">
        <v>领域期刊/新兴刊</v>
      </c>
      <c r="H494" s="7" t="str">
        <v>研究/方法/综合</v>
      </c>
      <c r="I494" s="10" t="n">
        <v>2025</v>
      </c>
      <c r="J494" s="2" t="str">
        <v>是</v>
      </c>
      <c r="K494" s="2" t="str">
        <v>0734-9750</v>
      </c>
      <c r="L494" s="2" t="str">
        <v>1873-1899</v>
      </c>
      <c r="M494" s="7" t="str">
        <v>BIOTECHNOLOGY &amp; APPLIED MICROBIOLOGY(SCIE)</v>
      </c>
      <c r="N494" s="7" t="str">
        <v>两份公开汇编一致</v>
      </c>
      <c r="O494" s="7" t="str"/>
      <c r="P494" s="15" t="str">
        <v>JIF来源</v>
      </c>
      <c r="Q494" s="15" t="str">
        <v>分区来源</v>
      </c>
      <c r="R494" s="15" t="str"/>
      <c r="S494" s="14" t="str">
        <v>http://www.journals.elsevier.com/biotechnology-advances/</v>
      </c>
      <c r="T494" s="7" t="str">
        <v>ISSN匹配公开元数据；未逐站复核</v>
      </c>
      <c r="U494" s="2" t="str">
        <v>官网来源</v>
      </c>
      <c r="V494" s="2" t="n">
        <v>2026</v>
      </c>
    </row>
    <row r="495" ht="34" customHeight="1">
      <c r="A495" s="7" t="str">
        <v>FEMS MICROBIOLOGY REVIEWS</v>
      </c>
      <c r="B495" s="7" t="str">
        <v>微生物真菌与生物技术</v>
      </c>
      <c r="C495" s="11" t="n">
        <v>1</v>
      </c>
      <c r="D495" s="12" t="n">
        <v>16.9</v>
      </c>
      <c r="E495" s="13" t="n">
        <v>2025</v>
      </c>
      <c r="F495" s="7" t="str">
        <v>其他</v>
      </c>
      <c r="G495" s="7" t="str">
        <v>经典专业刊</v>
      </c>
      <c r="H495" s="7" t="str">
        <v>综述为主</v>
      </c>
      <c r="I495" s="10" t="n">
        <v>2025</v>
      </c>
      <c r="J495" s="2" t="str">
        <v>是</v>
      </c>
      <c r="K495" s="2" t="str">
        <v>0168-6445</v>
      </c>
      <c r="L495" s="2" t="str">
        <v>1574-6976</v>
      </c>
      <c r="M495" s="7" t="str">
        <v>MICROBIOLOGY(SCIE)</v>
      </c>
      <c r="N495" s="7" t="str">
        <v>两份公开汇编一致</v>
      </c>
      <c r="O495" s="7" t="str"/>
      <c r="P495" s="15" t="str">
        <v>JIF来源</v>
      </c>
      <c r="Q495" s="15" t="str">
        <v>分区来源</v>
      </c>
      <c r="R495" s="15" t="str"/>
      <c r="S495" s="14" t="str">
        <v>https://academic.oup.com/femsre</v>
      </c>
      <c r="T495" s="7" t="str">
        <v>ISSN匹配公开元数据；未逐站复核</v>
      </c>
      <c r="U495" s="2" t="str">
        <v>官网来源</v>
      </c>
      <c r="V495" s="2" t="n">
        <v>2026</v>
      </c>
    </row>
    <row r="496" ht="34" customHeight="1">
      <c r="A496" s="7" t="str">
        <v>TRENDS IN BIOCHEMICAL SCIENCES</v>
      </c>
      <c r="B496" s="7" t="str">
        <v>微生物真菌与生物技术</v>
      </c>
      <c r="C496" s="11" t="n">
        <v>1</v>
      </c>
      <c r="D496" s="12" t="n">
        <v>14.4</v>
      </c>
      <c r="E496" s="13" t="n">
        <v>2025</v>
      </c>
      <c r="F496" s="7" t="str">
        <v>Cell Press（含合作刊）</v>
      </c>
      <c r="G496" s="7" t="str">
        <v>领域期刊/新兴刊</v>
      </c>
      <c r="H496" s="7" t="str">
        <v>综述为主</v>
      </c>
      <c r="I496" s="10" t="n">
        <v>2025</v>
      </c>
      <c r="J496" s="2" t="str">
        <v>是</v>
      </c>
      <c r="K496" s="2" t="str">
        <v>0968-0004</v>
      </c>
      <c r="L496" s="2" t="str">
        <v>1362-4326</v>
      </c>
      <c r="M496" s="7" t="str">
        <v>BIOCHEMISTRY &amp; MOLECULAR BIOLOGY(SCIE)</v>
      </c>
      <c r="N496" s="7" t="str">
        <v>两份公开汇编一致</v>
      </c>
      <c r="O496" s="7" t="str"/>
      <c r="P496" s="15" t="str">
        <v>JIF来源</v>
      </c>
      <c r="Q496" s="15" t="str">
        <v>分区来源</v>
      </c>
      <c r="R496" s="15" t="str"/>
      <c r="S496" s="14" t="str">
        <v>https://www.journals.elsevier.com/trends-in-biochemical-sciences</v>
      </c>
      <c r="T496" s="7" t="str">
        <v>ISSN匹配公开元数据；未逐站复核</v>
      </c>
      <c r="U496" s="2" t="str">
        <v>官网来源</v>
      </c>
      <c r="V496" s="2" t="n">
        <v>2026</v>
      </c>
    </row>
    <row r="497" ht="34" customHeight="1">
      <c r="A497" s="7" t="str">
        <v>Annual Review of Microbiology</v>
      </c>
      <c r="B497" s="7" t="str">
        <v>微生物真菌与生物技术</v>
      </c>
      <c r="C497" s="11" t="n">
        <v>1</v>
      </c>
      <c r="D497" s="12" t="n">
        <v>12.2</v>
      </c>
      <c r="E497" s="13" t="n">
        <v>2025</v>
      </c>
      <c r="F497" s="7" t="str">
        <v>其他</v>
      </c>
      <c r="G497" s="7" t="str">
        <v>领域期刊/新兴刊</v>
      </c>
      <c r="H497" s="7" t="str">
        <v>综述为主</v>
      </c>
      <c r="I497" s="10" t="n">
        <v>2025</v>
      </c>
      <c r="J497" s="2" t="str">
        <v>是</v>
      </c>
      <c r="K497" s="2" t="str">
        <v>0066-4227</v>
      </c>
      <c r="L497" s="2" t="str">
        <v>1545-3251</v>
      </c>
      <c r="M497" s="7" t="str">
        <v>MICROBIOLOGY(SCIE)</v>
      </c>
      <c r="N497" s="7" t="str">
        <v>两份公开汇编一致</v>
      </c>
      <c r="O497" s="7" t="str"/>
      <c r="P497" s="15" t="str">
        <v>JIF来源</v>
      </c>
      <c r="Q497" s="15" t="str">
        <v>分区来源</v>
      </c>
      <c r="R497" s="15" t="str"/>
      <c r="S497" s="14" t="str">
        <v>http://www.annualreviews.org/journal/micro</v>
      </c>
      <c r="T497" s="7" t="str">
        <v>ISSN匹配公开元数据；未逐站复核</v>
      </c>
      <c r="U497" s="2" t="str">
        <v>官网来源</v>
      </c>
      <c r="V497" s="2" t="n">
        <v>2026</v>
      </c>
    </row>
    <row r="498" ht="34" customHeight="1">
      <c r="A498" s="7" t="str">
        <v>npj Biofilms and Microbiomes</v>
      </c>
      <c r="B498" s="7" t="str">
        <v>微生物真菌与生物技术</v>
      </c>
      <c r="C498" s="11" t="n">
        <v>1</v>
      </c>
      <c r="D498" s="12" t="n">
        <v>11.4</v>
      </c>
      <c r="E498" s="13" t="n">
        <v>2025</v>
      </c>
      <c r="F498" s="7" t="str">
        <v>Nature Portfolio（含合作刊）</v>
      </c>
      <c r="G498" s="7" t="str">
        <v>领域期刊/新兴刊</v>
      </c>
      <c r="H498" s="7" t="str">
        <v>研究/方法/综合</v>
      </c>
      <c r="I498" s="10" t="n">
        <v>2025</v>
      </c>
      <c r="J498" s="2" t="str">
        <v>是</v>
      </c>
      <c r="K498" s="2" t="str"/>
      <c r="L498" s="2" t="str">
        <v>2055-5008</v>
      </c>
      <c r="M498" s="7" t="str">
        <v>BIOTECHNOLOGY &amp; APPLIED MICROBIOLOGY(SCIE);MICROBIOLOGY(SCIE)</v>
      </c>
      <c r="N498" s="7" t="str">
        <v>两份公开汇编一致</v>
      </c>
      <c r="O498" s="7" t="str"/>
      <c r="P498" s="15" t="str">
        <v>JIF来源</v>
      </c>
      <c r="Q498" s="15" t="str">
        <v>分区来源</v>
      </c>
      <c r="R498" s="15" t="str"/>
      <c r="S498" s="14" t="str">
        <v>https://www.nature.com/npjbiofilms/</v>
      </c>
      <c r="T498" s="7" t="str">
        <v>ISSN匹配公开元数据；未逐站复核</v>
      </c>
      <c r="U498" s="2" t="str">
        <v>官网来源</v>
      </c>
      <c r="V498" s="2" t="n">
        <v>2026</v>
      </c>
    </row>
    <row r="499" ht="34" customHeight="1">
      <c r="A499" s="7" t="str">
        <v>METABOLIC ENGINEERING</v>
      </c>
      <c r="B499" s="7" t="str">
        <v>微生物真菌与生物技术</v>
      </c>
      <c r="C499" s="11" t="n">
        <v>1</v>
      </c>
      <c r="D499" s="12" t="n">
        <v>7.3</v>
      </c>
      <c r="E499" s="13" t="n">
        <v>2025</v>
      </c>
      <c r="F499" s="7" t="str">
        <v>其他</v>
      </c>
      <c r="G499" s="7" t="str">
        <v>领域期刊/新兴刊</v>
      </c>
      <c r="H499" s="7" t="str">
        <v>研究/方法/综合</v>
      </c>
      <c r="I499" s="10" t="n">
        <v>2025</v>
      </c>
      <c r="J499" s="2" t="str">
        <v>是</v>
      </c>
      <c r="K499" s="2" t="str">
        <v>1096-7176</v>
      </c>
      <c r="L499" s="2" t="str">
        <v>1096-7184</v>
      </c>
      <c r="M499" s="7" t="str">
        <v>BIOTECHNOLOGY &amp; APPLIED MICROBIOLOGY(SCIE)</v>
      </c>
      <c r="N499" s="7" t="str">
        <v>两份公开汇编一致</v>
      </c>
      <c r="O499" s="7" t="str"/>
      <c r="P499" s="15" t="str">
        <v>JIF来源</v>
      </c>
      <c r="Q499" s="15" t="str">
        <v>分区来源</v>
      </c>
      <c r="R499" s="15" t="str"/>
      <c r="S499" s="14" t="str">
        <v>https://www.journals.elsevier.com/metabolic-engineering</v>
      </c>
      <c r="T499" s="7" t="str">
        <v>ISSN匹配公开元数据；未逐站复核</v>
      </c>
      <c r="U499" s="2" t="str">
        <v>官网来源</v>
      </c>
      <c r="V499" s="2" t="n">
        <v>2026</v>
      </c>
    </row>
    <row r="500" ht="34" customHeight="1">
      <c r="A500" s="7" t="str">
        <v>Synthetic and Systems Biotechnology</v>
      </c>
      <c r="B500" s="7" t="str">
        <v>微生物真菌与生物技术</v>
      </c>
      <c r="C500" s="11" t="n">
        <v>1</v>
      </c>
      <c r="D500" s="12" t="n">
        <v>4.8</v>
      </c>
      <c r="E500" s="13" t="n">
        <v>2025</v>
      </c>
      <c r="F500" s="7" t="str">
        <v>其他</v>
      </c>
      <c r="G500" s="7" t="str">
        <v>领域期刊/新兴刊</v>
      </c>
      <c r="H500" s="7" t="str">
        <v>研究/方法/综合</v>
      </c>
      <c r="I500" s="10" t="n">
        <v>2025</v>
      </c>
      <c r="J500" s="2" t="str">
        <v>是</v>
      </c>
      <c r="K500" s="2" t="str">
        <v>2405-805X</v>
      </c>
      <c r="L500" s="2" t="str">
        <v>2405-805X</v>
      </c>
      <c r="M500" s="7" t="str">
        <v>BIOTECHNOLOGY &amp; APPLIED MICROBIOLOGY(SCIE)</v>
      </c>
      <c r="N500" s="7" t="str">
        <v>两份公开汇编一致</v>
      </c>
      <c r="O500" s="7" t="str"/>
      <c r="P500" s="15" t="str">
        <v>JIF来源</v>
      </c>
      <c r="Q500" s="15" t="str">
        <v>分区来源</v>
      </c>
      <c r="R500" s="15" t="str"/>
      <c r="S500" s="14" t="str">
        <v>https://www.sciencedirect.com/journal/synthetic-and-systems-biotechnology</v>
      </c>
      <c r="T500" s="7" t="str">
        <v>ISSN匹配公开元数据；未逐站复核</v>
      </c>
      <c r="U500" s="2" t="str">
        <v>官网来源</v>
      </c>
      <c r="V500" s="2" t="n">
        <v>2026</v>
      </c>
    </row>
    <row r="501" ht="34" customHeight="1">
      <c r="A501" s="7" t="str">
        <v>MICROBIOLOGY AND MOLECULAR BIOLOGY REVIEWS</v>
      </c>
      <c r="B501" s="7" t="str">
        <v>微生物真菌与生物技术</v>
      </c>
      <c r="C501" s="11" t="n">
        <v>2</v>
      </c>
      <c r="D501" s="12" t="n">
        <v>11.8</v>
      </c>
      <c r="E501" s="13" t="n">
        <v>2025</v>
      </c>
      <c r="F501" s="7" t="str">
        <v>其他</v>
      </c>
      <c r="G501" s="7" t="str">
        <v>领域期刊/新兴刊</v>
      </c>
      <c r="H501" s="7" t="str">
        <v>综述为主</v>
      </c>
      <c r="I501" s="10" t="n">
        <v>2025</v>
      </c>
      <c r="J501" s="2" t="str">
        <v>否</v>
      </c>
      <c r="K501" s="2" t="str">
        <v>1092-2172</v>
      </c>
      <c r="L501" s="2" t="str">
        <v>1098-5557</v>
      </c>
      <c r="M501" s="7" t="str">
        <v>MICROBIOLOGY(SCIE)</v>
      </c>
      <c r="N501" s="7" t="str">
        <v>两份公开汇编一致</v>
      </c>
      <c r="O501" s="7" t="str"/>
      <c r="P501" s="15" t="str">
        <v>JIF来源</v>
      </c>
      <c r="Q501" s="15" t="str">
        <v>分区来源</v>
      </c>
      <c r="R501" s="15" t="str"/>
      <c r="S501" s="14" t="str">
        <v>http://mmbr.asm.org/</v>
      </c>
      <c r="T501" s="7" t="str">
        <v>ISSN匹配公开元数据；未逐站复核</v>
      </c>
      <c r="U501" s="2" t="str">
        <v>官网来源</v>
      </c>
      <c r="V501" s="2" t="n">
        <v>2026</v>
      </c>
    </row>
    <row r="502" ht="34" customHeight="1">
      <c r="A502" s="7" t="str">
        <v>MICROBIOLOGICAL RESEARCH</v>
      </c>
      <c r="B502" s="7" t="str">
        <v>微生物真菌与生物技术</v>
      </c>
      <c r="C502" s="11" t="n">
        <v>2</v>
      </c>
      <c r="D502" s="12" t="n">
        <v>8.5</v>
      </c>
      <c r="E502" s="13" t="n">
        <v>2025</v>
      </c>
      <c r="F502" s="7" t="str">
        <v>其他</v>
      </c>
      <c r="G502" s="7" t="str">
        <v>领域期刊/新兴刊</v>
      </c>
      <c r="H502" s="7" t="str">
        <v>研究/方法/综合</v>
      </c>
      <c r="I502" s="10" t="n">
        <v>2025</v>
      </c>
      <c r="J502" s="2" t="str">
        <v>是</v>
      </c>
      <c r="K502" s="2" t="str">
        <v>0944-5013</v>
      </c>
      <c r="L502" s="2" t="str">
        <v>1618-0623</v>
      </c>
      <c r="M502" s="7" t="str">
        <v>MICROBIOLOGY(SCIE)</v>
      </c>
      <c r="N502" s="7" t="str">
        <v>两份公开汇编一致</v>
      </c>
      <c r="O502" s="7" t="str"/>
      <c r="P502" s="15" t="str">
        <v>JIF来源</v>
      </c>
      <c r="Q502" s="15" t="str">
        <v>分区来源</v>
      </c>
      <c r="R502" s="15" t="str"/>
      <c r="S502" s="14" t="str">
        <v>http://www.journals.elsevier.com/microbiological-research/</v>
      </c>
      <c r="T502" s="7" t="str">
        <v>ISSN匹配公开元数据；未逐站复核</v>
      </c>
      <c r="U502" s="2" t="str">
        <v>官网来源</v>
      </c>
      <c r="V502" s="2" t="n">
        <v>2026</v>
      </c>
    </row>
    <row r="503" ht="34" customHeight="1">
      <c r="A503" s="7" t="str">
        <v>Microbial Biotechnology</v>
      </c>
      <c r="B503" s="7" t="str">
        <v>微生物真菌与生物技术</v>
      </c>
      <c r="C503" s="11" t="n">
        <v>2</v>
      </c>
      <c r="D503" s="12" t="n">
        <v>6.7</v>
      </c>
      <c r="E503" s="13" t="n">
        <v>2025</v>
      </c>
      <c r="F503" s="7" t="str">
        <v>其他</v>
      </c>
      <c r="G503" s="7" t="str">
        <v>领域期刊/新兴刊</v>
      </c>
      <c r="H503" s="7" t="str">
        <v>研究/方法/综合</v>
      </c>
      <c r="I503" s="10" t="n">
        <v>2025</v>
      </c>
      <c r="J503" s="2" t="str">
        <v>否</v>
      </c>
      <c r="K503" s="2" t="str">
        <v>1751-7915</v>
      </c>
      <c r="L503" s="2" t="str">
        <v>1751-7915</v>
      </c>
      <c r="M503" s="7" t="str">
        <v>BIOTECHNOLOGY &amp; APPLIED MICROBIOLOGY(SCIE);MICROBIOLOGY(SCIE)</v>
      </c>
      <c r="N503" s="7" t="str">
        <v>两份公开汇编一致</v>
      </c>
      <c r="O503" s="7" t="str"/>
      <c r="P503" s="15" t="str">
        <v>JIF来源</v>
      </c>
      <c r="Q503" s="15" t="str">
        <v>分区来源</v>
      </c>
      <c r="R503" s="15" t="str"/>
      <c r="S503" s="14" t="str">
        <v>https://sfamjournals.onlinelibrary.wiley.com/journal/17517915</v>
      </c>
      <c r="T503" s="7" t="str">
        <v>ISSN匹配公开元数据；未逐站复核</v>
      </c>
      <c r="U503" s="2" t="str">
        <v>官网来源</v>
      </c>
      <c r="V503" s="2" t="n">
        <v>2026</v>
      </c>
    </row>
    <row r="504" ht="34" customHeight="1">
      <c r="A504" s="7" t="str">
        <v>Microbial Cell Factories</v>
      </c>
      <c r="B504" s="7" t="str">
        <v>微生物真菌与生物技术</v>
      </c>
      <c r="C504" s="11" t="n">
        <v>2</v>
      </c>
      <c r="D504" s="12" t="n">
        <v>5.8</v>
      </c>
      <c r="E504" s="13" t="n">
        <v>2025</v>
      </c>
      <c r="F504" s="7" t="str">
        <v>其他</v>
      </c>
      <c r="G504" s="7" t="str">
        <v>领域期刊/新兴刊</v>
      </c>
      <c r="H504" s="7" t="str">
        <v>研究/方法/综合</v>
      </c>
      <c r="I504" s="10" t="n">
        <v>2025</v>
      </c>
      <c r="J504" s="2" t="str">
        <v>否</v>
      </c>
      <c r="K504" s="2" t="str"/>
      <c r="L504" s="2" t="str">
        <v>1475-2859</v>
      </c>
      <c r="M504" s="7" t="str">
        <v>BIOTECHNOLOGY &amp; APPLIED MICROBIOLOGY(SCIE)</v>
      </c>
      <c r="N504" s="7" t="str">
        <v>两份公开汇编一致</v>
      </c>
      <c r="O504" s="7" t="str"/>
      <c r="P504" s="15" t="str">
        <v>JIF来源</v>
      </c>
      <c r="Q504" s="15" t="str">
        <v>分区来源</v>
      </c>
      <c r="R504" s="15" t="str"/>
      <c r="S504" s="14" t="str">
        <v>https://microbialcellfactories.biomedcentral.com/</v>
      </c>
      <c r="T504" s="7" t="str">
        <v>ISSN匹配公开元数据；未逐站复核</v>
      </c>
      <c r="U504" s="2" t="str">
        <v>官网来源</v>
      </c>
      <c r="V504" s="2" t="n">
        <v>2026</v>
      </c>
    </row>
    <row r="505" ht="34" customHeight="1">
      <c r="A505" s="7" t="str">
        <v>mBio</v>
      </c>
      <c r="B505" s="7" t="str">
        <v>微生物真菌与生物技术</v>
      </c>
      <c r="C505" s="11" t="n">
        <v>2</v>
      </c>
      <c r="D505" s="12" t="n">
        <v>5.4</v>
      </c>
      <c r="E505" s="13" t="n">
        <v>2025</v>
      </c>
      <c r="F505" s="7" t="str">
        <v>其他</v>
      </c>
      <c r="G505" s="7" t="str">
        <v>领域期刊/新兴刊</v>
      </c>
      <c r="H505" s="7" t="str">
        <v>研究/方法/综合</v>
      </c>
      <c r="I505" s="10" t="n">
        <v>2025</v>
      </c>
      <c r="J505" s="2" t="str">
        <v>是</v>
      </c>
      <c r="K505" s="2" t="str"/>
      <c r="L505" s="2" t="str">
        <v>2150-7511</v>
      </c>
      <c r="M505" s="7" t="str">
        <v>MICROBIOLOGY(SCIE)</v>
      </c>
      <c r="N505" s="7" t="str">
        <v>两份公开汇编一致</v>
      </c>
      <c r="O505" s="7" t="str"/>
      <c r="P505" s="15" t="str">
        <v>JIF来源</v>
      </c>
      <c r="Q505" s="15" t="str">
        <v>分区来源</v>
      </c>
      <c r="R505" s="15" t="str"/>
      <c r="S505" s="14" t="str">
        <v>https://journals.asm.org/journal/mbio</v>
      </c>
      <c r="T505" s="7" t="str">
        <v>ISSN匹配公开元数据；未逐站复核</v>
      </c>
      <c r="U505" s="2" t="str">
        <v>官网来源</v>
      </c>
      <c r="V505" s="2" t="n">
        <v>2026</v>
      </c>
    </row>
    <row r="506" ht="34" customHeight="1">
      <c r="A506" s="7" t="str">
        <v>Biotechnology for Biofuels and Bioproducts</v>
      </c>
      <c r="B506" s="7" t="str">
        <v>微生物真菌与生物技术</v>
      </c>
      <c r="C506" s="11" t="n">
        <v>2</v>
      </c>
      <c r="D506" s="12" t="n">
        <v>6</v>
      </c>
      <c r="E506" s="13" t="n">
        <v>2025</v>
      </c>
      <c r="F506" s="7" t="str">
        <v>其他</v>
      </c>
      <c r="G506" s="7" t="str">
        <v>领域期刊/新兴刊</v>
      </c>
      <c r="H506" s="7" t="str">
        <v>研究/方法/综合</v>
      </c>
      <c r="I506" s="10" t="n">
        <v>2025</v>
      </c>
      <c r="J506" s="2" t="str">
        <v>否</v>
      </c>
      <c r="K506" s="2" t="str"/>
      <c r="L506" s="2" t="str">
        <v>2731-3654</v>
      </c>
      <c r="M506" s="7" t="str">
        <v>BIOTECHNOLOGY &amp; APPLIED MICROBIOLOGY(SCIE);ENERGY &amp; FUELS(SCIE)</v>
      </c>
      <c r="N506" s="7" t="str">
        <v>两份公开汇编一致</v>
      </c>
      <c r="O506" s="7" t="str"/>
      <c r="P506" s="15" t="str">
        <v>JIF来源</v>
      </c>
      <c r="Q506" s="15" t="str">
        <v>分区来源</v>
      </c>
      <c r="R506" s="15" t="str"/>
      <c r="S506" s="14" t="str">
        <v>https://biotechnologyforbiofuels.biomedcentral.com/</v>
      </c>
      <c r="T506" s="7" t="str">
        <v>ISSN匹配公开元数据；未逐站复核</v>
      </c>
      <c r="U506" s="2" t="str">
        <v>官网来源</v>
      </c>
      <c r="V506" s="2" t="n">
        <v>2026</v>
      </c>
    </row>
    <row r="507" ht="34" customHeight="1">
      <c r="A507" s="7" t="str">
        <v>mSystems</v>
      </c>
      <c r="B507" s="7" t="str">
        <v>微生物真菌与生物技术</v>
      </c>
      <c r="C507" s="11" t="n">
        <v>2</v>
      </c>
      <c r="D507" s="12" t="n">
        <v>5.2</v>
      </c>
      <c r="E507" s="13" t="n">
        <v>2025</v>
      </c>
      <c r="F507" s="7" t="str">
        <v>其他</v>
      </c>
      <c r="G507" s="7" t="str">
        <v>领域期刊/新兴刊</v>
      </c>
      <c r="H507" s="7" t="str">
        <v>研究/方法/综合</v>
      </c>
      <c r="I507" s="10" t="n">
        <v>2025</v>
      </c>
      <c r="J507" s="2" t="str">
        <v>否</v>
      </c>
      <c r="K507" s="2" t="str"/>
      <c r="L507" s="2" t="str">
        <v>2379-5077</v>
      </c>
      <c r="M507" s="7" t="str">
        <v>MICROBIOLOGY(SCIE)</v>
      </c>
      <c r="N507" s="7" t="str">
        <v>两份公开汇编一致</v>
      </c>
      <c r="O507" s="7" t="str"/>
      <c r="P507" s="15" t="str">
        <v>JIF来源</v>
      </c>
      <c r="Q507" s="15" t="str">
        <v>分区来源</v>
      </c>
      <c r="R507" s="15" t="str"/>
      <c r="S507" s="14" t="str">
        <v>https://journals.asm.org/journal/msystems</v>
      </c>
      <c r="T507" s="7" t="str">
        <v>ISSN匹配公开元数据；未逐站复核</v>
      </c>
      <c r="U507" s="2" t="str">
        <v>官网来源</v>
      </c>
      <c r="V507" s="2" t="n">
        <v>2026</v>
      </c>
    </row>
    <row r="508" ht="34" customHeight="1">
      <c r="A508" s="7" t="str">
        <v>Frontiers in Microbiology</v>
      </c>
      <c r="B508" s="7" t="str">
        <v>微生物真菌与生物技术</v>
      </c>
      <c r="C508" s="11" t="n">
        <v>2</v>
      </c>
      <c r="D508" s="12" t="n">
        <v>5.8</v>
      </c>
      <c r="E508" s="13" t="n">
        <v>2025</v>
      </c>
      <c r="F508" s="7" t="str">
        <v>其他</v>
      </c>
      <c r="G508" s="7" t="str">
        <v>领域期刊/新兴刊</v>
      </c>
      <c r="H508" s="7" t="str">
        <v>研究/方法/综合</v>
      </c>
      <c r="I508" s="10" t="n">
        <v>2025</v>
      </c>
      <c r="J508" s="2" t="str">
        <v>否</v>
      </c>
      <c r="K508" s="2" t="str"/>
      <c r="L508" s="2" t="str">
        <v>1664-302X</v>
      </c>
      <c r="M508" s="7" t="str">
        <v>MICROBIOLOGY(SCIE)</v>
      </c>
      <c r="N508" s="7" t="str">
        <v>两份公开汇编一致</v>
      </c>
      <c r="O508" s="7" t="str"/>
      <c r="P508" s="15" t="str">
        <v>JIF来源</v>
      </c>
      <c r="Q508" s="15" t="str">
        <v>分区来源</v>
      </c>
      <c r="R508" s="15" t="str"/>
      <c r="S508" s="14" t="str">
        <v>http://www.frontiersin.org/microbiology</v>
      </c>
      <c r="T508" s="7" t="str">
        <v>ISSN匹配公开元数据；未逐站复核</v>
      </c>
      <c r="U508" s="2" t="str">
        <v>官网来源</v>
      </c>
      <c r="V508" s="2" t="n">
        <v>2026</v>
      </c>
    </row>
    <row r="509" ht="34" customHeight="1">
      <c r="A509" s="7" t="str">
        <v>BMC MICROBIOLOGY</v>
      </c>
      <c r="B509" s="7" t="str">
        <v>微生物真菌与生物技术</v>
      </c>
      <c r="C509" s="11" t="n">
        <v>2</v>
      </c>
      <c r="D509" s="12" t="n">
        <v>5.4</v>
      </c>
      <c r="E509" s="13" t="n">
        <v>2025</v>
      </c>
      <c r="F509" s="7" t="str">
        <v>其他</v>
      </c>
      <c r="G509" s="7" t="str">
        <v>领域期刊/新兴刊</v>
      </c>
      <c r="H509" s="7" t="str">
        <v>研究/方法/综合</v>
      </c>
      <c r="I509" s="10" t="n">
        <v>2025</v>
      </c>
      <c r="J509" s="2" t="str">
        <v>否</v>
      </c>
      <c r="K509" s="2" t="str">
        <v>1471-2180</v>
      </c>
      <c r="L509" s="2" t="str">
        <v>1471-2180</v>
      </c>
      <c r="M509" s="7" t="str">
        <v>MICROBIOLOGY(SCIE)</v>
      </c>
      <c r="N509" s="7" t="str">
        <v>两份公开汇编一致</v>
      </c>
      <c r="O509" s="7" t="str"/>
      <c r="P509" s="15" t="str">
        <v>JIF来源</v>
      </c>
      <c r="Q509" s="15" t="str">
        <v>分区来源</v>
      </c>
      <c r="R509" s="15" t="str"/>
      <c r="S509" s="14" t="str">
        <v>https://bmcmicrobiol.biomedcentral.com</v>
      </c>
      <c r="T509" s="7" t="str">
        <v>ISSN匹配公开元数据；未逐站复核</v>
      </c>
      <c r="U509" s="2" t="str">
        <v>官网来源</v>
      </c>
      <c r="V509" s="2" t="n">
        <v>2026</v>
      </c>
    </row>
    <row r="510" ht="34" customHeight="1">
      <c r="A510" s="7" t="str">
        <v>SYSTEMATIC AND APPLIED MICROBIOLOGY</v>
      </c>
      <c r="B510" s="7" t="str">
        <v>微生物真菌与生物技术</v>
      </c>
      <c r="C510" s="11" t="n">
        <v>2</v>
      </c>
      <c r="D510" s="12" t="n">
        <v>3.2</v>
      </c>
      <c r="E510" s="13" t="n">
        <v>2025</v>
      </c>
      <c r="F510" s="7" t="str">
        <v>其他</v>
      </c>
      <c r="G510" s="7" t="str">
        <v>领域期刊/新兴刊</v>
      </c>
      <c r="H510" s="7" t="str">
        <v>研究/方法/综合</v>
      </c>
      <c r="I510" s="10" t="n">
        <v>2025</v>
      </c>
      <c r="J510" s="2" t="str">
        <v>否</v>
      </c>
      <c r="K510" s="2" t="str">
        <v>0723-2020</v>
      </c>
      <c r="L510" s="2" t="str">
        <v>1618-0984</v>
      </c>
      <c r="M510" s="7" t="str">
        <v>BIOTECHNOLOGY &amp; APPLIED MICROBIOLOGY(SCIE);MICROBIOLOGY(SCIE)</v>
      </c>
      <c r="N510" s="7" t="str">
        <v>两份公开汇编一致</v>
      </c>
      <c r="O510" s="7" t="str"/>
      <c r="P510" s="15" t="str">
        <v>JIF来源</v>
      </c>
      <c r="Q510" s="15" t="str">
        <v>分区来源</v>
      </c>
      <c r="R510" s="15" t="str"/>
      <c r="S510" s="14" t="str">
        <v>https://www.journals.elsevier.com/systematic-and-applied-microbiology</v>
      </c>
      <c r="T510" s="7" t="str">
        <v>ISSN匹配公开元数据；未逐站复核</v>
      </c>
      <c r="U510" s="2" t="str">
        <v>官网来源</v>
      </c>
      <c r="V510" s="2" t="n">
        <v>2026</v>
      </c>
    </row>
    <row r="511" ht="34" customHeight="1">
      <c r="A511" s="7" t="str">
        <v>Metabolic Engineering Communications</v>
      </c>
      <c r="B511" s="7" t="str">
        <v>微生物真菌与生物技术</v>
      </c>
      <c r="C511" s="11" t="n">
        <v>2</v>
      </c>
      <c r="D511" s="12" t="n">
        <v>4.2</v>
      </c>
      <c r="E511" s="13" t="n">
        <v>2025</v>
      </c>
      <c r="F511" s="7" t="str">
        <v>其他</v>
      </c>
      <c r="G511" s="7" t="str">
        <v>领域期刊/新兴刊</v>
      </c>
      <c r="H511" s="7" t="str">
        <v>研究/方法/综合</v>
      </c>
      <c r="I511" s="10" t="n">
        <v>2025</v>
      </c>
      <c r="J511" s="2" t="str">
        <v>否</v>
      </c>
      <c r="K511" s="2" t="str">
        <v>2214-0301</v>
      </c>
      <c r="L511" s="2" t="str">
        <v>2214-0301</v>
      </c>
      <c r="M511" s="7" t="str">
        <v>BIOTECHNOLOGY &amp; APPLIED MICROBIOLOGY(ESCI)</v>
      </c>
      <c r="N511" s="7" t="str">
        <v>两份公开汇编一致</v>
      </c>
      <c r="O511" s="7" t="str"/>
      <c r="P511" s="15" t="str">
        <v>JIF来源</v>
      </c>
      <c r="Q511" s="15" t="str">
        <v>分区来源</v>
      </c>
      <c r="R511" s="15" t="str"/>
      <c r="S511" s="14" t="str">
        <v>https://www.journals.elsevier.com/metabolic-engineering-communications</v>
      </c>
      <c r="T511" s="7" t="str">
        <v>ISSN匹配公开元数据；未逐站复核</v>
      </c>
      <c r="U511" s="2" t="str">
        <v>官网来源</v>
      </c>
      <c r="V511" s="2" t="n">
        <v>2026</v>
      </c>
    </row>
    <row r="512" ht="34" customHeight="1">
      <c r="A512" s="7" t="str">
        <v>Journal of Fungi</v>
      </c>
      <c r="B512" s="7" t="str">
        <v>微生物真菌与生物技术</v>
      </c>
      <c r="C512" s="11" t="n">
        <v>2</v>
      </c>
      <c r="D512" s="12" t="n">
        <v>4.3</v>
      </c>
      <c r="E512" s="13" t="n">
        <v>2025</v>
      </c>
      <c r="F512" s="7" t="str">
        <v>其他</v>
      </c>
      <c r="G512" s="7" t="str">
        <v>领域期刊/新兴刊</v>
      </c>
      <c r="H512" s="7" t="str">
        <v>研究/方法/综合</v>
      </c>
      <c r="I512" s="10" t="n">
        <v>2025</v>
      </c>
      <c r="J512" s="2" t="str">
        <v>否</v>
      </c>
      <c r="K512" s="2" t="str"/>
      <c r="L512" s="2" t="str">
        <v>2309-608X</v>
      </c>
      <c r="M512" s="7" t="str">
        <v>MICROBIOLOGY(SCIE);MYCOLOGY(SCIE)</v>
      </c>
      <c r="N512" s="7" t="str">
        <v>两份公开汇编一致</v>
      </c>
      <c r="O512" s="7" t="str"/>
      <c r="P512" s="15" t="str">
        <v>JIF来源</v>
      </c>
      <c r="Q512" s="15" t="str">
        <v>分区来源</v>
      </c>
      <c r="R512" s="15" t="str"/>
      <c r="S512" s="14" t="str">
        <v>https://www.mdpi.com/journal/jof</v>
      </c>
      <c r="T512" s="7" t="str">
        <v>ISSN匹配公开元数据；未逐站复核</v>
      </c>
      <c r="U512" s="2" t="str">
        <v>官网来源</v>
      </c>
      <c r="V512" s="2" t="n">
        <v>2026</v>
      </c>
    </row>
    <row r="513" ht="34" customHeight="1">
      <c r="A513" s="7" t="str">
        <v>ACS Synthetic Biology</v>
      </c>
      <c r="B513" s="7" t="str">
        <v>微生物真菌与生物技术</v>
      </c>
      <c r="C513" s="11" t="n">
        <v>2</v>
      </c>
      <c r="D513" s="12" t="n">
        <v>4.5</v>
      </c>
      <c r="E513" s="13" t="n">
        <v>2025</v>
      </c>
      <c r="F513" s="7" t="str">
        <v>其他</v>
      </c>
      <c r="G513" s="7" t="str">
        <v>领域期刊/新兴刊</v>
      </c>
      <c r="H513" s="7" t="str">
        <v>研究/方法/综合</v>
      </c>
      <c r="I513" s="10" t="n">
        <v>2025</v>
      </c>
      <c r="J513" s="2" t="str">
        <v>否</v>
      </c>
      <c r="K513" s="2" t="str">
        <v>2161-5063</v>
      </c>
      <c r="L513" s="2" t="str"/>
      <c r="M513" s="7" t="str">
        <v>BIOCHEMICAL RESEARCH METHODS(SCIE)</v>
      </c>
      <c r="N513" s="7" t="str">
        <v>两份公开汇编一致</v>
      </c>
      <c r="O513" s="7" t="str"/>
      <c r="P513" s="15" t="str">
        <v>JIF来源</v>
      </c>
      <c r="Q513" s="15" t="str">
        <v>分区来源</v>
      </c>
      <c r="R513" s="15" t="str"/>
      <c r="S513" s="14" t="str">
        <v>http://pubs.acs.org/journal/asbcd6</v>
      </c>
      <c r="T513" s="7" t="str">
        <v>ISSN匹配公开元数据；未逐站复核</v>
      </c>
      <c r="U513" s="2" t="str">
        <v>官网来源</v>
      </c>
      <c r="V513" s="2" t="n">
        <v>2026</v>
      </c>
    </row>
    <row r="514" ht="34" customHeight="1">
      <c r="A514" s="7" t="str">
        <v>JOURNAL OF BIOTECHNOLOGY</v>
      </c>
      <c r="B514" s="7" t="str">
        <v>微生物真菌与生物技术</v>
      </c>
      <c r="C514" s="11" t="n">
        <v>2</v>
      </c>
      <c r="D514" s="12" t="n">
        <v>4</v>
      </c>
      <c r="E514" s="13" t="n">
        <v>2025</v>
      </c>
      <c r="F514" s="7" t="str">
        <v>其他</v>
      </c>
      <c r="G514" s="7" t="str">
        <v>领域期刊/新兴刊</v>
      </c>
      <c r="H514" s="7" t="str">
        <v>研究/方法/综合</v>
      </c>
      <c r="I514" s="10" t="n">
        <v>2025</v>
      </c>
      <c r="J514" s="2" t="str">
        <v>否</v>
      </c>
      <c r="K514" s="2" t="str">
        <v>0168-1656</v>
      </c>
      <c r="L514" s="2" t="str">
        <v>1873-4863</v>
      </c>
      <c r="M514" s="7" t="str">
        <v>BIOTECHNOLOGY &amp; APPLIED MICROBIOLOGY(SCIE)</v>
      </c>
      <c r="N514" s="7" t="str">
        <v>两份公开汇编一致</v>
      </c>
      <c r="O514" s="7" t="str"/>
      <c r="P514" s="15" t="str">
        <v>JIF来源</v>
      </c>
      <c r="Q514" s="15" t="str">
        <v>分区来源</v>
      </c>
      <c r="R514" s="15" t="str"/>
      <c r="S514" s="14" t="str">
        <v>http://www.journals.elsevier.com/journal-of-biotechnology/#description</v>
      </c>
      <c r="T514" s="7" t="str">
        <v>ISSN匹配公开元数据；未逐站复核</v>
      </c>
      <c r="U514" s="2" t="str">
        <v>官网来源</v>
      </c>
      <c r="V514" s="2" t="n">
        <v>2026</v>
      </c>
    </row>
    <row r="515" ht="34" customHeight="1">
      <c r="A515" s="7" t="str">
        <v>Microbiology Spectrum</v>
      </c>
      <c r="B515" s="7" t="str">
        <v>微生物真菌与生物技术</v>
      </c>
      <c r="C515" s="11" t="n">
        <v>2</v>
      </c>
      <c r="D515" s="12" t="n">
        <v>4.1</v>
      </c>
      <c r="E515" s="13" t="n">
        <v>2025</v>
      </c>
      <c r="F515" s="7" t="str">
        <v>其他</v>
      </c>
      <c r="G515" s="7" t="str">
        <v>领域期刊/新兴刊</v>
      </c>
      <c r="H515" s="7" t="str">
        <v>研究/方法/综合</v>
      </c>
      <c r="I515" s="10" t="n">
        <v>2025</v>
      </c>
      <c r="J515" s="2" t="str">
        <v>否</v>
      </c>
      <c r="K515" s="2" t="str"/>
      <c r="L515" s="2" t="str">
        <v>2165-0497</v>
      </c>
      <c r="M515" s="7" t="str">
        <v>MICROBIOLOGY(SCIE)</v>
      </c>
      <c r="N515" s="7" t="str">
        <v>两份公开汇编一致</v>
      </c>
      <c r="O515" s="7" t="str"/>
      <c r="P515" s="15" t="str">
        <v>JIF来源</v>
      </c>
      <c r="Q515" s="15" t="str">
        <v>分区来源</v>
      </c>
      <c r="R515" s="15" t="str"/>
      <c r="S515" s="14" t="str">
        <v>https://journals.asm.org/journal/spectrum</v>
      </c>
      <c r="T515" s="7" t="str">
        <v>ISSN匹配公开元数据；未逐站复核</v>
      </c>
      <c r="U515" s="2" t="str">
        <v>官网来源</v>
      </c>
      <c r="V515" s="2" t="n">
        <v>2026</v>
      </c>
    </row>
    <row r="516" ht="34" customHeight="1">
      <c r="A516" s="7" t="str">
        <v>AMB Express</v>
      </c>
      <c r="B516" s="7" t="str">
        <v>微生物真菌与生物技术</v>
      </c>
      <c r="C516" s="11" t="n">
        <v>2</v>
      </c>
      <c r="D516" s="12" t="n">
        <v>3.9</v>
      </c>
      <c r="E516" s="13" t="n">
        <v>2025</v>
      </c>
      <c r="F516" s="7" t="str">
        <v>其他</v>
      </c>
      <c r="G516" s="7" t="str">
        <v>领域期刊/新兴刊</v>
      </c>
      <c r="H516" s="7" t="str">
        <v>研究/方法/综合</v>
      </c>
      <c r="I516" s="10" t="n">
        <v>2025</v>
      </c>
      <c r="J516" s="2" t="str">
        <v>否</v>
      </c>
      <c r="K516" s="2" t="str">
        <v>2191-0855</v>
      </c>
      <c r="L516" s="2" t="str">
        <v>2191-0855</v>
      </c>
      <c r="M516" s="7" t="str">
        <v>BIOTECHNOLOGY &amp; APPLIED MICROBIOLOGY(SCIE)</v>
      </c>
      <c r="N516" s="7" t="str">
        <v>两份公开汇编一致</v>
      </c>
      <c r="O516" s="7" t="str"/>
      <c r="P516" s="15" t="str">
        <v>JIF来源</v>
      </c>
      <c r="Q516" s="15" t="str">
        <v>分区来源</v>
      </c>
      <c r="R516" s="15" t="str"/>
      <c r="S516" s="14" t="str">
        <v>https://amb-express.springeropen.com</v>
      </c>
      <c r="T516" s="7" t="str">
        <v>ISSN匹配公开元数据；未逐站复核</v>
      </c>
      <c r="U516" s="2" t="str">
        <v>官网来源</v>
      </c>
      <c r="V516" s="2" t="n">
        <v>2026</v>
      </c>
    </row>
    <row r="517" ht="34" customHeight="1">
      <c r="A517" s="7" t="str">
        <v>APPLIED AND ENVIRONMENTAL MICROBIOLOGY</v>
      </c>
      <c r="B517" s="7" t="str">
        <v>微生物真菌与生物技术</v>
      </c>
      <c r="C517" s="11" t="n">
        <v>2</v>
      </c>
      <c r="D517" s="12" t="n">
        <v>4.2</v>
      </c>
      <c r="E517" s="13" t="n">
        <v>2025</v>
      </c>
      <c r="F517" s="7" t="str">
        <v>其他</v>
      </c>
      <c r="G517" s="7" t="str">
        <v>经典专业刊</v>
      </c>
      <c r="H517" s="7" t="str">
        <v>研究/方法/综合</v>
      </c>
      <c r="I517" s="10" t="n">
        <v>2025</v>
      </c>
      <c r="J517" s="2" t="str">
        <v>否</v>
      </c>
      <c r="K517" s="2" t="str">
        <v>0099-2240</v>
      </c>
      <c r="L517" s="2" t="str">
        <v>1098-5336</v>
      </c>
      <c r="M517" s="7" t="str">
        <v>BIOTECHNOLOGY &amp; APPLIED MICROBIOLOGY(SCIE);MICROBIOLOGY(SCIE)</v>
      </c>
      <c r="N517" s="7" t="str">
        <v>两份公开汇编一致</v>
      </c>
      <c r="O517" s="7" t="str"/>
      <c r="P517" s="15" t="str">
        <v>JIF来源</v>
      </c>
      <c r="Q517" s="15" t="str">
        <v>分区来源</v>
      </c>
      <c r="R517" s="15" t="str"/>
      <c r="S517" s="14" t="str">
        <v>http://aem.asm.org/</v>
      </c>
      <c r="T517" s="7" t="str">
        <v>ISSN匹配公开元数据；未逐站复核</v>
      </c>
      <c r="U517" s="2" t="str">
        <v>官网来源</v>
      </c>
      <c r="V517" s="2" t="n">
        <v>2026</v>
      </c>
    </row>
    <row r="518" ht="34" customHeight="1">
      <c r="A518" s="7" t="str">
        <v>mSphere</v>
      </c>
      <c r="B518" s="7" t="str">
        <v>微生物真菌与生物技术</v>
      </c>
      <c r="C518" s="11" t="n">
        <v>2</v>
      </c>
      <c r="D518" s="12" t="n">
        <v>4</v>
      </c>
      <c r="E518" s="13" t="n">
        <v>2025</v>
      </c>
      <c r="F518" s="7" t="str">
        <v>其他</v>
      </c>
      <c r="G518" s="7" t="str">
        <v>领域期刊/新兴刊</v>
      </c>
      <c r="H518" s="7" t="str">
        <v>研究/方法/综合</v>
      </c>
      <c r="I518" s="10" t="n">
        <v>2025</v>
      </c>
      <c r="J518" s="2" t="str">
        <v>否</v>
      </c>
      <c r="K518" s="2" t="str"/>
      <c r="L518" s="2" t="str">
        <v>2379-5042</v>
      </c>
      <c r="M518" s="7" t="str">
        <v>MICROBIOLOGY(SCIE)</v>
      </c>
      <c r="N518" s="7" t="str">
        <v>两份公开汇编一致</v>
      </c>
      <c r="O518" s="7" t="str"/>
      <c r="P518" s="15" t="str">
        <v>JIF来源</v>
      </c>
      <c r="Q518" s="15" t="str">
        <v>分区来源</v>
      </c>
      <c r="R518" s="15" t="str"/>
      <c r="S518" s="14" t="str">
        <v>https://journals.asm.org/journal/msphere</v>
      </c>
      <c r="T518" s="7" t="str">
        <v>ISSN匹配公开元数据；未逐站复核</v>
      </c>
      <c r="U518" s="2" t="str">
        <v>官网来源</v>
      </c>
      <c r="V518" s="2" t="n">
        <v>2026</v>
      </c>
    </row>
    <row r="519" ht="34" customHeight="1">
      <c r="A519" s="7" t="str">
        <v>Fungal Biology</v>
      </c>
      <c r="B519" s="7" t="str">
        <v>微生物真菌与生物技术</v>
      </c>
      <c r="C519" s="11" t="n">
        <v>2</v>
      </c>
      <c r="D519" s="12" t="n">
        <v>2.9</v>
      </c>
      <c r="E519" s="13" t="n">
        <v>2025</v>
      </c>
      <c r="F519" s="7" t="str">
        <v>其他</v>
      </c>
      <c r="G519" s="7" t="str">
        <v>领域期刊/新兴刊</v>
      </c>
      <c r="H519" s="7" t="str">
        <v>研究/方法/综合</v>
      </c>
      <c r="I519" s="10" t="n">
        <v>2025</v>
      </c>
      <c r="J519" s="2" t="str">
        <v>否</v>
      </c>
      <c r="K519" s="2" t="str">
        <v>1878-6146</v>
      </c>
      <c r="L519" s="2" t="str">
        <v>1878-6162</v>
      </c>
      <c r="M519" s="7" t="str">
        <v>MYCOLOGY(SCIE)</v>
      </c>
      <c r="N519" s="7" t="str">
        <v>两份公开汇编一致</v>
      </c>
      <c r="O519" s="7" t="str"/>
      <c r="P519" s="15" t="str">
        <v>JIF来源</v>
      </c>
      <c r="Q519" s="15" t="str">
        <v>分区来源</v>
      </c>
      <c r="R519" s="15" t="str"/>
      <c r="S519" s="14" t="str">
        <v>http://www.elsevier.com/wps/find/journaldescription.cws_home/720691/description#description</v>
      </c>
      <c r="T519" s="7" t="str">
        <v>ISSN匹配公开元数据；未逐站复核</v>
      </c>
      <c r="U519" s="2" t="str">
        <v>官网来源</v>
      </c>
      <c r="V519" s="2" t="n">
        <v>2026</v>
      </c>
    </row>
    <row r="520" ht="34" customHeight="1">
      <c r="A520" s="7" t="str">
        <v>MYCOLOGIA</v>
      </c>
      <c r="B520" s="7" t="str">
        <v>微生物真菌与生物技术</v>
      </c>
      <c r="C520" s="11" t="n">
        <v>2</v>
      </c>
      <c r="D520" s="12" t="n">
        <v>2.2</v>
      </c>
      <c r="E520" s="13" t="n">
        <v>2025</v>
      </c>
      <c r="F520" s="7" t="str">
        <v>其他</v>
      </c>
      <c r="G520" s="7" t="str">
        <v>经典专业刊</v>
      </c>
      <c r="H520" s="7" t="str">
        <v>研究/方法/综合</v>
      </c>
      <c r="I520" s="10" t="n">
        <v>2025</v>
      </c>
      <c r="J520" s="2" t="str">
        <v>否</v>
      </c>
      <c r="K520" s="2" t="str">
        <v>0027-5514</v>
      </c>
      <c r="L520" s="2" t="str">
        <v>1557-2536</v>
      </c>
      <c r="M520" s="7" t="str">
        <v>MYCOLOGY(SCIE)</v>
      </c>
      <c r="N520" s="7" t="str">
        <v>两份公开汇编一致</v>
      </c>
      <c r="O520" s="7" t="str"/>
      <c r="P520" s="15" t="str">
        <v>JIF来源</v>
      </c>
      <c r="Q520" s="15" t="str">
        <v>分区来源</v>
      </c>
      <c r="R520" s="15" t="str"/>
      <c r="S520" s="14" t="str">
        <v>http://www.mycologia.org/</v>
      </c>
      <c r="T520" s="7" t="str">
        <v>ISSN匹配公开元数据；未逐站复核</v>
      </c>
      <c r="U520" s="2" t="str">
        <v>官网来源</v>
      </c>
      <c r="V520" s="2" t="n">
        <v>2026</v>
      </c>
    </row>
    <row r="521" ht="34" customHeight="1">
      <c r="A521" s="7" t="str">
        <v>APPLIED MICROBIOLOGY AND BIOTECHNOLOGY</v>
      </c>
      <c r="B521" s="7" t="str">
        <v>微生物真菌与生物技术</v>
      </c>
      <c r="C521" s="11" t="n">
        <v>3</v>
      </c>
      <c r="D521" s="12" t="n">
        <v>4.7</v>
      </c>
      <c r="E521" s="13" t="n">
        <v>2025</v>
      </c>
      <c r="F521" s="7" t="str">
        <v>其他</v>
      </c>
      <c r="G521" s="7" t="str">
        <v>经典专业刊</v>
      </c>
      <c r="H521" s="7" t="str">
        <v>研究/方法/综合</v>
      </c>
      <c r="I521" s="10" t="n">
        <v>2025</v>
      </c>
      <c r="J521" s="2" t="str">
        <v>否</v>
      </c>
      <c r="K521" s="2" t="str">
        <v>0175-7598</v>
      </c>
      <c r="L521" s="2" t="str">
        <v>1432-0614</v>
      </c>
      <c r="M521" s="7" t="str">
        <v>BIOTECHNOLOGY &amp; APPLIED MICROBIOLOGY(SCIE)</v>
      </c>
      <c r="N521" s="7" t="str">
        <v>两份公开汇编一致</v>
      </c>
      <c r="O521" s="7" t="str"/>
      <c r="P521" s="15" t="str">
        <v>JIF来源</v>
      </c>
      <c r="Q521" s="15" t="str">
        <v>分区来源</v>
      </c>
      <c r="R521" s="15" t="str"/>
      <c r="S521" s="14" t="str">
        <v>https://www.springer.com/journal/253</v>
      </c>
      <c r="T521" s="7" t="str">
        <v>ISSN匹配公开元数据；未逐站复核</v>
      </c>
      <c r="U521" s="2" t="str">
        <v>官网来源</v>
      </c>
      <c r="V521" s="2" t="n">
        <v>2026</v>
      </c>
    </row>
    <row r="522" ht="34" customHeight="1">
      <c r="A522" s="7" t="str">
        <v>WORLD JOURNAL OF MICROBIOLOGY &amp; BIOTECHNOLOGY</v>
      </c>
      <c r="B522" s="7" t="str">
        <v>微生物真菌与生物技术</v>
      </c>
      <c r="C522" s="11" t="n">
        <v>3</v>
      </c>
      <c r="D522" s="12" t="n">
        <v>4.7</v>
      </c>
      <c r="E522" s="13" t="n">
        <v>2025</v>
      </c>
      <c r="F522" s="7" t="str">
        <v>其他</v>
      </c>
      <c r="G522" s="7" t="str">
        <v>领域期刊/新兴刊</v>
      </c>
      <c r="H522" s="7" t="str">
        <v>研究/方法/综合</v>
      </c>
      <c r="I522" s="10" t="n">
        <v>2025</v>
      </c>
      <c r="J522" s="2" t="str">
        <v>否</v>
      </c>
      <c r="K522" s="2" t="str">
        <v>0959-3993</v>
      </c>
      <c r="L522" s="2" t="str">
        <v>1573-0972</v>
      </c>
      <c r="M522" s="7" t="str">
        <v>BIOTECHNOLOGY &amp; APPLIED MICROBIOLOGY(SCIE)</v>
      </c>
      <c r="N522" s="7" t="str">
        <v>两份公开汇编一致</v>
      </c>
      <c r="O522" s="7" t="str"/>
      <c r="P522" s="15" t="str">
        <v>JIF来源</v>
      </c>
      <c r="Q522" s="15" t="str">
        <v>分区来源</v>
      </c>
      <c r="R522" s="15" t="str"/>
      <c r="S522" s="14" t="str">
        <v>https://www.springer.com/journal/11274</v>
      </c>
      <c r="T522" s="7" t="str">
        <v>ISSN匹配公开元数据；未逐站复核</v>
      </c>
      <c r="U522" s="2" t="str">
        <v>官网来源</v>
      </c>
      <c r="V522" s="2" t="n">
        <v>2026</v>
      </c>
    </row>
    <row r="523" ht="34" customHeight="1">
      <c r="A523" s="7" t="str">
        <v>PROCESS BIOCHEMISTRY</v>
      </c>
      <c r="B523" s="7" t="str">
        <v>微生物真菌与生物技术</v>
      </c>
      <c r="C523" s="11" t="n">
        <v>3</v>
      </c>
      <c r="D523" s="12" t="n">
        <v>4.4</v>
      </c>
      <c r="E523" s="13" t="n">
        <v>2025</v>
      </c>
      <c r="F523" s="7" t="str">
        <v>其他</v>
      </c>
      <c r="G523" s="7" t="str">
        <v>领域期刊/新兴刊</v>
      </c>
      <c r="H523" s="7" t="str">
        <v>研究/方法/综合</v>
      </c>
      <c r="I523" s="10" t="n">
        <v>2025</v>
      </c>
      <c r="J523" s="2" t="str">
        <v>否</v>
      </c>
      <c r="K523" s="2" t="str">
        <v>1359-5113</v>
      </c>
      <c r="L523" s="2" t="str">
        <v>1873-3298</v>
      </c>
      <c r="M523" s="7" t="str">
        <v>BIOCHEMISTRY &amp; MOLECULAR BIOLOGY(SCIE);BIOTECHNOLOGY &amp; APPLIED MICROBIOLOGY(SCIE);ENGINEERING, CHEMICAL(SCIE)</v>
      </c>
      <c r="N523" s="7" t="str">
        <v>两份公开汇编一致</v>
      </c>
      <c r="O523" s="7" t="str"/>
      <c r="P523" s="15" t="str">
        <v>JIF来源</v>
      </c>
      <c r="Q523" s="15" t="str">
        <v>分区来源</v>
      </c>
      <c r="R523" s="15" t="str"/>
      <c r="S523" s="14" t="str">
        <v>https://www.journals.elsevier.com/process-biochemistry</v>
      </c>
      <c r="T523" s="7" t="str">
        <v>ISSN匹配公开元数据；未逐站复核</v>
      </c>
      <c r="U523" s="2" t="str">
        <v>官网来源</v>
      </c>
      <c r="V523" s="2" t="n">
        <v>2026</v>
      </c>
    </row>
    <row r="524" ht="34" customHeight="1">
      <c r="A524" s="7" t="str">
        <v>Biochemical Engineering Journal</v>
      </c>
      <c r="B524" s="7" t="str">
        <v>微生物真菌与生物技术</v>
      </c>
      <c r="C524" s="11" t="n">
        <v>3</v>
      </c>
      <c r="D524" s="12" t="n">
        <v>3.6</v>
      </c>
      <c r="E524" s="13" t="n">
        <v>2025</v>
      </c>
      <c r="F524" s="7" t="str">
        <v>其他</v>
      </c>
      <c r="G524" s="7" t="str">
        <v>领域期刊/新兴刊</v>
      </c>
      <c r="H524" s="7" t="str">
        <v>研究/方法/综合</v>
      </c>
      <c r="I524" s="10" t="n">
        <v>2025</v>
      </c>
      <c r="J524" s="2" t="str">
        <v>否</v>
      </c>
      <c r="K524" s="2" t="str">
        <v>1369-703X</v>
      </c>
      <c r="L524" s="2" t="str">
        <v>1873-295X</v>
      </c>
      <c r="M524" s="7" t="str">
        <v>BIOTECHNOLOGY &amp; APPLIED MICROBIOLOGY(SCIE);ENGINEERING, CHEMICAL(SCIE)</v>
      </c>
      <c r="N524" s="7" t="str">
        <v>两份公开汇编一致</v>
      </c>
      <c r="O524" s="7" t="str"/>
      <c r="P524" s="15" t="str">
        <v>JIF来源</v>
      </c>
      <c r="Q524" s="15" t="str">
        <v>分区来源</v>
      </c>
      <c r="R524" s="15" t="str"/>
      <c r="S524" s="14" t="str">
        <v>https://www.journals.elsevier.com/biochemical-engineering-journal</v>
      </c>
      <c r="T524" s="7" t="str">
        <v>ISSN匹配公开元数据；未逐站复核</v>
      </c>
      <c r="U524" s="2" t="str">
        <v>官网来源</v>
      </c>
      <c r="V524" s="2" t="n">
        <v>2026</v>
      </c>
    </row>
    <row r="525" ht="34" customHeight="1">
      <c r="A525" s="7" t="str">
        <v>ENZYME AND MICROBIAL TECHNOLOGY</v>
      </c>
      <c r="B525" s="7" t="str">
        <v>微生物真菌与生物技术</v>
      </c>
      <c r="C525" s="11" t="n">
        <v>3</v>
      </c>
      <c r="D525" s="12" t="n">
        <v>3.9</v>
      </c>
      <c r="E525" s="13" t="n">
        <v>2025</v>
      </c>
      <c r="F525" s="7" t="str">
        <v>其他</v>
      </c>
      <c r="G525" s="7" t="str">
        <v>领域期刊/新兴刊</v>
      </c>
      <c r="H525" s="7" t="str">
        <v>研究/方法/综合</v>
      </c>
      <c r="I525" s="10" t="n">
        <v>2025</v>
      </c>
      <c r="J525" s="2" t="str">
        <v>否</v>
      </c>
      <c r="K525" s="2" t="str">
        <v>0141-0229</v>
      </c>
      <c r="L525" s="2" t="str">
        <v>1879-0909</v>
      </c>
      <c r="M525" s="7" t="str">
        <v>BIOTECHNOLOGY &amp; APPLIED MICROBIOLOGY(SCIE)</v>
      </c>
      <c r="N525" s="7" t="str">
        <v>两份公开汇编一致</v>
      </c>
      <c r="O525" s="7" t="str"/>
      <c r="P525" s="15" t="str">
        <v>JIF来源</v>
      </c>
      <c r="Q525" s="15" t="str">
        <v>分区来源</v>
      </c>
      <c r="R525" s="15" t="str"/>
      <c r="S525" s="14" t="str">
        <v>https://www.journals.elsevier.com/enzyme-and-microbial-technology</v>
      </c>
      <c r="T525" s="7" t="str">
        <v>ISSN匹配公开元数据；未逐站复核</v>
      </c>
      <c r="U525" s="2" t="str">
        <v>官网来源</v>
      </c>
      <c r="V525" s="2" t="n">
        <v>2026</v>
      </c>
    </row>
    <row r="526" ht="34" customHeight="1">
      <c r="A526" s="7" t="str">
        <v>BIOTECHNOLOGY AND BIOENGINEERING</v>
      </c>
      <c r="B526" s="7" t="str">
        <v>微生物真菌与生物技术</v>
      </c>
      <c r="C526" s="11" t="n">
        <v>3</v>
      </c>
      <c r="D526" s="12" t="n">
        <v>3.9</v>
      </c>
      <c r="E526" s="13" t="n">
        <v>2025</v>
      </c>
      <c r="F526" s="7" t="str">
        <v>其他</v>
      </c>
      <c r="G526" s="7" t="str">
        <v>经典专业刊</v>
      </c>
      <c r="H526" s="7" t="str">
        <v>研究/方法/综合</v>
      </c>
      <c r="I526" s="10" t="n">
        <v>2025</v>
      </c>
      <c r="J526" s="2" t="str">
        <v>否</v>
      </c>
      <c r="K526" s="2" t="str">
        <v>0006-3592</v>
      </c>
      <c r="L526" s="2" t="str">
        <v>1097-0290</v>
      </c>
      <c r="M526" s="7" t="str">
        <v>BIOTECHNOLOGY &amp; APPLIED MICROBIOLOGY(SCIE)</v>
      </c>
      <c r="N526" s="7" t="str">
        <v>两份公开汇编一致</v>
      </c>
      <c r="O526" s="7" t="str"/>
      <c r="P526" s="15" t="str">
        <v>JIF来源</v>
      </c>
      <c r="Q526" s="15" t="str">
        <v>分区来源</v>
      </c>
      <c r="R526" s="15" t="str"/>
      <c r="S526" s="14" t="str">
        <v>http://www3.interscience.wiley.com/journal/117933915/grouphome/home.html</v>
      </c>
      <c r="T526" s="7" t="str">
        <v>ISSN匹配公开元数据；未逐站复核</v>
      </c>
      <c r="U526" s="2" t="str">
        <v>官网来源</v>
      </c>
      <c r="V526" s="2" t="n">
        <v>2026</v>
      </c>
    </row>
    <row r="527" ht="34" customHeight="1">
      <c r="A527" s="7" t="str">
        <v>MICROBIAL PATHOGENESIS</v>
      </c>
      <c r="B527" s="7" t="str">
        <v>微生物真菌与生物技术</v>
      </c>
      <c r="C527" s="11" t="n">
        <v>3</v>
      </c>
      <c r="D527" s="12" t="n">
        <v>3.9</v>
      </c>
      <c r="E527" s="13" t="n">
        <v>2025</v>
      </c>
      <c r="F527" s="7" t="str">
        <v>其他</v>
      </c>
      <c r="G527" s="7" t="str">
        <v>领域期刊/新兴刊</v>
      </c>
      <c r="H527" s="7" t="str">
        <v>研究/方法/综合</v>
      </c>
      <c r="I527" s="10" t="n">
        <v>2025</v>
      </c>
      <c r="J527" s="2" t="str">
        <v>否</v>
      </c>
      <c r="K527" s="2" t="str">
        <v>0882-4010</v>
      </c>
      <c r="L527" s="2" t="str">
        <v>1096-1208</v>
      </c>
      <c r="M527" s="7" t="str">
        <v>IMMUNOLOGY(SCIE);MICROBIOLOGY(SCIE)</v>
      </c>
      <c r="N527" s="7" t="str">
        <v>两份公开汇编一致</v>
      </c>
      <c r="O527" s="7" t="str"/>
      <c r="P527" s="15" t="str">
        <v>JIF来源</v>
      </c>
      <c r="Q527" s="15" t="str">
        <v>分区来源</v>
      </c>
      <c r="R527" s="15" t="str"/>
      <c r="S527" s="14" t="str">
        <v>https://www.sciencedirect.com/journal/microbial-pathogenesis</v>
      </c>
      <c r="T527" s="7" t="str">
        <v>ISSN匹配公开元数据；未逐站复核</v>
      </c>
      <c r="U527" s="2" t="str">
        <v>官网来源</v>
      </c>
      <c r="V527" s="2" t="n">
        <v>2026</v>
      </c>
    </row>
    <row r="528" ht="34" customHeight="1">
      <c r="A528" s="7" t="str">
        <v>RESEARCH IN MICROBIOLOGY</v>
      </c>
      <c r="B528" s="7" t="str">
        <v>微生物真菌与生物技术</v>
      </c>
      <c r="C528" s="11" t="n">
        <v>3</v>
      </c>
      <c r="D528" s="12" t="n">
        <v>4.4</v>
      </c>
      <c r="E528" s="13" t="n">
        <v>2025</v>
      </c>
      <c r="F528" s="7" t="str">
        <v>其他</v>
      </c>
      <c r="G528" s="7" t="str">
        <v>领域期刊/新兴刊</v>
      </c>
      <c r="H528" s="7" t="str">
        <v>研究/方法/综合</v>
      </c>
      <c r="I528" s="10" t="n">
        <v>2025</v>
      </c>
      <c r="J528" s="2" t="str">
        <v>否</v>
      </c>
      <c r="K528" s="2" t="str">
        <v>0923-2508</v>
      </c>
      <c r="L528" s="2" t="str">
        <v>1769-7123</v>
      </c>
      <c r="M528" s="7" t="str">
        <v>MICROBIOLOGY(SCIE)</v>
      </c>
      <c r="N528" s="7" t="str">
        <v>两份公开汇编一致</v>
      </c>
      <c r="O528" s="7" t="str"/>
      <c r="P528" s="15" t="str">
        <v>JIF来源</v>
      </c>
      <c r="Q528" s="15" t="str">
        <v>分区来源</v>
      </c>
      <c r="R528" s="15" t="str"/>
      <c r="S528" s="14" t="str">
        <v>https://www.journals.elsevier.com/research-in-microbiology</v>
      </c>
      <c r="T528" s="7" t="str">
        <v>ISSN匹配公开元数据；未逐站复核</v>
      </c>
      <c r="U528" s="2" t="str">
        <v>官网来源</v>
      </c>
      <c r="V528" s="2" t="n">
        <v>2026</v>
      </c>
    </row>
    <row r="529" ht="34" customHeight="1">
      <c r="A529" s="7" t="str">
        <v>JOURNAL OF APPLIED MICROBIOLOGY</v>
      </c>
      <c r="B529" s="7" t="str">
        <v>微生物真菌与生物技术</v>
      </c>
      <c r="C529" s="11" t="n">
        <v>3</v>
      </c>
      <c r="D529" s="12" t="n">
        <v>2.8</v>
      </c>
      <c r="E529" s="13" t="n">
        <v>2025</v>
      </c>
      <c r="F529" s="7" t="str">
        <v>其他</v>
      </c>
      <c r="G529" s="7" t="str">
        <v>领域期刊/新兴刊</v>
      </c>
      <c r="H529" s="7" t="str">
        <v>研究/方法/综合</v>
      </c>
      <c r="I529" s="10" t="n">
        <v>2025</v>
      </c>
      <c r="J529" s="2" t="str">
        <v>否</v>
      </c>
      <c r="K529" s="2" t="str">
        <v>1364-5072</v>
      </c>
      <c r="L529" s="2" t="str">
        <v>1365-2672</v>
      </c>
      <c r="M529" s="7" t="str">
        <v>BIOTECHNOLOGY &amp; APPLIED MICROBIOLOGY(SCIE);MICROBIOLOGY(SCIE)</v>
      </c>
      <c r="N529" s="7" t="str">
        <v>两份公开汇编一致</v>
      </c>
      <c r="O529" s="7" t="str"/>
      <c r="P529" s="15" t="str">
        <v>JIF来源</v>
      </c>
      <c r="Q529" s="15" t="str">
        <v>分区来源</v>
      </c>
      <c r="R529" s="15" t="str"/>
      <c r="S529" s="14" t="str">
        <v>https://academic.oup.com/jambio</v>
      </c>
      <c r="T529" s="7" t="str">
        <v>ISSN匹配公开元数据；未逐站复核</v>
      </c>
      <c r="U529" s="2" t="str">
        <v>官网来源</v>
      </c>
      <c r="V529" s="2" t="n">
        <v>2026</v>
      </c>
    </row>
    <row r="530" ht="34" customHeight="1">
      <c r="A530" s="7" t="str">
        <v>Biotechnology Journal</v>
      </c>
      <c r="B530" s="7" t="str">
        <v>微生物真菌与生物技术</v>
      </c>
      <c r="C530" s="11" t="n">
        <v>3</v>
      </c>
      <c r="D530" s="12" t="n">
        <v>3.7</v>
      </c>
      <c r="E530" s="13" t="n">
        <v>2025</v>
      </c>
      <c r="F530" s="7" t="str">
        <v>其他</v>
      </c>
      <c r="G530" s="7" t="str">
        <v>领域期刊/新兴刊</v>
      </c>
      <c r="H530" s="7" t="str">
        <v>研究/方法/综合</v>
      </c>
      <c r="I530" s="10" t="n">
        <v>2025</v>
      </c>
      <c r="J530" s="2" t="str">
        <v>否</v>
      </c>
      <c r="K530" s="2" t="str">
        <v>1860-6768</v>
      </c>
      <c r="L530" s="2" t="str">
        <v>1860-7314</v>
      </c>
      <c r="M530" s="7" t="str">
        <v>BIOCHEMICAL RESEARCH METHODS(SCIE);BIOTECHNOLOGY &amp; APPLIED MICROBIOLOGY(SCIE)</v>
      </c>
      <c r="N530" s="7" t="str">
        <v>两份公开汇编一致</v>
      </c>
      <c r="O530" s="7" t="str"/>
      <c r="P530" s="15" t="str">
        <v>JIF来源</v>
      </c>
      <c r="Q530" s="15" t="str">
        <v>分区来源</v>
      </c>
      <c r="R530" s="15" t="str"/>
      <c r="S530" s="14" t="str">
        <v>http://onlinelibrary.wiley.com/journal/10.1002/(ISSN)1860-7314</v>
      </c>
      <c r="T530" s="7" t="str">
        <v>ISSN匹配公开元数据；未逐站复核</v>
      </c>
      <c r="U530" s="2" t="str">
        <v>官网来源</v>
      </c>
      <c r="V530" s="2" t="n">
        <v>2026</v>
      </c>
    </row>
    <row r="531" ht="34" customHeight="1">
      <c r="A531" s="7" t="str">
        <v>JOURNAL OF BACTERIOLOGY</v>
      </c>
      <c r="B531" s="7" t="str">
        <v>微生物真菌与生物技术</v>
      </c>
      <c r="C531" s="11" t="n">
        <v>3</v>
      </c>
      <c r="D531" s="12" t="n">
        <v>3.8</v>
      </c>
      <c r="E531" s="13" t="n">
        <v>2025</v>
      </c>
      <c r="F531" s="7" t="str">
        <v>其他</v>
      </c>
      <c r="G531" s="7" t="str">
        <v>经典专业刊</v>
      </c>
      <c r="H531" s="7" t="str">
        <v>研究/方法/综合</v>
      </c>
      <c r="I531" s="10" t="n">
        <v>2025</v>
      </c>
      <c r="J531" s="2" t="str">
        <v>否</v>
      </c>
      <c r="K531" s="2" t="str">
        <v>0021-9193</v>
      </c>
      <c r="L531" s="2" t="str">
        <v>1098-5530</v>
      </c>
      <c r="M531" s="7" t="str">
        <v>MICROBIOLOGY(SCIE)</v>
      </c>
      <c r="N531" s="7" t="str">
        <v>两份公开汇编一致</v>
      </c>
      <c r="O531" s="7" t="str"/>
      <c r="P531" s="15" t="str">
        <v>JIF来源</v>
      </c>
      <c r="Q531" s="15" t="str">
        <v>分区来源</v>
      </c>
      <c r="R531" s="15" t="str"/>
      <c r="S531" s="14" t="str">
        <v>http://jb.asm.org/</v>
      </c>
      <c r="T531" s="7" t="str">
        <v>ISSN匹配公开元数据；未逐站复核</v>
      </c>
      <c r="U531" s="2" t="str">
        <v>官网来源</v>
      </c>
      <c r="V531" s="2" t="n">
        <v>2026</v>
      </c>
    </row>
    <row r="532" ht="34" customHeight="1">
      <c r="A532" s="7" t="str">
        <v>MYCOLOGICAL PROGRESS</v>
      </c>
      <c r="B532" s="7" t="str">
        <v>微生物真菌与生物技术</v>
      </c>
      <c r="C532" s="11" t="n">
        <v>3</v>
      </c>
      <c r="D532" s="12" t="n">
        <v>2.5</v>
      </c>
      <c r="E532" s="13" t="n">
        <v>2025</v>
      </c>
      <c r="F532" s="7" t="str">
        <v>其他</v>
      </c>
      <c r="G532" s="7" t="str">
        <v>领域期刊/新兴刊</v>
      </c>
      <c r="H532" s="7" t="str">
        <v>研究/方法/综合</v>
      </c>
      <c r="I532" s="10" t="n">
        <v>2025</v>
      </c>
      <c r="J532" s="2" t="str">
        <v>否</v>
      </c>
      <c r="K532" s="2" t="str">
        <v>1617-416X</v>
      </c>
      <c r="L532" s="2" t="str">
        <v>1861-8952</v>
      </c>
      <c r="M532" s="7" t="str">
        <v>MYCOLOGY(SCIE)</v>
      </c>
      <c r="N532" s="7" t="str">
        <v>两份公开汇编一致</v>
      </c>
      <c r="O532" s="7" t="str"/>
      <c r="P532" s="15" t="str">
        <v>JIF来源</v>
      </c>
      <c r="Q532" s="15" t="str">
        <v>分区来源</v>
      </c>
      <c r="R532" s="15" t="str"/>
      <c r="S532" s="14" t="str">
        <v>https://www.springer.com/journal/11557</v>
      </c>
      <c r="T532" s="7" t="str">
        <v>ISSN匹配公开元数据；未逐站复核</v>
      </c>
      <c r="U532" s="2" t="str">
        <v>官网来源</v>
      </c>
      <c r="V532" s="2" t="n">
        <v>2026</v>
      </c>
    </row>
    <row r="533" ht="34" customHeight="1">
      <c r="A533" s="7" t="str">
        <v>EXTREMOPHILES</v>
      </c>
      <c r="B533" s="7" t="str">
        <v>微生物真菌与生物技术</v>
      </c>
      <c r="C533" s="11" t="n">
        <v>3</v>
      </c>
      <c r="D533" s="12" t="n">
        <v>2.2</v>
      </c>
      <c r="E533" s="13" t="n">
        <v>2025</v>
      </c>
      <c r="F533" s="7" t="str">
        <v>其他</v>
      </c>
      <c r="G533" s="7" t="str">
        <v>领域期刊/新兴刊</v>
      </c>
      <c r="H533" s="7" t="str">
        <v>研究/方法/综合</v>
      </c>
      <c r="I533" s="10" t="n">
        <v>2025</v>
      </c>
      <c r="J533" s="2" t="str">
        <v>否</v>
      </c>
      <c r="K533" s="2" t="str">
        <v>1431-0651</v>
      </c>
      <c r="L533" s="2" t="str">
        <v>1433-4909</v>
      </c>
      <c r="M533" s="7" t="str">
        <v>BIOCHEMISTRY &amp; MOLECULAR BIOLOGY(SCIE);MICROBIOLOGY(SCIE)</v>
      </c>
      <c r="N533" s="7" t="str">
        <v>公开汇编已匹配</v>
      </c>
      <c r="O533" s="7" t="str"/>
      <c r="P533" s="15" t="str">
        <v>JIF来源</v>
      </c>
      <c r="Q533" s="15" t="str">
        <v>分区来源</v>
      </c>
      <c r="R533" s="15" t="str"/>
      <c r="S533" s="14" t="str">
        <v>https://www.springer.com/journal/792</v>
      </c>
      <c r="T533" s="7" t="str">
        <v>ISSN匹配公开元数据；未逐站复核</v>
      </c>
      <c r="U533" s="2" t="str">
        <v>官网来源</v>
      </c>
      <c r="V533" s="2" t="n">
        <v>2026</v>
      </c>
    </row>
    <row r="534" ht="34" customHeight="1">
      <c r="A534" s="7" t="str">
        <v>JOURNAL OF MICROBIOLOGY</v>
      </c>
      <c r="B534" s="7" t="str">
        <v>微生物真菌与生物技术</v>
      </c>
      <c r="C534" s="11" t="n">
        <v>3</v>
      </c>
      <c r="D534" s="12" t="n">
        <v>3.8</v>
      </c>
      <c r="E534" s="13" t="n">
        <v>2025</v>
      </c>
      <c r="F534" s="7" t="str">
        <v>其他</v>
      </c>
      <c r="G534" s="7" t="str">
        <v>领域期刊/新兴刊</v>
      </c>
      <c r="H534" s="7" t="str">
        <v>研究/方法/综合</v>
      </c>
      <c r="I534" s="10" t="n">
        <v>2025</v>
      </c>
      <c r="J534" s="2" t="str">
        <v>否</v>
      </c>
      <c r="K534" s="2" t="str">
        <v>1225-8873</v>
      </c>
      <c r="L534" s="2" t="str">
        <v>1976-3794</v>
      </c>
      <c r="M534" s="7" t="str">
        <v>MICROBIOLOGY(SCIE)</v>
      </c>
      <c r="N534" s="7" t="str">
        <v>两份公开汇编一致</v>
      </c>
      <c r="O534" s="7" t="str"/>
      <c r="P534" s="15" t="str">
        <v>JIF来源</v>
      </c>
      <c r="Q534" s="15" t="str">
        <v>分区来源</v>
      </c>
      <c r="R534" s="15" t="str"/>
      <c r="S534" s="14" t="str">
        <v>https://link.springer.com/journal/12275</v>
      </c>
      <c r="T534" s="7" t="str">
        <v>ISSN匹配公开元数据；未逐站复核</v>
      </c>
      <c r="U534" s="2" t="str">
        <v>官网来源</v>
      </c>
      <c r="V534" s="2" t="n">
        <v>2026</v>
      </c>
    </row>
    <row r="535" ht="34" customHeight="1">
      <c r="A535" s="7" t="str">
        <v>FUNGAL GENETICS AND BIOLOGY</v>
      </c>
      <c r="B535" s="7" t="str">
        <v>微生物真菌与生物技术</v>
      </c>
      <c r="C535" s="11" t="n">
        <v>3</v>
      </c>
      <c r="D535" s="12" t="n">
        <v>3</v>
      </c>
      <c r="E535" s="13" t="n">
        <v>2025</v>
      </c>
      <c r="F535" s="7" t="str">
        <v>其他</v>
      </c>
      <c r="G535" s="7" t="str">
        <v>领域期刊/新兴刊</v>
      </c>
      <c r="H535" s="7" t="str">
        <v>研究/方法/综合</v>
      </c>
      <c r="I535" s="10" t="n">
        <v>2025</v>
      </c>
      <c r="J535" s="2" t="str">
        <v>否</v>
      </c>
      <c r="K535" s="2" t="str">
        <v>1087-1845</v>
      </c>
      <c r="L535" s="2" t="str">
        <v>1096-0937</v>
      </c>
      <c r="M535" s="7" t="str">
        <v>GENETICS &amp; HEREDITY(SCIE);MYCOLOGY(SCIE)</v>
      </c>
      <c r="N535" s="7" t="str">
        <v>两份公开汇编一致</v>
      </c>
      <c r="O535" s="7" t="str"/>
      <c r="P535" s="15" t="str">
        <v>JIF来源</v>
      </c>
      <c r="Q535" s="15" t="str">
        <v>分区来源</v>
      </c>
      <c r="R535" s="15" t="str"/>
      <c r="S535" s="14" t="str">
        <v>http://www.elsevier.com/wps/find/journaldescription.cws_home/622835/description#description</v>
      </c>
      <c r="T535" s="7" t="str">
        <v>ISSN匹配公开元数据；未逐站复核</v>
      </c>
      <c r="U535" s="2" t="str">
        <v>官网来源</v>
      </c>
      <c r="V535" s="2" t="n">
        <v>2026</v>
      </c>
    </row>
    <row r="536" ht="34" customHeight="1">
      <c r="A536" s="7" t="str">
        <v>Fungal Ecology</v>
      </c>
      <c r="B536" s="7" t="str">
        <v>微生物真菌与生物技术</v>
      </c>
      <c r="C536" s="11" t="n">
        <v>3</v>
      </c>
      <c r="D536" s="12" t="n">
        <v>3.5</v>
      </c>
      <c r="E536" s="13" t="n">
        <v>2025</v>
      </c>
      <c r="F536" s="7" t="str">
        <v>其他</v>
      </c>
      <c r="G536" s="7" t="str">
        <v>领域期刊/新兴刊</v>
      </c>
      <c r="H536" s="7" t="str">
        <v>研究/方法/综合</v>
      </c>
      <c r="I536" s="10" t="n">
        <v>2025</v>
      </c>
      <c r="J536" s="2" t="str">
        <v>否</v>
      </c>
      <c r="K536" s="2" t="str">
        <v>1754-5048</v>
      </c>
      <c r="L536" s="2" t="str">
        <v>1878-0083</v>
      </c>
      <c r="M536" s="7" t="str">
        <v>ECOLOGY(SCIE);MYCOLOGY(SCIE)</v>
      </c>
      <c r="N536" s="7" t="str">
        <v>两份公开汇编一致</v>
      </c>
      <c r="O536" s="7" t="str"/>
      <c r="P536" s="15" t="str">
        <v>JIF来源</v>
      </c>
      <c r="Q536" s="15" t="str">
        <v>分区来源</v>
      </c>
      <c r="R536" s="15" t="str"/>
      <c r="S536" s="14" t="str">
        <v>https://www.journals.elsevier.com/fungal-ecology</v>
      </c>
      <c r="T536" s="7" t="str">
        <v>ISSN匹配公开元数据；未逐站复核</v>
      </c>
      <c r="U536" s="2" t="str">
        <v>官网来源</v>
      </c>
      <c r="V536" s="2" t="n">
        <v>2026</v>
      </c>
    </row>
    <row r="537" ht="34" customHeight="1">
      <c r="A537" s="7" t="str">
        <v>ANTONIE VAN LEEUWENHOEK INTERNATIONAL JOURNAL OF GENERAL AND MOLECULAR MICROBIOLOGY</v>
      </c>
      <c r="B537" s="7" t="str">
        <v>微生物真菌与生物技术</v>
      </c>
      <c r="C537" s="11" t="n">
        <v>3</v>
      </c>
      <c r="D537" s="12" t="n">
        <v>2</v>
      </c>
      <c r="E537" s="13" t="n">
        <v>2025</v>
      </c>
      <c r="F537" s="7" t="str">
        <v>其他</v>
      </c>
      <c r="G537" s="7" t="str">
        <v>领域期刊/新兴刊</v>
      </c>
      <c r="H537" s="7" t="str">
        <v>研究/方法/综合</v>
      </c>
      <c r="I537" s="10" t="n">
        <v>2025</v>
      </c>
      <c r="J537" s="2" t="str">
        <v>否</v>
      </c>
      <c r="K537" s="2" t="str">
        <v>0003-6072</v>
      </c>
      <c r="L537" s="2" t="str">
        <v>1572-9699</v>
      </c>
      <c r="M537" s="7" t="str">
        <v>MICROBIOLOGY(SCIE)</v>
      </c>
      <c r="N537" s="7" t="str">
        <v>公开汇编已匹配</v>
      </c>
      <c r="O537" s="7" t="str"/>
      <c r="P537" s="15" t="str">
        <v>JIF来源</v>
      </c>
      <c r="Q537" s="15" t="str">
        <v>分区来源</v>
      </c>
      <c r="R537" s="15" t="str"/>
      <c r="S537" s="14" t="str">
        <v>https://www.springer.com/journal/10482</v>
      </c>
      <c r="T537" s="7" t="str">
        <v>ISSN匹配公开元数据；未逐站复核</v>
      </c>
      <c r="U537" s="2" t="str">
        <v>官网来源</v>
      </c>
      <c r="V537" s="2" t="n">
        <v>2026</v>
      </c>
    </row>
    <row r="538" ht="34" customHeight="1">
      <c r="A538" s="7" t="str">
        <v>3 Biotech</v>
      </c>
      <c r="B538" s="7" t="str">
        <v>微生物真菌与生物技术</v>
      </c>
      <c r="C538" s="11" t="n">
        <v>4</v>
      </c>
      <c r="D538" s="12" t="n">
        <v>3.1</v>
      </c>
      <c r="E538" s="13" t="n">
        <v>2025</v>
      </c>
      <c r="F538" s="7" t="str">
        <v>其他</v>
      </c>
      <c r="G538" s="7" t="str">
        <v>领域期刊/新兴刊</v>
      </c>
      <c r="H538" s="7" t="str">
        <v>研究/方法/综合</v>
      </c>
      <c r="I538" s="10" t="n">
        <v>2025</v>
      </c>
      <c r="J538" s="2" t="str">
        <v>否</v>
      </c>
      <c r="K538" s="2" t="str">
        <v>2190-572X</v>
      </c>
      <c r="L538" s="2" t="str">
        <v>2190-5738</v>
      </c>
      <c r="M538" s="7" t="str">
        <v>BIOTECHNOLOGY &amp; APPLIED MICROBIOLOGY(SCIE)</v>
      </c>
      <c r="N538" s="7" t="str">
        <v>公开汇编已匹配</v>
      </c>
      <c r="O538" s="7" t="str"/>
      <c r="P538" s="15" t="str">
        <v>JIF来源</v>
      </c>
      <c r="Q538" s="15" t="str">
        <v>分区来源</v>
      </c>
      <c r="R538" s="15" t="str"/>
      <c r="S538" s="14" t="str">
        <v>https://www.springer.com/journal/13205</v>
      </c>
      <c r="T538" s="7" t="str">
        <v>ISSN匹配公开元数据；未逐站复核</v>
      </c>
      <c r="U538" s="2" t="str">
        <v>官网来源</v>
      </c>
      <c r="V538" s="2" t="n">
        <v>2026</v>
      </c>
    </row>
    <row r="539" ht="34" customHeight="1">
      <c r="A539" s="7" t="str">
        <v>FEMS YEAST RESEARCH</v>
      </c>
      <c r="B539" s="7" t="str">
        <v>微生物真菌与生物技术</v>
      </c>
      <c r="C539" s="11" t="n">
        <v>4</v>
      </c>
      <c r="D539" s="12" t="n">
        <v>3.5</v>
      </c>
      <c r="E539" s="13" t="n">
        <v>2025</v>
      </c>
      <c r="F539" s="7" t="str">
        <v>其他</v>
      </c>
      <c r="G539" s="7" t="str">
        <v>领域期刊/新兴刊</v>
      </c>
      <c r="H539" s="7" t="str">
        <v>研究/方法/综合</v>
      </c>
      <c r="I539" s="10" t="n">
        <v>2025</v>
      </c>
      <c r="J539" s="2" t="str">
        <v>否</v>
      </c>
      <c r="K539" s="2" t="str">
        <v>1567-1356</v>
      </c>
      <c r="L539" s="2" t="str">
        <v>1567-1364</v>
      </c>
      <c r="M539" s="7" t="str">
        <v>BIOTECHNOLOGY &amp; APPLIED MICROBIOLOGY(SCIE);MICROBIOLOGY(SCIE);MYCOLOGY(SCIE)</v>
      </c>
      <c r="N539" s="7" t="str">
        <v>两份公开汇编一致</v>
      </c>
      <c r="O539" s="7" t="str"/>
      <c r="P539" s="15" t="str">
        <v>JIF来源</v>
      </c>
      <c r="Q539" s="15" t="str">
        <v>分区来源</v>
      </c>
      <c r="R539" s="15" t="str"/>
      <c r="S539" s="14" t="str">
        <v>https://academic.oup.com/femsyr</v>
      </c>
      <c r="T539" s="7" t="str">
        <v>ISSN匹配公开元数据；未逐站复核</v>
      </c>
      <c r="U539" s="2" t="str">
        <v>官网来源</v>
      </c>
      <c r="V539" s="2" t="n">
        <v>2026</v>
      </c>
    </row>
    <row r="540" ht="34" customHeight="1">
      <c r="A540" s="7" t="str">
        <v>JOURNAL OF BASIC MICROBIOLOGY</v>
      </c>
      <c r="B540" s="7" t="str">
        <v>微生物真菌与生物技术</v>
      </c>
      <c r="C540" s="11" t="n">
        <v>4</v>
      </c>
      <c r="D540" s="12" t="n">
        <v>3.3</v>
      </c>
      <c r="E540" s="13" t="n">
        <v>2025</v>
      </c>
      <c r="F540" s="7" t="str">
        <v>其他</v>
      </c>
      <c r="G540" s="7" t="str">
        <v>领域期刊/新兴刊</v>
      </c>
      <c r="H540" s="7" t="str">
        <v>研究/方法/综合</v>
      </c>
      <c r="I540" s="10" t="n">
        <v>2025</v>
      </c>
      <c r="J540" s="2" t="str">
        <v>否</v>
      </c>
      <c r="K540" s="2" t="str">
        <v>0233-111X</v>
      </c>
      <c r="L540" s="2" t="str">
        <v>1521-4028</v>
      </c>
      <c r="M540" s="7" t="str">
        <v>MICROBIOLOGY(SCIE)</v>
      </c>
      <c r="N540" s="7" t="str">
        <v>公开汇编已匹配</v>
      </c>
      <c r="O540" s="7" t="str"/>
      <c r="P540" s="15" t="str">
        <v>JIF来源</v>
      </c>
      <c r="Q540" s="15" t="str">
        <v>分区来源</v>
      </c>
      <c r="R540" s="15" t="str"/>
      <c r="S540" s="14" t="str">
        <v>http://onlinelibrary.wiley.com/journal/10.1002/(ISSN)1521-4028</v>
      </c>
      <c r="T540" s="7" t="str">
        <v>ISSN匹配公开元数据；未逐站复核</v>
      </c>
      <c r="U540" s="2" t="str">
        <v>官网来源</v>
      </c>
      <c r="V540" s="2" t="n">
        <v>2026</v>
      </c>
    </row>
    <row r="541" ht="34" customHeight="1">
      <c r="A541" s="7" t="str">
        <v>ARCHIVES OF MICROBIOLOGY</v>
      </c>
      <c r="B541" s="7" t="str">
        <v>微生物真菌与生物技术</v>
      </c>
      <c r="C541" s="11" t="n">
        <v>4</v>
      </c>
      <c r="D541" s="12" t="n">
        <v>3.4</v>
      </c>
      <c r="E541" s="13" t="n">
        <v>2025</v>
      </c>
      <c r="F541" s="7" t="str">
        <v>其他</v>
      </c>
      <c r="G541" s="7" t="str">
        <v>领域期刊/新兴刊</v>
      </c>
      <c r="H541" s="7" t="str">
        <v>研究/方法/综合</v>
      </c>
      <c r="I541" s="10" t="n">
        <v>2025</v>
      </c>
      <c r="J541" s="2" t="str">
        <v>否</v>
      </c>
      <c r="K541" s="2" t="str">
        <v>0302-8933</v>
      </c>
      <c r="L541" s="2" t="str">
        <v>1432-072X</v>
      </c>
      <c r="M541" s="7" t="str">
        <v>MICROBIOLOGY(SCIE)</v>
      </c>
      <c r="N541" s="7" t="str">
        <v>两份公开汇编一致</v>
      </c>
      <c r="O541" s="7" t="str"/>
      <c r="P541" s="15" t="str">
        <v>JIF来源</v>
      </c>
      <c r="Q541" s="15" t="str">
        <v>分区来源</v>
      </c>
      <c r="R541" s="15" t="str"/>
      <c r="S541" s="14" t="str">
        <v>https://www.springer.com/journal/203</v>
      </c>
      <c r="T541" s="7" t="str">
        <v>ISSN匹配公开元数据；未逐站复核</v>
      </c>
      <c r="U541" s="2" t="str">
        <v>官网来源</v>
      </c>
      <c r="V541" s="2" t="n">
        <v>2026</v>
      </c>
    </row>
    <row r="542" ht="34" customHeight="1">
      <c r="A542" s="7" t="str">
        <v>CURRENT MICROBIOLOGY</v>
      </c>
      <c r="B542" s="7" t="str">
        <v>微生物真菌与生物技术</v>
      </c>
      <c r="C542" s="11" t="n">
        <v>4</v>
      </c>
      <c r="D542" s="12" t="n">
        <v>2.8</v>
      </c>
      <c r="E542" s="13" t="n">
        <v>2025</v>
      </c>
      <c r="F542" s="7" t="str">
        <v>其他</v>
      </c>
      <c r="G542" s="7" t="str">
        <v>领域期刊/新兴刊</v>
      </c>
      <c r="H542" s="7" t="str">
        <v>研究/方法/综合</v>
      </c>
      <c r="I542" s="10" t="n">
        <v>2025</v>
      </c>
      <c r="J542" s="2" t="str">
        <v>否</v>
      </c>
      <c r="K542" s="2" t="str">
        <v>0343-8651</v>
      </c>
      <c r="L542" s="2" t="str">
        <v>1432-0991</v>
      </c>
      <c r="M542" s="7" t="str">
        <v>MICROBIOLOGY(SCIE)</v>
      </c>
      <c r="N542" s="7" t="str">
        <v>公开汇编已匹配</v>
      </c>
      <c r="O542" s="7" t="str"/>
      <c r="P542" s="15" t="str">
        <v>JIF来源</v>
      </c>
      <c r="Q542" s="15" t="str">
        <v>分区来源</v>
      </c>
      <c r="R542" s="15" t="str"/>
      <c r="S542" s="14" t="str">
        <v>https://link.springer.com/journal/284</v>
      </c>
      <c r="T542" s="7" t="str">
        <v>ISSN匹配公开元数据；未逐站复核</v>
      </c>
      <c r="U542" s="2" t="str">
        <v>官网来源</v>
      </c>
      <c r="V542" s="2" t="n">
        <v>2026</v>
      </c>
    </row>
    <row r="543" ht="34" customHeight="1">
      <c r="A543" s="7" t="str">
        <v>YEAST</v>
      </c>
      <c r="B543" s="7" t="str">
        <v>微生物真菌与生物技术</v>
      </c>
      <c r="C543" s="11" t="n">
        <v>4</v>
      </c>
      <c r="D543" s="12" t="n">
        <v>2.2</v>
      </c>
      <c r="E543" s="13" t="n">
        <v>2025</v>
      </c>
      <c r="F543" s="7" t="str">
        <v>其他</v>
      </c>
      <c r="G543" s="7" t="str">
        <v>经典专业刊</v>
      </c>
      <c r="H543" s="7" t="str">
        <v>研究/方法/综合</v>
      </c>
      <c r="I543" s="10" t="n">
        <v>2025</v>
      </c>
      <c r="J543" s="2" t="str">
        <v>否</v>
      </c>
      <c r="K543" s="2" t="str">
        <v>0749-503X</v>
      </c>
      <c r="L543" s="2" t="str">
        <v>1097-0061</v>
      </c>
      <c r="M543" s="7" t="str">
        <v>BIOCHEMISTRY &amp; MOLECULAR BIOLOGY(SCIE);BIOTECHNOLOGY &amp; APPLIED MICROBIOLOGY(SCIE);MICROBIOLOGY(SCIE);MYCOLOGY(SCIE)</v>
      </c>
      <c r="N543" s="7" t="str">
        <v>公开汇编已匹配</v>
      </c>
      <c r="O543" s="7" t="str"/>
      <c r="P543" s="15" t="str">
        <v>JIF来源</v>
      </c>
      <c r="Q543" s="15" t="str">
        <v>分区来源</v>
      </c>
      <c r="R543" s="15" t="str"/>
      <c r="S543" s="14" t="str">
        <v>http://onlinelibrary.wiley.com/journal/10.1002/(ISSN)1097-0061</v>
      </c>
      <c r="T543" s="7" t="str">
        <v>ISSN匹配公开元数据；未逐站复核</v>
      </c>
      <c r="U543" s="2" t="str">
        <v>官网来源</v>
      </c>
      <c r="V543" s="2" t="n">
        <v>2026</v>
      </c>
    </row>
    <row r="544" ht="34" customHeight="1">
      <c r="A544" s="7" t="str">
        <v>INTERNATIONAL MICROBIOLOGY</v>
      </c>
      <c r="B544" s="7" t="str">
        <v>微生物真菌与生物技术</v>
      </c>
      <c r="C544" s="11" t="n">
        <v>4</v>
      </c>
      <c r="D544" s="12" t="n">
        <v>2.9</v>
      </c>
      <c r="E544" s="13" t="n">
        <v>2025</v>
      </c>
      <c r="F544" s="7" t="str">
        <v>其他</v>
      </c>
      <c r="G544" s="7" t="str">
        <v>领域期刊/新兴刊</v>
      </c>
      <c r="H544" s="7" t="str">
        <v>研究/方法/综合</v>
      </c>
      <c r="I544" s="10" t="n">
        <v>2025</v>
      </c>
      <c r="J544" s="2" t="str">
        <v>否</v>
      </c>
      <c r="K544" s="2" t="str">
        <v>1139-6709</v>
      </c>
      <c r="L544" s="2" t="str">
        <v>1618-1905</v>
      </c>
      <c r="M544" s="7" t="str">
        <v>BIOTECHNOLOGY &amp; APPLIED MICROBIOLOGY(SCIE);MICROBIOLOGY(SCIE)</v>
      </c>
      <c r="N544" s="7" t="str">
        <v>两份公开汇编一致</v>
      </c>
      <c r="O544" s="7" t="str"/>
      <c r="P544" s="15" t="str">
        <v>JIF来源</v>
      </c>
      <c r="Q544" s="15" t="str">
        <v>分区来源</v>
      </c>
      <c r="R544" s="15" t="str"/>
      <c r="S544" s="14" t="str">
        <v>https://www.springer.com/journal/10123</v>
      </c>
      <c r="T544" s="7" t="str">
        <v>ISSN匹配公开元数据；未逐站复核</v>
      </c>
      <c r="U544" s="2" t="str">
        <v>官网来源</v>
      </c>
      <c r="V544" s="2" t="n">
        <v>2026</v>
      </c>
    </row>
    <row r="545" ht="34" customHeight="1">
      <c r="A545" s="7" t="str">
        <v>FEMS MICROBIOLOGY LETTERS</v>
      </c>
      <c r="B545" s="7" t="str">
        <v>微生物真菌与生物技术</v>
      </c>
      <c r="C545" s="11" t="n">
        <v>4</v>
      </c>
      <c r="D545" s="12" t="n">
        <v>2</v>
      </c>
      <c r="E545" s="13" t="n">
        <v>2025</v>
      </c>
      <c r="F545" s="7" t="str">
        <v>其他</v>
      </c>
      <c r="G545" s="7" t="str">
        <v>领域期刊/新兴刊</v>
      </c>
      <c r="H545" s="7" t="str">
        <v>研究/方法/综合</v>
      </c>
      <c r="I545" s="10" t="n">
        <v>2025</v>
      </c>
      <c r="J545" s="2" t="str">
        <v>否</v>
      </c>
      <c r="K545" s="2" t="str">
        <v>0378-1097</v>
      </c>
      <c r="L545" s="2" t="str">
        <v>1574-6968</v>
      </c>
      <c r="M545" s="7" t="str">
        <v>MICROBIOLOGY(SCIE)</v>
      </c>
      <c r="N545" s="7" t="str">
        <v>公开汇编已匹配</v>
      </c>
      <c r="O545" s="7" t="str"/>
      <c r="P545" s="15" t="str">
        <v>JIF来源</v>
      </c>
      <c r="Q545" s="15" t="str">
        <v>分区来源</v>
      </c>
      <c r="R545" s="15" t="str"/>
      <c r="S545" s="14" t="str">
        <v>https://academic.oup.com/femsle</v>
      </c>
      <c r="T545" s="7" t="str">
        <v>ISSN匹配公开元数据；未逐站复核</v>
      </c>
      <c r="U545" s="2" t="str">
        <v>官网来源</v>
      </c>
      <c r="V545" s="2" t="n">
        <v>2026</v>
      </c>
    </row>
    <row r="546" ht="34" customHeight="1">
      <c r="A546" s="7" t="str">
        <v>BIOTECHNOLOGY LETTERS</v>
      </c>
      <c r="B546" s="7" t="str">
        <v>微生物真菌与生物技术</v>
      </c>
      <c r="C546" s="11" t="n">
        <v>4</v>
      </c>
      <c r="D546" s="12" t="n">
        <v>2.5</v>
      </c>
      <c r="E546" s="13" t="n">
        <v>2025</v>
      </c>
      <c r="F546" s="7" t="str">
        <v>其他</v>
      </c>
      <c r="G546" s="7" t="str">
        <v>领域期刊/新兴刊</v>
      </c>
      <c r="H546" s="7" t="str">
        <v>研究/方法/综合</v>
      </c>
      <c r="I546" s="10" t="n">
        <v>2025</v>
      </c>
      <c r="J546" s="2" t="str">
        <v>否</v>
      </c>
      <c r="K546" s="2" t="str">
        <v>0141-5492</v>
      </c>
      <c r="L546" s="2" t="str">
        <v>1573-6776</v>
      </c>
      <c r="M546" s="7" t="str">
        <v>BIOTECHNOLOGY &amp; APPLIED MICROBIOLOGY(SCIE)</v>
      </c>
      <c r="N546" s="7" t="str">
        <v>公开汇编已匹配</v>
      </c>
      <c r="O546" s="7" t="str"/>
      <c r="P546" s="15" t="str">
        <v>JIF来源</v>
      </c>
      <c r="Q546" s="15" t="str">
        <v>分区来源</v>
      </c>
      <c r="R546" s="15" t="str"/>
      <c r="S546" s="14" t="str">
        <v>https://www.springer.com/journal/10529</v>
      </c>
      <c r="T546" s="7" t="str">
        <v>ISSN匹配公开元数据；未逐站复核</v>
      </c>
      <c r="U546" s="2" t="str">
        <v>官网来源</v>
      </c>
      <c r="V546" s="2" t="n">
        <v>2026</v>
      </c>
    </row>
    <row r="547" ht="34" customHeight="1">
      <c r="A547" s="7" t="str">
        <v>LETTERS IN APPLIED MICROBIOLOGY</v>
      </c>
      <c r="B547" s="7" t="str">
        <v>微生物真菌与生物技术</v>
      </c>
      <c r="C547" s="11" t="n">
        <v>4</v>
      </c>
      <c r="D547" s="12" t="n">
        <v>2</v>
      </c>
      <c r="E547" s="13" t="n">
        <v>2025</v>
      </c>
      <c r="F547" s="7" t="str">
        <v>其他</v>
      </c>
      <c r="G547" s="7" t="str">
        <v>领域期刊/新兴刊</v>
      </c>
      <c r="H547" s="7" t="str">
        <v>研究/方法/综合</v>
      </c>
      <c r="I547" s="10" t="n">
        <v>2025</v>
      </c>
      <c r="J547" s="2" t="str">
        <v>否</v>
      </c>
      <c r="K547" s="2" t="str">
        <v>0266-8254</v>
      </c>
      <c r="L547" s="2" t="str">
        <v>1472-765X</v>
      </c>
      <c r="M547" s="7" t="str">
        <v>BIOTECHNOLOGY &amp; APPLIED MICROBIOLOGY(SCIE);MICROBIOLOGY(SCIE)</v>
      </c>
      <c r="N547" s="7" t="str">
        <v>公开汇编已匹配</v>
      </c>
      <c r="O547" s="7" t="str"/>
      <c r="P547" s="15" t="str">
        <v>JIF来源</v>
      </c>
      <c r="Q547" s="15" t="str">
        <v>分区来源</v>
      </c>
      <c r="R547" s="15" t="str"/>
      <c r="S547" s="14" t="str">
        <v>https://academic.oup.com/lambio</v>
      </c>
      <c r="T547" s="7" t="str">
        <v>ISSN匹配公开元数据；未逐站复核</v>
      </c>
      <c r="U547" s="2" t="str">
        <v>官网来源</v>
      </c>
      <c r="V547" s="2" t="n">
        <v>2026</v>
      </c>
    </row>
    <row r="548" ht="34" customHeight="1">
      <c r="A548" s="7" t="str">
        <v>INTERNATIONAL JOURNAL OF SYSTEMATIC AND EVOLUTIONARY MICROBIOLOGY</v>
      </c>
      <c r="B548" s="7" t="str">
        <v>微生物真菌与生物技术</v>
      </c>
      <c r="C548" s="11" t="n">
        <v>4</v>
      </c>
      <c r="D548" s="12" t="n">
        <v>2.3</v>
      </c>
      <c r="E548" s="13" t="n">
        <v>2025</v>
      </c>
      <c r="F548" s="7" t="str">
        <v>其他</v>
      </c>
      <c r="G548" s="7" t="str">
        <v>领域期刊/新兴刊</v>
      </c>
      <c r="H548" s="7" t="str">
        <v>研究/方法/综合</v>
      </c>
      <c r="I548" s="10" t="n">
        <v>2025</v>
      </c>
      <c r="J548" s="2" t="str">
        <v>否</v>
      </c>
      <c r="K548" s="2" t="str">
        <v>1466-5026</v>
      </c>
      <c r="L548" s="2" t="str">
        <v>1466-5034</v>
      </c>
      <c r="M548" s="7" t="str">
        <v>MICROBIOLOGY(SCIE)</v>
      </c>
      <c r="N548" s="7" t="str">
        <v>公开汇编已匹配</v>
      </c>
      <c r="O548" s="7" t="str"/>
      <c r="P548" s="15" t="str">
        <v>JIF来源</v>
      </c>
      <c r="Q548" s="15" t="str">
        <v>分区来源</v>
      </c>
      <c r="R548" s="15" t="str"/>
      <c r="S548" s="14" t="str">
        <v>http://ijs.sgmjournals.org/</v>
      </c>
      <c r="T548" s="7" t="str">
        <v>ISSN匹配公开元数据；未逐站复核</v>
      </c>
      <c r="U548" s="2" t="str">
        <v>官网来源</v>
      </c>
      <c r="V548" s="2" t="n">
        <v>2026</v>
      </c>
    </row>
    <row r="549" ht="34" customHeight="1">
      <c r="A549" s="7" t="str">
        <v>MYCOSCIENCE</v>
      </c>
      <c r="B549" s="7" t="str">
        <v>微生物真菌与生物技术</v>
      </c>
      <c r="C549" s="11" t="n">
        <v>4</v>
      </c>
      <c r="D549" s="12" t="n">
        <v>1.4</v>
      </c>
      <c r="E549" s="13" t="n">
        <v>2025</v>
      </c>
      <c r="F549" s="7" t="str">
        <v>其他</v>
      </c>
      <c r="G549" s="7" t="str">
        <v>领域期刊/新兴刊</v>
      </c>
      <c r="H549" s="7" t="str">
        <v>研究/方法/综合</v>
      </c>
      <c r="I549" s="10" t="n">
        <v>2025</v>
      </c>
      <c r="J549" s="2" t="str">
        <v>否</v>
      </c>
      <c r="K549" s="2" t="str">
        <v>1340-3540</v>
      </c>
      <c r="L549" s="2" t="str">
        <v>1618-2545</v>
      </c>
      <c r="M549" s="7" t="str">
        <v>MYCOLOGY(SCIE)</v>
      </c>
      <c r="N549" s="7" t="str">
        <v>公开汇编已匹配</v>
      </c>
      <c r="O549" s="7" t="str"/>
      <c r="P549" s="15" t="str">
        <v>JIF来源</v>
      </c>
      <c r="Q549" s="15" t="str">
        <v>分区来源</v>
      </c>
      <c r="R549" s="15" t="str"/>
      <c r="S549" s="14" t="str">
        <v>http://www.springer.com/life+sciences/microbiology/journal/10267</v>
      </c>
      <c r="T549" s="7" t="str">
        <v>ISSN匹配公开元数据；未逐站复核</v>
      </c>
      <c r="U549" s="2" t="str">
        <v>官网来源</v>
      </c>
      <c r="V549" s="2" t="n">
        <v>2026</v>
      </c>
    </row>
    <row r="550" ht="34" customHeight="1">
      <c r="A550" s="7" t="str">
        <v>MICROBIOLOGY</v>
      </c>
      <c r="B550" s="7" t="str">
        <v>微生物真菌与生物技术</v>
      </c>
      <c r="C550" s="11" t="n">
        <v>4</v>
      </c>
      <c r="D550" s="12" t="n">
        <v>1</v>
      </c>
      <c r="E550" s="13" t="n">
        <v>2025</v>
      </c>
      <c r="F550" s="7" t="str">
        <v>其他</v>
      </c>
      <c r="G550" s="7" t="str">
        <v>经典专业刊</v>
      </c>
      <c r="H550" s="7" t="str">
        <v>研究/方法/综合</v>
      </c>
      <c r="I550" s="10" t="n">
        <v>2025</v>
      </c>
      <c r="J550" s="2" t="str">
        <v>否</v>
      </c>
      <c r="K550" s="2" t="str">
        <v>0026-2617</v>
      </c>
      <c r="L550" s="2" t="str">
        <v>1608-3237</v>
      </c>
      <c r="M550" s="7" t="str">
        <v>MICROBIOLOGY(SCIE)</v>
      </c>
      <c r="N550" s="7" t="str">
        <v>公开汇编已匹配</v>
      </c>
      <c r="O550" s="7" t="str"/>
      <c r="P550" s="15" t="str">
        <v>JIF来源</v>
      </c>
      <c r="Q550" s="15" t="str">
        <v>分区来源</v>
      </c>
      <c r="R550" s="15" t="str"/>
      <c r="S550" s="14" t="str">
        <v>https://www.springer.com/journal/11021</v>
      </c>
      <c r="T550" s="7" t="str">
        <v>ISSN匹配公开元数据；未逐站复核</v>
      </c>
      <c r="U550" s="2" t="str">
        <v>官网来源</v>
      </c>
      <c r="V550" s="2" t="n">
        <v>2026</v>
      </c>
    </row>
    <row r="551" ht="34" customHeight="1">
      <c r="A551" s="7" t="str">
        <v>Bioengineered</v>
      </c>
      <c r="B551" s="7" t="str">
        <v>微生物真菌与生物技术</v>
      </c>
      <c r="C551" s="11" t="n">
        <v>4</v>
      </c>
      <c r="D551" s="12"/>
      <c r="E551" s="13" t="n">
        <v>2025</v>
      </c>
      <c r="F551" s="7" t="str">
        <v>其他</v>
      </c>
      <c r="G551" s="7" t="str">
        <v>领域期刊/新兴刊</v>
      </c>
      <c r="H551" s="7" t="str">
        <v>研究/方法/综合</v>
      </c>
      <c r="I551" s="10" t="n">
        <v>2025</v>
      </c>
      <c r="J551" s="2" t="str">
        <v>否</v>
      </c>
      <c r="K551" s="2" t="str"/>
      <c r="L551" s="2" t="str"/>
      <c r="M551" s="7" t="str"/>
      <c r="N551" s="7" t="str">
        <v>2025 JIF未检得/未给值</v>
      </c>
      <c r="O551" s="7" t="str">
        <v>所用2026发布来源未检得2025 JIF数值；未沿用往年指标。</v>
      </c>
      <c r="P551" s="15" t="str">
        <v>JIF来源</v>
      </c>
      <c r="Q551" s="15" t="str">
        <v>分区来源</v>
      </c>
      <c r="R551" s="15" t="str"/>
      <c r="S551" s="14" t="str">
        <v>https://www.tandfonline.com/journals/kbie20</v>
      </c>
      <c r="T551" s="7" t="str">
        <v>出版社/期刊主页匹配</v>
      </c>
      <c r="U551" s="2" t="str">
        <v>官网来源</v>
      </c>
      <c r="V551" s="2" t="n">
        <v>2026</v>
      </c>
    </row>
    <row r="552" ht="34" customHeight="1">
      <c r="A552" s="7" t="str">
        <v>Nature Reviews Bioengineering</v>
      </c>
      <c r="B552" s="7" t="str">
        <v>微生物真菌与生物技术</v>
      </c>
      <c r="C552" s="11"/>
      <c r="D552" s="12" t="n">
        <v>42.7</v>
      </c>
      <c r="E552" s="13" t="n">
        <v>2025</v>
      </c>
      <c r="F552" s="7" t="str">
        <v>Nature Portfolio（含合作刊）</v>
      </c>
      <c r="G552" s="7" t="str">
        <v>领域期刊/新兴刊</v>
      </c>
      <c r="H552" s="7" t="str">
        <v>综述为主</v>
      </c>
      <c r="I552" s="10" t="n">
        <v>2025</v>
      </c>
      <c r="J552" s="2" t="str">
        <v>未检得</v>
      </c>
      <c r="K552" s="2" t="str"/>
      <c r="L552" s="2" t="str">
        <v>2731-6092</v>
      </c>
      <c r="M552" s="7" t="str">
        <v>ENGINEERING, BIOMEDICAL(ESCI);MATERIALS SCIENCE, BIOMATERIALS(ESCI)</v>
      </c>
      <c r="N552" s="7" t="str">
        <v>两份公开汇编一致</v>
      </c>
      <c r="O552" s="7" t="str"/>
      <c r="P552" s="15" t="str">
        <v>JIF来源</v>
      </c>
      <c r="Q552" s="15" t="str"/>
      <c r="R552" s="15" t="str"/>
      <c r="S552" s="14" t="str">
        <v>https://www.nature.com/natrevbioeng/</v>
      </c>
      <c r="T552" s="7" t="str">
        <v>出版社/期刊主页匹配</v>
      </c>
      <c r="U552" s="2" t="str">
        <v>官网来源</v>
      </c>
      <c r="V552" s="2" t="n">
        <v>2026</v>
      </c>
    </row>
    <row r="553" ht="34" customHeight="1">
      <c r="A553" s="7" t="str">
        <v>BioDesign Research</v>
      </c>
      <c r="B553" s="7" t="str">
        <v>微生物真菌与生物技术</v>
      </c>
      <c r="C553" s="11"/>
      <c r="D553" s="12" t="n">
        <v>7.2</v>
      </c>
      <c r="E553" s="13" t="n">
        <v>2025</v>
      </c>
      <c r="F553" s="7" t="str">
        <v>Science Partner Journals（合作刊）</v>
      </c>
      <c r="G553" s="7" t="str">
        <v>领域期刊/新兴刊</v>
      </c>
      <c r="H553" s="7" t="str">
        <v>研究/方法/综合</v>
      </c>
      <c r="I553" s="10" t="n">
        <v>2025</v>
      </c>
      <c r="J553" s="2" t="str">
        <v>未检得</v>
      </c>
      <c r="K553" s="2" t="str"/>
      <c r="L553" s="2" t="str">
        <v>2693-1257</v>
      </c>
      <c r="M553" s="7" t="str">
        <v>BIOTECHNOLOGY &amp; APPLIED MICROBIOLOGY(ESCI)</v>
      </c>
      <c r="N553" s="7" t="str">
        <v>两份公开汇编一致</v>
      </c>
      <c r="O553" s="7" t="str"/>
      <c r="P553" s="15" t="str">
        <v>JIF来源</v>
      </c>
      <c r="Q553" s="15" t="str"/>
      <c r="R553" s="15" t="str"/>
      <c r="S553" s="14" t="str">
        <v>https://spj.sciencemag.org/bdr/</v>
      </c>
      <c r="T553" s="7" t="str">
        <v>ISSN匹配公开元数据；未逐站复核</v>
      </c>
      <c r="U553" s="2" t="str">
        <v>官网来源</v>
      </c>
      <c r="V553" s="2" t="n">
        <v>2026</v>
      </c>
    </row>
    <row r="554" ht="34" customHeight="1">
      <c r="A554" s="7" t="str">
        <v>Nature Reviews Methods Primers</v>
      </c>
      <c r="B554" s="7" t="str">
        <v>遗传组学与计算生物</v>
      </c>
      <c r="C554" s="11" t="n">
        <v>1</v>
      </c>
      <c r="D554" s="12" t="n">
        <v>54.2</v>
      </c>
      <c r="E554" s="13" t="n">
        <v>2025</v>
      </c>
      <c r="F554" s="7" t="str">
        <v>Nature Portfolio（含合作刊）</v>
      </c>
      <c r="G554" s="7" t="str">
        <v>领域期刊/新兴刊</v>
      </c>
      <c r="H554" s="7" t="str">
        <v>综述为主</v>
      </c>
      <c r="I554" s="10" t="n">
        <v>2025</v>
      </c>
      <c r="J554" s="2" t="str">
        <v>是</v>
      </c>
      <c r="K554" s="2" t="str"/>
      <c r="L554" s="2" t="str">
        <v>2662-8449</v>
      </c>
      <c r="M554" s="7" t="str">
        <v>MULTIDISCIPLINARY SCIENCES(SCIE)</v>
      </c>
      <c r="N554" s="7" t="str">
        <v>两份公开汇编一致</v>
      </c>
      <c r="O554" s="7" t="str"/>
      <c r="P554" s="15" t="str">
        <v>JIF来源</v>
      </c>
      <c r="Q554" s="15" t="str">
        <v>分区来源</v>
      </c>
      <c r="R554" s="15" t="str"/>
      <c r="S554" s="14" t="str">
        <v>https://www.nature.com/nrmp/</v>
      </c>
      <c r="T554" s="7" t="str">
        <v>ISSN匹配公开元数据；未逐站复核</v>
      </c>
      <c r="U554" s="2" t="str">
        <v>官网来源</v>
      </c>
      <c r="V554" s="2" t="n">
        <v>2026</v>
      </c>
    </row>
    <row r="555" ht="34" customHeight="1">
      <c r="A555" s="7" t="str">
        <v>NATURE REVIEWS GENETICS</v>
      </c>
      <c r="B555" s="7" t="str">
        <v>遗传组学与计算生物</v>
      </c>
      <c r="C555" s="11" t="n">
        <v>1</v>
      </c>
      <c r="D555" s="12" t="n">
        <v>51.4</v>
      </c>
      <c r="E555" s="13" t="n">
        <v>2025</v>
      </c>
      <c r="F555" s="7" t="str">
        <v>Nature Portfolio（含合作刊）</v>
      </c>
      <c r="G555" s="7" t="str">
        <v>领域期刊/新兴刊</v>
      </c>
      <c r="H555" s="7" t="str">
        <v>综述为主</v>
      </c>
      <c r="I555" s="10" t="n">
        <v>2025</v>
      </c>
      <c r="J555" s="2" t="str">
        <v>是</v>
      </c>
      <c r="K555" s="2" t="str">
        <v>1471-0056</v>
      </c>
      <c r="L555" s="2" t="str">
        <v>1471-0064</v>
      </c>
      <c r="M555" s="7" t="str">
        <v>GENETICS &amp; HEREDITY(SCIE)</v>
      </c>
      <c r="N555" s="7" t="str">
        <v>两份公开汇编一致</v>
      </c>
      <c r="O555" s="7" t="str"/>
      <c r="P555" s="15" t="str">
        <v>JIF来源</v>
      </c>
      <c r="Q555" s="15" t="str">
        <v>分区来源</v>
      </c>
      <c r="R555" s="15" t="str"/>
      <c r="S555" s="14" t="str">
        <v>http://www.nature.com/nrg/index.html</v>
      </c>
      <c r="T555" s="7" t="str">
        <v>ISSN匹配公开元数据；未逐站复核</v>
      </c>
      <c r="U555" s="2" t="str">
        <v>官网来源</v>
      </c>
      <c r="V555" s="2" t="n">
        <v>2026</v>
      </c>
    </row>
    <row r="556" ht="34" customHeight="1">
      <c r="A556" s="7" t="str">
        <v>NATURE METHODS</v>
      </c>
      <c r="B556" s="7" t="str">
        <v>遗传组学与计算生物</v>
      </c>
      <c r="C556" s="11" t="n">
        <v>1</v>
      </c>
      <c r="D556" s="12" t="n">
        <v>28.3</v>
      </c>
      <c r="E556" s="13" t="n">
        <v>2025</v>
      </c>
      <c r="F556" s="7" t="str">
        <v>Nature Portfolio（含合作刊）</v>
      </c>
      <c r="G556" s="7" t="str">
        <v>领域期刊/新兴刊</v>
      </c>
      <c r="H556" s="7" t="str">
        <v>研究/方法/综合</v>
      </c>
      <c r="I556" s="10" t="n">
        <v>2025</v>
      </c>
      <c r="J556" s="2" t="str">
        <v>是</v>
      </c>
      <c r="K556" s="2" t="str">
        <v>1548-7091</v>
      </c>
      <c r="L556" s="2" t="str">
        <v>1548-7105</v>
      </c>
      <c r="M556" s="7" t="str">
        <v>BIOCHEMICAL RESEARCH METHODS(SCIE)</v>
      </c>
      <c r="N556" s="7" t="str">
        <v>两份公开汇编一致</v>
      </c>
      <c r="O556" s="7" t="str"/>
      <c r="P556" s="15" t="str">
        <v>JIF来源</v>
      </c>
      <c r="Q556" s="15" t="str">
        <v>分区来源</v>
      </c>
      <c r="R556" s="15" t="str"/>
      <c r="S556" s="14" t="str">
        <v>https://www.nature.com/nmeth/</v>
      </c>
      <c r="T556" s="7" t="str">
        <v>ISSN匹配公开元数据；未逐站复核</v>
      </c>
      <c r="U556" s="2" t="str">
        <v>官网来源</v>
      </c>
      <c r="V556" s="2" t="n">
        <v>2026</v>
      </c>
    </row>
    <row r="557" ht="34" customHeight="1">
      <c r="A557" s="7" t="str">
        <v>NATURE GENETICS</v>
      </c>
      <c r="B557" s="7" t="str">
        <v>遗传组学与计算生物</v>
      </c>
      <c r="C557" s="11" t="n">
        <v>1</v>
      </c>
      <c r="D557" s="12" t="n">
        <v>25.5</v>
      </c>
      <c r="E557" s="13" t="n">
        <v>2025</v>
      </c>
      <c r="F557" s="7" t="str">
        <v>Nature Portfolio（含合作刊）</v>
      </c>
      <c r="G557" s="7" t="str">
        <v>领域期刊/新兴刊</v>
      </c>
      <c r="H557" s="7" t="str">
        <v>研究/方法/综合</v>
      </c>
      <c r="I557" s="10" t="n">
        <v>2025</v>
      </c>
      <c r="J557" s="2" t="str">
        <v>是</v>
      </c>
      <c r="K557" s="2" t="str">
        <v>1061-4036</v>
      </c>
      <c r="L557" s="2" t="str">
        <v>1546-1718</v>
      </c>
      <c r="M557" s="7" t="str">
        <v>GENETICS &amp; HEREDITY(SCIE)</v>
      </c>
      <c r="N557" s="7" t="str">
        <v>两份公开汇编一致</v>
      </c>
      <c r="O557" s="7" t="str"/>
      <c r="P557" s="15" t="str">
        <v>JIF来源</v>
      </c>
      <c r="Q557" s="15" t="str">
        <v>分区来源</v>
      </c>
      <c r="R557" s="15" t="str"/>
      <c r="S557" s="14" t="str">
        <v>https://www.nature.com/ng/</v>
      </c>
      <c r="T557" s="7" t="str">
        <v>ISSN匹配公开元数据；未逐站复核</v>
      </c>
      <c r="U557" s="2" t="str">
        <v>官网来源</v>
      </c>
      <c r="V557" s="2" t="n">
        <v>2026</v>
      </c>
    </row>
    <row r="558" ht="34" customHeight="1">
      <c r="A558" s="7" t="str">
        <v>TRENDS IN ECOLOGY &amp; EVOLUTION</v>
      </c>
      <c r="B558" s="7" t="str">
        <v>遗传组学与计算生物</v>
      </c>
      <c r="C558" s="11" t="n">
        <v>1</v>
      </c>
      <c r="D558" s="12" t="n">
        <v>17.9</v>
      </c>
      <c r="E558" s="13" t="n">
        <v>2025</v>
      </c>
      <c r="F558" s="7" t="str">
        <v>Cell Press（含合作刊）</v>
      </c>
      <c r="G558" s="7" t="str">
        <v>领域期刊/新兴刊</v>
      </c>
      <c r="H558" s="7" t="str">
        <v>综述为主</v>
      </c>
      <c r="I558" s="10" t="n">
        <v>2025</v>
      </c>
      <c r="J558" s="2" t="str">
        <v>是</v>
      </c>
      <c r="K558" s="2" t="str">
        <v>0169-5347</v>
      </c>
      <c r="L558" s="2" t="str">
        <v>1872-8383</v>
      </c>
      <c r="M558" s="7" t="str">
        <v>ECOLOGY(SCIE);EVOLUTIONARY BIOLOGY(SCIE);GENETICS &amp; HEREDITY(SCIE)</v>
      </c>
      <c r="N558" s="7" t="str">
        <v>两份公开汇编一致</v>
      </c>
      <c r="O558" s="7" t="str"/>
      <c r="P558" s="15" t="str">
        <v>JIF来源</v>
      </c>
      <c r="Q558" s="15" t="str">
        <v>分区来源</v>
      </c>
      <c r="R558" s="15" t="str"/>
      <c r="S558" s="14" t="str">
        <v>https://www.sciencedirect.com/journal/trends-in-ecology-and-evolution</v>
      </c>
      <c r="T558" s="7" t="str">
        <v>ISSN匹配公开元数据；未逐站复核</v>
      </c>
      <c r="U558" s="2" t="str">
        <v>官网来源</v>
      </c>
      <c r="V558" s="2" t="n">
        <v>2026</v>
      </c>
    </row>
    <row r="559" ht="34" customHeight="1">
      <c r="A559" s="7" t="str">
        <v>TRENDS IN GENETICS</v>
      </c>
      <c r="B559" s="7" t="str">
        <v>遗传组学与计算生物</v>
      </c>
      <c r="C559" s="11" t="n">
        <v>1</v>
      </c>
      <c r="D559" s="12" t="n">
        <v>12.9</v>
      </c>
      <c r="E559" s="13" t="n">
        <v>2025</v>
      </c>
      <c r="F559" s="7" t="str">
        <v>Cell Press（含合作刊）</v>
      </c>
      <c r="G559" s="7" t="str">
        <v>领域期刊/新兴刊</v>
      </c>
      <c r="H559" s="7" t="str">
        <v>综述为主</v>
      </c>
      <c r="I559" s="10" t="n">
        <v>2025</v>
      </c>
      <c r="J559" s="2" t="str">
        <v>是</v>
      </c>
      <c r="K559" s="2" t="str">
        <v>0168-9525</v>
      </c>
      <c r="L559" s="2" t="str">
        <v>1362-4555</v>
      </c>
      <c r="M559" s="7" t="str">
        <v>GENETICS &amp; HEREDITY(SCIE)</v>
      </c>
      <c r="N559" s="7" t="str">
        <v>两份公开汇编一致</v>
      </c>
      <c r="O559" s="7" t="str"/>
      <c r="P559" s="15" t="str">
        <v>JIF来源</v>
      </c>
      <c r="Q559" s="15" t="str">
        <v>分区来源</v>
      </c>
      <c r="R559" s="15" t="str"/>
      <c r="S559" s="14" t="str">
        <v>https://www.journals.elsevier.com/trends-in-genetics</v>
      </c>
      <c r="T559" s="7" t="str">
        <v>ISSN匹配公开元数据；未逐站复核</v>
      </c>
      <c r="U559" s="2" t="str">
        <v>官网来源</v>
      </c>
      <c r="V559" s="2" t="n">
        <v>2026</v>
      </c>
    </row>
    <row r="560" ht="34" customHeight="1">
      <c r="A560" s="7" t="str">
        <v>Genome Medicine</v>
      </c>
      <c r="B560" s="7" t="str">
        <v>遗传组学与计算生物</v>
      </c>
      <c r="C560" s="11" t="n">
        <v>1</v>
      </c>
      <c r="D560" s="12" t="n">
        <v>10.8</v>
      </c>
      <c r="E560" s="13" t="n">
        <v>2025</v>
      </c>
      <c r="F560" s="7" t="str">
        <v>其他</v>
      </c>
      <c r="G560" s="7" t="str">
        <v>领域期刊/新兴刊</v>
      </c>
      <c r="H560" s="7" t="str">
        <v>研究/方法/综合</v>
      </c>
      <c r="I560" s="10" t="n">
        <v>2025</v>
      </c>
      <c r="J560" s="2" t="str">
        <v>是</v>
      </c>
      <c r="K560" s="2" t="str">
        <v>1756-994X</v>
      </c>
      <c r="L560" s="2" t="str">
        <v>1756-994X</v>
      </c>
      <c r="M560" s="7" t="str">
        <v>GENETICS &amp; HEREDITY(SCIE)</v>
      </c>
      <c r="N560" s="7" t="str">
        <v>两份公开汇编一致</v>
      </c>
      <c r="O560" s="7" t="str"/>
      <c r="P560" s="15" t="str">
        <v>JIF来源</v>
      </c>
      <c r="Q560" s="15" t="str">
        <v>分区来源</v>
      </c>
      <c r="R560" s="15" t="str"/>
      <c r="S560" s="14" t="str">
        <v>https://genomemedicine.biomedcentral.com/</v>
      </c>
      <c r="T560" s="7" t="str">
        <v>ISSN匹配公开元数据；未逐站复核</v>
      </c>
      <c r="U560" s="2" t="str">
        <v>官网来源</v>
      </c>
      <c r="V560" s="2" t="n">
        <v>2026</v>
      </c>
    </row>
    <row r="561" ht="34" customHeight="1">
      <c r="A561" s="7" t="str">
        <v>GENOME BIOLOGY</v>
      </c>
      <c r="B561" s="7" t="str">
        <v>遗传组学与计算生物</v>
      </c>
      <c r="C561" s="11" t="n">
        <v>1</v>
      </c>
      <c r="D561" s="12" t="n">
        <v>9.2</v>
      </c>
      <c r="E561" s="13" t="n">
        <v>2025</v>
      </c>
      <c r="F561" s="7" t="str">
        <v>其他</v>
      </c>
      <c r="G561" s="7" t="str">
        <v>领域期刊/新兴刊</v>
      </c>
      <c r="H561" s="7" t="str">
        <v>研究/方法/综合</v>
      </c>
      <c r="I561" s="10" t="n">
        <v>2025</v>
      </c>
      <c r="J561" s="2" t="str">
        <v>是</v>
      </c>
      <c r="K561" s="2" t="str">
        <v>1474-760X</v>
      </c>
      <c r="L561" s="2" t="str">
        <v>1474-760X</v>
      </c>
      <c r="M561" s="7" t="str">
        <v>BIOTECHNOLOGY &amp; APPLIED MICROBIOLOGY(SCIE);GENETICS &amp; HEREDITY(SCIE)</v>
      </c>
      <c r="N561" s="7" t="str">
        <v>两份公开汇编一致</v>
      </c>
      <c r="O561" s="7" t="str"/>
      <c r="P561" s="15" t="str">
        <v>JIF来源</v>
      </c>
      <c r="Q561" s="15" t="str">
        <v>分区来源</v>
      </c>
      <c r="R561" s="15" t="str"/>
      <c r="S561" s="14" t="str">
        <v>https://genomebiology.biomedcentral.com/</v>
      </c>
      <c r="T561" s="7" t="str">
        <v>ISSN匹配公开元数据；未逐站复核</v>
      </c>
      <c r="U561" s="2" t="str">
        <v>官网来源</v>
      </c>
      <c r="V561" s="2" t="n">
        <v>2026</v>
      </c>
    </row>
    <row r="562" ht="34" customHeight="1">
      <c r="A562" s="7" t="str">
        <v>Cell Genomics</v>
      </c>
      <c r="B562" s="7" t="str">
        <v>遗传组学与计算生物</v>
      </c>
      <c r="C562" s="11" t="n">
        <v>1</v>
      </c>
      <c r="D562" s="12" t="n">
        <v>8.4</v>
      </c>
      <c r="E562" s="13" t="n">
        <v>2025</v>
      </c>
      <c r="F562" s="7" t="str">
        <v>Cell Press（含合作刊）</v>
      </c>
      <c r="G562" s="7" t="str">
        <v>领域期刊/新兴刊</v>
      </c>
      <c r="H562" s="7" t="str">
        <v>研究/方法/综合</v>
      </c>
      <c r="I562" s="10" t="n">
        <v>2025</v>
      </c>
      <c r="J562" s="2" t="str">
        <v>是</v>
      </c>
      <c r="K562" s="2" t="str">
        <v>2666-979X</v>
      </c>
      <c r="L562" s="2" t="str">
        <v>2666-979X</v>
      </c>
      <c r="M562" s="7" t="str">
        <v>CELL BIOLOGY(ESCI);GENETICS &amp; HEREDITY(ESCI)</v>
      </c>
      <c r="N562" s="7" t="str">
        <v>两份公开汇编一致</v>
      </c>
      <c r="O562" s="7" t="str"/>
      <c r="P562" s="15" t="str">
        <v>JIF来源</v>
      </c>
      <c r="Q562" s="15" t="str">
        <v>分区来源</v>
      </c>
      <c r="R562" s="15" t="str"/>
      <c r="S562" s="14" t="str">
        <v>https://www.sciencedirect.com/journal/cell-genomics</v>
      </c>
      <c r="T562" s="7" t="str">
        <v>ISSN匹配公开元数据；未逐站复核</v>
      </c>
      <c r="U562" s="2" t="str">
        <v>官网来源</v>
      </c>
      <c r="V562" s="2" t="n">
        <v>2026</v>
      </c>
    </row>
    <row r="563" ht="34" customHeight="1">
      <c r="A563" s="7" t="str">
        <v>Annual Review of Genetics</v>
      </c>
      <c r="B563" s="7" t="str">
        <v>遗传组学与计算生物</v>
      </c>
      <c r="C563" s="11" t="n">
        <v>1</v>
      </c>
      <c r="D563" s="12" t="n">
        <v>9.1</v>
      </c>
      <c r="E563" s="13" t="n">
        <v>2025</v>
      </c>
      <c r="F563" s="7" t="str">
        <v>其他</v>
      </c>
      <c r="G563" s="7" t="str">
        <v>领域期刊/新兴刊</v>
      </c>
      <c r="H563" s="7" t="str">
        <v>综述为主</v>
      </c>
      <c r="I563" s="10" t="n">
        <v>2025</v>
      </c>
      <c r="J563" s="2" t="str">
        <v>是</v>
      </c>
      <c r="K563" s="2" t="str">
        <v>0066-4197</v>
      </c>
      <c r="L563" s="2" t="str">
        <v>1545-2948</v>
      </c>
      <c r="M563" s="7" t="str">
        <v>GENETICS &amp; HEREDITY(SCIE)</v>
      </c>
      <c r="N563" s="7" t="str">
        <v>两份公开汇编一致</v>
      </c>
      <c r="O563" s="7" t="str"/>
      <c r="P563" s="15" t="str">
        <v>JIF来源</v>
      </c>
      <c r="Q563" s="15" t="str">
        <v>分区来源</v>
      </c>
      <c r="R563" s="15" t="str"/>
      <c r="S563" s="14" t="str">
        <v>http://www.annualreviews.org/journal/genet</v>
      </c>
      <c r="T563" s="7" t="str">
        <v>ISSN匹配公开元数据；未逐站复核</v>
      </c>
      <c r="U563" s="2" t="str">
        <v>官网来源</v>
      </c>
      <c r="V563" s="2" t="n">
        <v>2026</v>
      </c>
    </row>
    <row r="564" ht="34" customHeight="1">
      <c r="A564" s="7" t="str">
        <v>Annual Review of Genomics and Human Genetics</v>
      </c>
      <c r="B564" s="7" t="str">
        <v>遗传组学与计算生物</v>
      </c>
      <c r="C564" s="11" t="n">
        <v>1</v>
      </c>
      <c r="D564" s="12" t="n">
        <v>8.3</v>
      </c>
      <c r="E564" s="13" t="n">
        <v>2025</v>
      </c>
      <c r="F564" s="7" t="str">
        <v>其他</v>
      </c>
      <c r="G564" s="7" t="str">
        <v>领域期刊/新兴刊</v>
      </c>
      <c r="H564" s="7" t="str">
        <v>综述为主</v>
      </c>
      <c r="I564" s="10" t="n">
        <v>2025</v>
      </c>
      <c r="J564" s="2" t="str">
        <v>是</v>
      </c>
      <c r="K564" s="2" t="str">
        <v>1527-8204</v>
      </c>
      <c r="L564" s="2" t="str">
        <v>1545-293X</v>
      </c>
      <c r="M564" s="7" t="str">
        <v>GENETICS &amp; HEREDITY(SCIE)</v>
      </c>
      <c r="N564" s="7" t="str">
        <v>两份公开汇编一致</v>
      </c>
      <c r="O564" s="7" t="str"/>
      <c r="P564" s="15" t="str">
        <v>JIF来源</v>
      </c>
      <c r="Q564" s="15" t="str">
        <v>分区来源</v>
      </c>
      <c r="R564" s="15" t="str"/>
      <c r="S564" s="14" t="str">
        <v>http://www.annualreviews.org/journal/genom</v>
      </c>
      <c r="T564" s="7" t="str">
        <v>ISSN匹配公开元数据；未逐站复核</v>
      </c>
      <c r="U564" s="2" t="str">
        <v>官网来源</v>
      </c>
      <c r="V564" s="2" t="n">
        <v>2026</v>
      </c>
    </row>
    <row r="565" ht="34" customHeight="1">
      <c r="A565" s="7" t="str">
        <v>Cell Systems</v>
      </c>
      <c r="B565" s="7" t="str">
        <v>遗传组学与计算生物</v>
      </c>
      <c r="C565" s="11" t="n">
        <v>1</v>
      </c>
      <c r="D565" s="12" t="n">
        <v>7.5</v>
      </c>
      <c r="E565" s="13" t="n">
        <v>2025</v>
      </c>
      <c r="F565" s="7" t="str">
        <v>Cell Press（含合作刊）</v>
      </c>
      <c r="G565" s="7" t="str">
        <v>领域期刊/新兴刊</v>
      </c>
      <c r="H565" s="7" t="str">
        <v>研究/方法/综合</v>
      </c>
      <c r="I565" s="10" t="n">
        <v>2025</v>
      </c>
      <c r="J565" s="2" t="str">
        <v>是</v>
      </c>
      <c r="K565" s="2" t="str">
        <v>2405-4712</v>
      </c>
      <c r="L565" s="2" t="str">
        <v>2405-4720</v>
      </c>
      <c r="M565" s="7" t="str">
        <v>BIOCHEMISTRY &amp; MOLECULAR BIOLOGY(SCIE);CELL BIOLOGY(SCIE)</v>
      </c>
      <c r="N565" s="7" t="str">
        <v>两份公开汇编一致</v>
      </c>
      <c r="O565" s="7" t="str"/>
      <c r="P565" s="15" t="str">
        <v>JIF来源</v>
      </c>
      <c r="Q565" s="15" t="str">
        <v>分区来源</v>
      </c>
      <c r="R565" s="15" t="str"/>
      <c r="S565" s="14" t="str">
        <v>https://www.journals.elsevier.com/cell-systems</v>
      </c>
      <c r="T565" s="7" t="str">
        <v>ISSN匹配公开元数据；未逐站复核</v>
      </c>
      <c r="U565" s="2" t="str">
        <v>官网来源</v>
      </c>
      <c r="V565" s="2" t="n">
        <v>2026</v>
      </c>
    </row>
    <row r="566" ht="34" customHeight="1">
      <c r="A566" s="7" t="str">
        <v>Journal of Genetics and Genomics</v>
      </c>
      <c r="B566" s="7" t="str">
        <v>遗传组学与计算生物</v>
      </c>
      <c r="C566" s="11" t="n">
        <v>1</v>
      </c>
      <c r="D566" s="12" t="n">
        <v>7.9</v>
      </c>
      <c r="E566" s="13" t="n">
        <v>2025</v>
      </c>
      <c r="F566" s="7" t="str">
        <v>其他</v>
      </c>
      <c r="G566" s="7" t="str">
        <v>领域期刊/新兴刊</v>
      </c>
      <c r="H566" s="7" t="str">
        <v>研究/方法/综合</v>
      </c>
      <c r="I566" s="10" t="n">
        <v>2025</v>
      </c>
      <c r="J566" s="2" t="str">
        <v>是</v>
      </c>
      <c r="K566" s="2" t="str">
        <v>1673-8527</v>
      </c>
      <c r="L566" s="2" t="str">
        <v>1873-5533</v>
      </c>
      <c r="M566" s="7" t="str">
        <v>BIOCHEMISTRY &amp; MOLECULAR BIOLOGY(SCIE);GENETICS &amp; HEREDITY(SCIE)</v>
      </c>
      <c r="N566" s="7" t="str">
        <v>两份公开汇编一致</v>
      </c>
      <c r="O566" s="7" t="str"/>
      <c r="P566" s="15" t="str">
        <v>JIF来源</v>
      </c>
      <c r="Q566" s="15" t="str">
        <v>分区来源</v>
      </c>
      <c r="R566" s="15" t="str"/>
      <c r="S566" s="14" t="str">
        <v>https://www.journals.elsevier.com/journal-of-genetics-and-genomics</v>
      </c>
      <c r="T566" s="7" t="str">
        <v>ISSN匹配公开元数据；未逐站复核</v>
      </c>
      <c r="U566" s="2" t="str">
        <v>官网来源</v>
      </c>
      <c r="V566" s="2" t="n">
        <v>2026</v>
      </c>
    </row>
    <row r="567" ht="34" customHeight="1">
      <c r="A567" s="7" t="str">
        <v>CLADISTICS</v>
      </c>
      <c r="B567" s="7" t="str">
        <v>遗传组学与计算生物</v>
      </c>
      <c r="C567" s="11" t="n">
        <v>1</v>
      </c>
      <c r="D567" s="12" t="n">
        <v>8.9</v>
      </c>
      <c r="E567" s="13" t="n">
        <v>2025</v>
      </c>
      <c r="F567" s="7" t="str">
        <v>其他</v>
      </c>
      <c r="G567" s="7" t="str">
        <v>领域期刊/新兴刊</v>
      </c>
      <c r="H567" s="7" t="str">
        <v>研究/方法/综合</v>
      </c>
      <c r="I567" s="10" t="n">
        <v>2025</v>
      </c>
      <c r="J567" s="2" t="str">
        <v>是</v>
      </c>
      <c r="K567" s="2" t="str">
        <v>0748-3007</v>
      </c>
      <c r="L567" s="2" t="str">
        <v>1096-0031</v>
      </c>
      <c r="M567" s="7" t="str">
        <v>EVOLUTIONARY BIOLOGY(SCIE);ZOOLOGY(SCIE)</v>
      </c>
      <c r="N567" s="7" t="str">
        <v>两份公开汇编一致</v>
      </c>
      <c r="O567" s="7" t="str"/>
      <c r="P567" s="15" t="str">
        <v>JIF来源</v>
      </c>
      <c r="Q567" s="15" t="str">
        <v>分区来源</v>
      </c>
      <c r="R567" s="15" t="str"/>
      <c r="S567" s="14" t="str">
        <v>http://www.wiley.com/bw/submit.asp?ref=0748-3007</v>
      </c>
      <c r="T567" s="7" t="str">
        <v>ISSN匹配公开元数据；未逐站复核</v>
      </c>
      <c r="U567" s="2" t="str">
        <v>官网来源</v>
      </c>
      <c r="V567" s="2" t="n">
        <v>2026</v>
      </c>
    </row>
    <row r="568" ht="34" customHeight="1">
      <c r="A568" s="7" t="str">
        <v>Systematic Biology</v>
      </c>
      <c r="B568" s="7" t="str">
        <v>遗传组学与计算生物</v>
      </c>
      <c r="C568" s="11" t="n">
        <v>1</v>
      </c>
      <c r="D568" s="12" t="n">
        <v>6.2</v>
      </c>
      <c r="E568" s="13" t="n">
        <v>2025</v>
      </c>
      <c r="F568" s="7" t="str">
        <v>其他</v>
      </c>
      <c r="G568" s="7" t="str">
        <v>经典专业刊</v>
      </c>
      <c r="H568" s="7" t="str">
        <v>研究/方法/综合</v>
      </c>
      <c r="I568" s="10" t="n">
        <v>2025</v>
      </c>
      <c r="J568" s="2" t="str">
        <v>是</v>
      </c>
      <c r="K568" s="2" t="str">
        <v>1063-5157</v>
      </c>
      <c r="L568" s="2" t="str">
        <v>1076-836X</v>
      </c>
      <c r="M568" s="7" t="str">
        <v>EVOLUTIONARY BIOLOGY(SCIE)</v>
      </c>
      <c r="N568" s="7" t="str">
        <v>两份公开汇编一致</v>
      </c>
      <c r="O568" s="7" t="str"/>
      <c r="P568" s="15" t="str">
        <v>JIF来源</v>
      </c>
      <c r="Q568" s="15" t="str">
        <v>分区来源</v>
      </c>
      <c r="R568" s="15" t="str"/>
      <c r="S568" s="14" t="str">
        <v>http://sysbio.oxfordjournals.org/</v>
      </c>
      <c r="T568" s="7" t="str">
        <v>ISSN匹配公开元数据；未逐站复核</v>
      </c>
      <c r="U568" s="2" t="str">
        <v>官网来源</v>
      </c>
      <c r="V568" s="2" t="n">
        <v>2026</v>
      </c>
    </row>
    <row r="569" ht="34" customHeight="1">
      <c r="A569" s="7" t="str">
        <v>GENOME RESEARCH</v>
      </c>
      <c r="B569" s="7" t="str">
        <v>遗传组学与计算生物</v>
      </c>
      <c r="C569" s="11" t="n">
        <v>1</v>
      </c>
      <c r="D569" s="12" t="n">
        <v>6.3</v>
      </c>
      <c r="E569" s="13" t="n">
        <v>2025</v>
      </c>
      <c r="F569" s="7" t="str">
        <v>其他</v>
      </c>
      <c r="G569" s="7" t="str">
        <v>经典专业刊</v>
      </c>
      <c r="H569" s="7" t="str">
        <v>研究/方法/综合</v>
      </c>
      <c r="I569" s="10" t="n">
        <v>2025</v>
      </c>
      <c r="J569" s="2" t="str">
        <v>是</v>
      </c>
      <c r="K569" s="2" t="str">
        <v>1088-9051</v>
      </c>
      <c r="L569" s="2" t="str">
        <v>1549-5469</v>
      </c>
      <c r="M569" s="7" t="str">
        <v>BIOCHEMISTRY &amp; MOLECULAR BIOLOGY(SCIE);BIOTECHNOLOGY &amp; APPLIED MICROBIOLOGY(SCIE);GENETICS &amp; HEREDITY(SCIE)</v>
      </c>
      <c r="N569" s="7" t="str">
        <v>两份公开汇编一致</v>
      </c>
      <c r="O569" s="7" t="str"/>
      <c r="P569" s="15" t="str">
        <v>JIF来源</v>
      </c>
      <c r="Q569" s="15" t="str">
        <v>分区来源</v>
      </c>
      <c r="R569" s="15" t="str"/>
      <c r="S569" s="14" t="str">
        <v>http://genome.cshlp.org/</v>
      </c>
      <c r="T569" s="7" t="str">
        <v>ISSN匹配公开元数据；未逐站复核</v>
      </c>
      <c r="U569" s="2" t="str">
        <v>官网来源</v>
      </c>
      <c r="V569" s="2" t="n">
        <v>2026</v>
      </c>
    </row>
    <row r="570" ht="34" customHeight="1">
      <c r="A570" s="7" t="str">
        <v>Molecular Ecology Resources</v>
      </c>
      <c r="B570" s="7" t="str">
        <v>遗传组学与计算生物</v>
      </c>
      <c r="C570" s="11" t="n">
        <v>1</v>
      </c>
      <c r="D570" s="12" t="n">
        <v>5.9</v>
      </c>
      <c r="E570" s="13" t="n">
        <v>2025</v>
      </c>
      <c r="F570" s="7" t="str">
        <v>其他</v>
      </c>
      <c r="G570" s="7" t="str">
        <v>领域期刊/新兴刊</v>
      </c>
      <c r="H570" s="7" t="str">
        <v>研究/方法/综合</v>
      </c>
      <c r="I570" s="10" t="n">
        <v>2025</v>
      </c>
      <c r="J570" s="2" t="str">
        <v>是</v>
      </c>
      <c r="K570" s="2" t="str">
        <v>1755-098X</v>
      </c>
      <c r="L570" s="2" t="str">
        <v>1755-0998</v>
      </c>
      <c r="M570" s="7" t="str">
        <v>BIOCHEMISTRY &amp; MOLECULAR BIOLOGY(SCIE);ECOLOGY(SCIE);EVOLUTIONARY BIOLOGY(SCIE)</v>
      </c>
      <c r="N570" s="7" t="str">
        <v>两份公开汇编一致</v>
      </c>
      <c r="O570" s="7" t="str"/>
      <c r="P570" s="15" t="str">
        <v>JIF来源</v>
      </c>
      <c r="Q570" s="15" t="str">
        <v>分区来源</v>
      </c>
      <c r="R570" s="15" t="str"/>
      <c r="S570" s="14" t="str">
        <v>https://onlinelibrary.wiley.com/journal/17550998</v>
      </c>
      <c r="T570" s="7" t="str">
        <v>ISSN匹配公开元数据；未逐站复核</v>
      </c>
      <c r="U570" s="2" t="str">
        <v>官网来源</v>
      </c>
      <c r="V570" s="2" t="n">
        <v>2026</v>
      </c>
    </row>
    <row r="571" ht="34" customHeight="1">
      <c r="A571" s="7" t="str">
        <v>MOLECULAR BIOLOGY AND EVOLUTION</v>
      </c>
      <c r="B571" s="7" t="str">
        <v>遗传组学与计算生物</v>
      </c>
      <c r="C571" s="11" t="n">
        <v>1</v>
      </c>
      <c r="D571" s="12" t="n">
        <v>6.4</v>
      </c>
      <c r="E571" s="13" t="n">
        <v>2025</v>
      </c>
      <c r="F571" s="7" t="str">
        <v>其他</v>
      </c>
      <c r="G571" s="7" t="str">
        <v>经典专业刊</v>
      </c>
      <c r="H571" s="7" t="str">
        <v>研究/方法/综合</v>
      </c>
      <c r="I571" s="10" t="n">
        <v>2025</v>
      </c>
      <c r="J571" s="2" t="str">
        <v>是</v>
      </c>
      <c r="K571" s="2" t="str">
        <v>0737-4038</v>
      </c>
      <c r="L571" s="2" t="str">
        <v>1537-1719</v>
      </c>
      <c r="M571" s="7" t="str">
        <v>BIOCHEMISTRY &amp; MOLECULAR BIOLOGY(SCIE);EVOLUTIONARY BIOLOGY(SCIE);GENETICS &amp; HEREDITY(SCIE)</v>
      </c>
      <c r="N571" s="7" t="str">
        <v>两份公开汇编一致</v>
      </c>
      <c r="O571" s="7" t="str"/>
      <c r="P571" s="15" t="str">
        <v>JIF来源</v>
      </c>
      <c r="Q571" s="15" t="str">
        <v>分区来源</v>
      </c>
      <c r="R571" s="15" t="str"/>
      <c r="S571" s="14" t="str">
        <v>http://mbe.oxfordjournals.org/</v>
      </c>
      <c r="T571" s="7" t="str">
        <v>ISSN匹配公开元数据；未逐站复核</v>
      </c>
      <c r="U571" s="2" t="str">
        <v>官网来源</v>
      </c>
      <c r="V571" s="2" t="n">
        <v>2026</v>
      </c>
    </row>
    <row r="572" ht="34" customHeight="1">
      <c r="A572" s="7" t="str">
        <v>MOLECULAR ECOLOGY</v>
      </c>
      <c r="B572" s="7" t="str">
        <v>遗传组学与计算生物</v>
      </c>
      <c r="C572" s="11" t="n">
        <v>1</v>
      </c>
      <c r="D572" s="12" t="n">
        <v>3.7</v>
      </c>
      <c r="E572" s="13" t="n">
        <v>2025</v>
      </c>
      <c r="F572" s="7" t="str">
        <v>其他</v>
      </c>
      <c r="G572" s="7" t="str">
        <v>经典专业刊</v>
      </c>
      <c r="H572" s="7" t="str">
        <v>研究/方法/综合</v>
      </c>
      <c r="I572" s="10" t="n">
        <v>2025</v>
      </c>
      <c r="J572" s="2" t="str">
        <v>是</v>
      </c>
      <c r="K572" s="2" t="str">
        <v>0962-1083</v>
      </c>
      <c r="L572" s="2" t="str">
        <v>1365-294X</v>
      </c>
      <c r="M572" s="7" t="str">
        <v>BIOCHEMISTRY &amp; MOLECULAR BIOLOGY(SCIE);ECOLOGY(SCIE);EVOLUTIONARY BIOLOGY(SCIE)</v>
      </c>
      <c r="N572" s="7" t="str">
        <v>两份公开汇编一致</v>
      </c>
      <c r="O572" s="7" t="str"/>
      <c r="P572" s="15" t="str">
        <v>JIF来源</v>
      </c>
      <c r="Q572" s="15" t="str">
        <v>分区来源</v>
      </c>
      <c r="R572" s="15" t="str"/>
      <c r="S572" s="14" t="str">
        <v>http://www.wiley.com/bw/journal.asp?ref=0962-1083</v>
      </c>
      <c r="T572" s="7" t="str">
        <v>ISSN匹配公开元数据；未逐站复核</v>
      </c>
      <c r="U572" s="2" t="str">
        <v>官网来源</v>
      </c>
      <c r="V572" s="2" t="n">
        <v>2026</v>
      </c>
    </row>
    <row r="573" ht="34" customHeight="1">
      <c r="A573" s="7" t="str">
        <v>Evolution Letters</v>
      </c>
      <c r="B573" s="7" t="str">
        <v>遗传组学与计算生物</v>
      </c>
      <c r="C573" s="11" t="n">
        <v>1</v>
      </c>
      <c r="D573" s="12" t="n">
        <v>4.3</v>
      </c>
      <c r="E573" s="13" t="n">
        <v>2025</v>
      </c>
      <c r="F573" s="7" t="str">
        <v>其他</v>
      </c>
      <c r="G573" s="7" t="str">
        <v>领域期刊/新兴刊</v>
      </c>
      <c r="H573" s="7" t="str">
        <v>研究/方法/综合</v>
      </c>
      <c r="I573" s="10" t="n">
        <v>2025</v>
      </c>
      <c r="J573" s="2" t="str">
        <v>是</v>
      </c>
      <c r="K573" s="2" t="str"/>
      <c r="L573" s="2" t="str">
        <v>2056-3744</v>
      </c>
      <c r="M573" s="7" t="str">
        <v>EVOLUTIONARY BIOLOGY(SCIE)</v>
      </c>
      <c r="N573" s="7" t="str">
        <v>两份公开汇编一致</v>
      </c>
      <c r="O573" s="7" t="str"/>
      <c r="P573" s="15" t="str">
        <v>JIF来源</v>
      </c>
      <c r="Q573" s="15" t="str">
        <v>分区来源</v>
      </c>
      <c r="R573" s="15" t="str"/>
      <c r="S573" s="14" t="str">
        <v>https://onlinelibrary.wiley.com/journal/20563744</v>
      </c>
      <c r="T573" s="7" t="str">
        <v>ISSN匹配公开元数据；未逐站复核</v>
      </c>
      <c r="U573" s="2" t="str">
        <v>官网来源</v>
      </c>
      <c r="V573" s="2" t="n">
        <v>2026</v>
      </c>
    </row>
    <row r="574" ht="34" customHeight="1">
      <c r="A574" s="7" t="str">
        <v>MOLECULAR PHYLOGENETICS AND EVOLUTION</v>
      </c>
      <c r="B574" s="7" t="str">
        <v>遗传组学与计算生物</v>
      </c>
      <c r="C574" s="11" t="n">
        <v>1</v>
      </c>
      <c r="D574" s="12" t="n">
        <v>4</v>
      </c>
      <c r="E574" s="13" t="n">
        <v>2025</v>
      </c>
      <c r="F574" s="7" t="str">
        <v>其他</v>
      </c>
      <c r="G574" s="7" t="str">
        <v>领域期刊/新兴刊</v>
      </c>
      <c r="H574" s="7" t="str">
        <v>研究/方法/综合</v>
      </c>
      <c r="I574" s="10" t="n">
        <v>2025</v>
      </c>
      <c r="J574" s="2" t="str">
        <v>是</v>
      </c>
      <c r="K574" s="2" t="str">
        <v>1055-7903</v>
      </c>
      <c r="L574" s="2" t="str">
        <v>1095-9513</v>
      </c>
      <c r="M574" s="7" t="str">
        <v>BIOCHEMISTRY &amp; MOLECULAR BIOLOGY(SCIE);EVOLUTIONARY BIOLOGY(SCIE);GENETICS &amp; HEREDITY(SCIE)</v>
      </c>
      <c r="N574" s="7" t="str">
        <v>两份公开汇编一致</v>
      </c>
      <c r="O574" s="7" t="str"/>
      <c r="P574" s="15" t="str">
        <v>JIF来源</v>
      </c>
      <c r="Q574" s="15" t="str">
        <v>分区来源</v>
      </c>
      <c r="R574" s="15" t="str"/>
      <c r="S574" s="14" t="str">
        <v>http://www.elsevier.com/wps/find/journaldescription.cws_home/622921/description#description/</v>
      </c>
      <c r="T574" s="7" t="str">
        <v>ISSN匹配公开元数据；未逐站复核</v>
      </c>
      <c r="U574" s="2" t="str">
        <v>官网来源</v>
      </c>
      <c r="V574" s="2" t="n">
        <v>2026</v>
      </c>
    </row>
    <row r="575" ht="34" customHeight="1">
      <c r="A575" s="7" t="str">
        <v>Nature Protocols</v>
      </c>
      <c r="B575" s="7" t="str">
        <v>遗传组学与计算生物</v>
      </c>
      <c r="C575" s="11" t="n">
        <v>2</v>
      </c>
      <c r="D575" s="12" t="n">
        <v>18.4</v>
      </c>
      <c r="E575" s="13" t="n">
        <v>2025</v>
      </c>
      <c r="F575" s="7" t="str">
        <v>Nature Portfolio（含合作刊）</v>
      </c>
      <c r="G575" s="7" t="str">
        <v>领域期刊/新兴刊</v>
      </c>
      <c r="H575" s="7" t="str">
        <v>研究/方法/综合</v>
      </c>
      <c r="I575" s="10" t="n">
        <v>2025</v>
      </c>
      <c r="J575" s="2" t="str">
        <v>是</v>
      </c>
      <c r="K575" s="2" t="str">
        <v>1754-2189</v>
      </c>
      <c r="L575" s="2" t="str">
        <v>1750-2799</v>
      </c>
      <c r="M575" s="7" t="str">
        <v>BIOCHEMICAL RESEARCH METHODS(SCIE)</v>
      </c>
      <c r="N575" s="7" t="str">
        <v>两份公开汇编一致</v>
      </c>
      <c r="O575" s="7" t="str"/>
      <c r="P575" s="15" t="str">
        <v>JIF来源</v>
      </c>
      <c r="Q575" s="15" t="str">
        <v>分区来源</v>
      </c>
      <c r="R575" s="15" t="str"/>
      <c r="S575" s="14" t="str">
        <v>https://www.nature.com/nprot/</v>
      </c>
      <c r="T575" s="7" t="str">
        <v>ISSN匹配公开元数据；未逐站复核</v>
      </c>
      <c r="U575" s="2" t="str">
        <v>官网来源</v>
      </c>
      <c r="V575" s="2" t="n">
        <v>2026</v>
      </c>
    </row>
    <row r="576" ht="34" customHeight="1">
      <c r="A576" s="7" t="str">
        <v>NUCLEIC ACIDS RESEARCH</v>
      </c>
      <c r="B576" s="7" t="str">
        <v>遗传组学与计算生物</v>
      </c>
      <c r="C576" s="11" t="n">
        <v>2</v>
      </c>
      <c r="D576" s="12" t="n">
        <v>15</v>
      </c>
      <c r="E576" s="13" t="n">
        <v>2025</v>
      </c>
      <c r="F576" s="7" t="str">
        <v>其他</v>
      </c>
      <c r="G576" s="7" t="str">
        <v>经典专业刊</v>
      </c>
      <c r="H576" s="7" t="str">
        <v>研究/方法/综合</v>
      </c>
      <c r="I576" s="10" t="n">
        <v>2025</v>
      </c>
      <c r="J576" s="2" t="str">
        <v>是</v>
      </c>
      <c r="K576" s="2" t="str">
        <v>0305-1048</v>
      </c>
      <c r="L576" s="2" t="str">
        <v>1362-4962</v>
      </c>
      <c r="M576" s="7" t="str">
        <v>BIOCHEMISTRY &amp; MOLECULAR BIOLOGY(SCIE)</v>
      </c>
      <c r="N576" s="7" t="str">
        <v>两份公开汇编一致</v>
      </c>
      <c r="O576" s="7" t="str"/>
      <c r="P576" s="15" t="str">
        <v>JIF来源</v>
      </c>
      <c r="Q576" s="15" t="str">
        <v>分区来源</v>
      </c>
      <c r="R576" s="15" t="str"/>
      <c r="S576" s="14" t="str">
        <v>http://nar.oxfordjournals.org/</v>
      </c>
      <c r="T576" s="7" t="str">
        <v>ISSN匹配公开元数据；未逐站复核</v>
      </c>
      <c r="U576" s="2" t="str">
        <v>官网来源</v>
      </c>
      <c r="V576" s="2" t="n">
        <v>2026</v>
      </c>
    </row>
    <row r="577" ht="34" customHeight="1">
      <c r="A577" s="7" t="str">
        <v>GENOMICS PROTEOMICS &amp; BIOINFORMATICS</v>
      </c>
      <c r="B577" s="7" t="str">
        <v>遗传组学与计算生物</v>
      </c>
      <c r="C577" s="11" t="n">
        <v>2</v>
      </c>
      <c r="D577" s="12" t="n">
        <v>7.2</v>
      </c>
      <c r="E577" s="13" t="n">
        <v>2025</v>
      </c>
      <c r="F577" s="7" t="str">
        <v>其他</v>
      </c>
      <c r="G577" s="7" t="str">
        <v>领域期刊/新兴刊</v>
      </c>
      <c r="H577" s="7" t="str">
        <v>研究/方法/综合</v>
      </c>
      <c r="I577" s="10" t="n">
        <v>2025</v>
      </c>
      <c r="J577" s="2" t="str">
        <v>否</v>
      </c>
      <c r="K577" s="2" t="str">
        <v>1672-0229</v>
      </c>
      <c r="L577" s="2" t="str">
        <v>2210-3244</v>
      </c>
      <c r="M577" s="7" t="str">
        <v>GENETICS &amp; HEREDITY(SCIE)</v>
      </c>
      <c r="N577" s="7" t="str">
        <v>两份公开汇编一致</v>
      </c>
      <c r="O577" s="7" t="str"/>
      <c r="P577" s="15" t="str">
        <v>JIF来源</v>
      </c>
      <c r="Q577" s="15" t="str">
        <v>分区来源</v>
      </c>
      <c r="R577" s="15" t="str"/>
      <c r="S577" s="14" t="str">
        <v>https://www.journals.elsevier.com/genomics-proteomics-and-bioinformatics</v>
      </c>
      <c r="T577" s="7" t="str">
        <v>ISSN匹配公开元数据；未逐站复核</v>
      </c>
      <c r="U577" s="2" t="str">
        <v>官网来源</v>
      </c>
      <c r="V577" s="2" t="n">
        <v>2026</v>
      </c>
    </row>
    <row r="578" ht="34" customHeight="1">
      <c r="A578" s="7" t="str">
        <v>BRIEFINGS IN BIOINFORMATICS</v>
      </c>
      <c r="B578" s="7" t="str">
        <v>遗传组学与计算生物</v>
      </c>
      <c r="C578" s="11" t="n">
        <v>2</v>
      </c>
      <c r="D578" s="12" t="n">
        <v>7.3</v>
      </c>
      <c r="E578" s="13" t="n">
        <v>2025</v>
      </c>
      <c r="F578" s="7" t="str">
        <v>其他</v>
      </c>
      <c r="G578" s="7" t="str">
        <v>领域期刊/新兴刊</v>
      </c>
      <c r="H578" s="7" t="str">
        <v>研究/方法/综合</v>
      </c>
      <c r="I578" s="10" t="n">
        <v>2025</v>
      </c>
      <c r="J578" s="2" t="str">
        <v>否</v>
      </c>
      <c r="K578" s="2" t="str">
        <v>1467-5463</v>
      </c>
      <c r="L578" s="2" t="str">
        <v>1477-4054</v>
      </c>
      <c r="M578" s="7" t="str">
        <v>BIOCHEMICAL RESEARCH METHODS(SCIE);MATHEMATICAL &amp; COMPUTATIONAL BIOLOGY(SCIE)</v>
      </c>
      <c r="N578" s="7" t="str">
        <v>两份公开汇编一致</v>
      </c>
      <c r="O578" s="7" t="str"/>
      <c r="P578" s="15" t="str">
        <v>JIF来源</v>
      </c>
      <c r="Q578" s="15" t="str">
        <v>分区来源</v>
      </c>
      <c r="R578" s="15" t="str"/>
      <c r="S578" s="14" t="str">
        <v>http://bib.oxfordjournals.org/</v>
      </c>
      <c r="T578" s="7" t="str">
        <v>ISSN匹配公开元数据；未逐站复核</v>
      </c>
      <c r="U578" s="2" t="str">
        <v>官网来源</v>
      </c>
      <c r="V578" s="2" t="n">
        <v>2026</v>
      </c>
    </row>
    <row r="579" ht="48" customHeight="1">
      <c r="A579" s="7" t="str">
        <v>Patterns</v>
      </c>
      <c r="B579" s="7" t="str">
        <v>遗传组学与计算生物</v>
      </c>
      <c r="C579" s="11" t="n">
        <v>2</v>
      </c>
      <c r="D579" s="12" t="n">
        <v>10.8</v>
      </c>
      <c r="E579" s="13" t="n">
        <v>2025</v>
      </c>
      <c r="F579" s="7" t="str">
        <v>Cell Press（含合作刊）</v>
      </c>
      <c r="G579" s="7" t="str">
        <v>领域期刊/新兴刊</v>
      </c>
      <c r="H579" s="7" t="str">
        <v>研究/方法/综合</v>
      </c>
      <c r="I579" s="10" t="n">
        <v>2025</v>
      </c>
      <c r="J579" s="2" t="str">
        <v>否</v>
      </c>
      <c r="K579" s="2" t="str">
        <v>2666-3899</v>
      </c>
      <c r="L579" s="2" t="str">
        <v>2666-3899</v>
      </c>
      <c r="M579" s="7" t="str">
        <v>COMPUTER SCIENCE, ARTIFICIAL INTELLIGENCE(ESCI);COMPUTER SCIENCE, INFORMATION SYSTEMS(ESCI);COMPUTER SCIENCE, INTERDISCIPLINARY APPLICATIONS(ESCI)</v>
      </c>
      <c r="N579" s="7" t="str">
        <v>两份公开汇编一致</v>
      </c>
      <c r="O579" s="7" t="str"/>
      <c r="P579" s="15" t="str">
        <v>JIF来源</v>
      </c>
      <c r="Q579" s="15" t="str">
        <v>分区来源</v>
      </c>
      <c r="R579" s="15" t="str"/>
      <c r="S579" s="14" t="str">
        <v>https://www.journals.elsevier.com/patterns</v>
      </c>
      <c r="T579" s="7" t="str">
        <v>ISSN匹配公开元数据；未逐站复核</v>
      </c>
      <c r="U579" s="2" t="str">
        <v>官网来源</v>
      </c>
      <c r="V579" s="2" t="n">
        <v>2026</v>
      </c>
    </row>
    <row r="580" ht="34" customHeight="1">
      <c r="A580" s="7" t="str">
        <v>MOLECULAR &amp; CELLULAR PROTEOMICS</v>
      </c>
      <c r="B580" s="7" t="str">
        <v>遗传组学与计算生物</v>
      </c>
      <c r="C580" s="11" t="n">
        <v>2</v>
      </c>
      <c r="D580" s="12" t="n">
        <v>6.3</v>
      </c>
      <c r="E580" s="13" t="n">
        <v>2025</v>
      </c>
      <c r="F580" s="7" t="str">
        <v>其他</v>
      </c>
      <c r="G580" s="7" t="str">
        <v>领域期刊/新兴刊</v>
      </c>
      <c r="H580" s="7" t="str">
        <v>研究/方法/综合</v>
      </c>
      <c r="I580" s="10" t="n">
        <v>2025</v>
      </c>
      <c r="J580" s="2" t="str">
        <v>是</v>
      </c>
      <c r="K580" s="2" t="str"/>
      <c r="L580" s="2" t="str">
        <v>1535-9484</v>
      </c>
      <c r="M580" s="7" t="str">
        <v>BIOCHEMICAL RESEARCH METHODS(SCIE)</v>
      </c>
      <c r="N580" s="7" t="str">
        <v>两份公开汇编一致</v>
      </c>
      <c r="O580" s="7" t="str"/>
      <c r="P580" s="15" t="str">
        <v>JIF来源</v>
      </c>
      <c r="Q580" s="15" t="str">
        <v>分区来源</v>
      </c>
      <c r="R580" s="15" t="str"/>
      <c r="S580" s="14" t="str">
        <v>https://www.sciencedirect.com/journal/molecular-and-cellular-proteomics</v>
      </c>
      <c r="T580" s="7" t="str">
        <v>ISSN匹配公开元数据；未逐站复核</v>
      </c>
      <c r="U580" s="2" t="str">
        <v>官网来源</v>
      </c>
      <c r="V580" s="2" t="n">
        <v>2026</v>
      </c>
    </row>
    <row r="581" ht="34" customHeight="1">
      <c r="A581" s="7" t="str">
        <v>Biology Direct</v>
      </c>
      <c r="B581" s="7" t="str">
        <v>遗传组学与计算生物</v>
      </c>
      <c r="C581" s="11" t="n">
        <v>2</v>
      </c>
      <c r="D581" s="12" t="n">
        <v>5.5</v>
      </c>
      <c r="E581" s="13" t="n">
        <v>2025</v>
      </c>
      <c r="F581" s="7" t="str">
        <v>其他</v>
      </c>
      <c r="G581" s="7" t="str">
        <v>领域期刊/新兴刊</v>
      </c>
      <c r="H581" s="7" t="str">
        <v>研究/方法/综合</v>
      </c>
      <c r="I581" s="10" t="n">
        <v>2025</v>
      </c>
      <c r="J581" s="2" t="str">
        <v>否</v>
      </c>
      <c r="K581" s="2" t="str"/>
      <c r="L581" s="2" t="str">
        <v>1745-6150</v>
      </c>
      <c r="M581" s="7" t="str">
        <v>BIOLOGY(SCIE)</v>
      </c>
      <c r="N581" s="7" t="str">
        <v>两份公开汇编一致</v>
      </c>
      <c r="O581" s="7" t="str"/>
      <c r="P581" s="15" t="str">
        <v>JIF来源</v>
      </c>
      <c r="Q581" s="15" t="str">
        <v>分区来源</v>
      </c>
      <c r="R581" s="15" t="str"/>
      <c r="S581" s="14" t="str">
        <v>http://www.biology-direct.com/</v>
      </c>
      <c r="T581" s="7" t="str">
        <v>ISSN匹配公开元数据；未逐站复核</v>
      </c>
      <c r="U581" s="2" t="str">
        <v>官网来源</v>
      </c>
      <c r="V581" s="2" t="n">
        <v>2026</v>
      </c>
    </row>
    <row r="582" ht="34" customHeight="1">
      <c r="A582" s="7" t="str">
        <v>BMC BIOLOGY</v>
      </c>
      <c r="B582" s="7" t="str">
        <v>遗传组学与计算生物</v>
      </c>
      <c r="C582" s="11" t="n">
        <v>2</v>
      </c>
      <c r="D582" s="12" t="n">
        <v>5.4</v>
      </c>
      <c r="E582" s="13" t="n">
        <v>2025</v>
      </c>
      <c r="F582" s="7" t="str">
        <v>其他</v>
      </c>
      <c r="G582" s="7" t="str">
        <v>领域期刊/新兴刊</v>
      </c>
      <c r="H582" s="7" t="str">
        <v>研究/方法/综合</v>
      </c>
      <c r="I582" s="10" t="n">
        <v>2025</v>
      </c>
      <c r="J582" s="2" t="str">
        <v>是</v>
      </c>
      <c r="K582" s="2" t="str"/>
      <c r="L582" s="2" t="str">
        <v>1741-7007</v>
      </c>
      <c r="M582" s="7" t="str">
        <v>BIOLOGY(SCIE)</v>
      </c>
      <c r="N582" s="7" t="str">
        <v>两份公开汇编一致</v>
      </c>
      <c r="O582" s="7" t="str"/>
      <c r="P582" s="15" t="str">
        <v>JIF来源</v>
      </c>
      <c r="Q582" s="15" t="str">
        <v>分区来源</v>
      </c>
      <c r="R582" s="15" t="str"/>
      <c r="S582" s="14" t="str">
        <v>http://www.biomedcentral.com/bmcbiol/</v>
      </c>
      <c r="T582" s="7" t="str">
        <v>ISSN匹配公开元数据；未逐站复核</v>
      </c>
      <c r="U582" s="2" t="str">
        <v>官网来源</v>
      </c>
      <c r="V582" s="2" t="n">
        <v>2026</v>
      </c>
    </row>
    <row r="583" ht="34" customHeight="1">
      <c r="A583" s="7" t="str">
        <v>HEREDITY</v>
      </c>
      <c r="B583" s="7" t="str">
        <v>遗传组学与计算生物</v>
      </c>
      <c r="C583" s="11" t="n">
        <v>2</v>
      </c>
      <c r="D583" s="12" t="n">
        <v>2.6</v>
      </c>
      <c r="E583" s="13" t="n">
        <v>2025</v>
      </c>
      <c r="F583" s="7" t="str">
        <v>其他</v>
      </c>
      <c r="G583" s="7" t="str">
        <v>经典专业刊</v>
      </c>
      <c r="H583" s="7" t="str">
        <v>研究/方法/综合</v>
      </c>
      <c r="I583" s="10" t="n">
        <v>2025</v>
      </c>
      <c r="J583" s="2" t="str">
        <v>否</v>
      </c>
      <c r="K583" s="2" t="str">
        <v>0018-067X</v>
      </c>
      <c r="L583" s="2" t="str">
        <v>1365-2540</v>
      </c>
      <c r="M583" s="7" t="str">
        <v>ECOLOGY(SCIE);EVOLUTIONARY BIOLOGY(SCIE);GENETICS &amp; HEREDITY(SCIE)</v>
      </c>
      <c r="N583" s="7" t="str">
        <v>两份公开汇编一致</v>
      </c>
      <c r="O583" s="7" t="str"/>
      <c r="P583" s="15" t="str">
        <v>JIF来源</v>
      </c>
      <c r="Q583" s="15" t="str">
        <v>分区来源</v>
      </c>
      <c r="R583" s="15" t="str"/>
      <c r="S583" s="14" t="str">
        <v>http://www.nature.com/hdy/</v>
      </c>
      <c r="T583" s="7" t="str">
        <v>ISSN匹配公开元数据；未逐站复核</v>
      </c>
      <c r="U583" s="2" t="str">
        <v>官网来源</v>
      </c>
      <c r="V583" s="2" t="n">
        <v>2026</v>
      </c>
    </row>
    <row r="584" ht="34" customHeight="1">
      <c r="A584" s="7" t="str">
        <v>BMC GENOMICS</v>
      </c>
      <c r="B584" s="7" t="str">
        <v>遗传组学与计算生物</v>
      </c>
      <c r="C584" s="11" t="n">
        <v>2</v>
      </c>
      <c r="D584" s="12" t="n">
        <v>3.9</v>
      </c>
      <c r="E584" s="13" t="n">
        <v>2025</v>
      </c>
      <c r="F584" s="7" t="str">
        <v>其他</v>
      </c>
      <c r="G584" s="7" t="str">
        <v>领域期刊/新兴刊</v>
      </c>
      <c r="H584" s="7" t="str">
        <v>研究/方法/综合</v>
      </c>
      <c r="I584" s="10" t="n">
        <v>2025</v>
      </c>
      <c r="J584" s="2" t="str">
        <v>否</v>
      </c>
      <c r="K584" s="2" t="str">
        <v>1471-2164</v>
      </c>
      <c r="L584" s="2" t="str">
        <v>1471-2164</v>
      </c>
      <c r="M584" s="7" t="str">
        <v>BIOTECHNOLOGY &amp; APPLIED MICROBIOLOGY(SCIE);GENETICS &amp; HEREDITY(SCIE)</v>
      </c>
      <c r="N584" s="7" t="str">
        <v>两份公开汇编一致</v>
      </c>
      <c r="O584" s="7" t="str"/>
      <c r="P584" s="15" t="str">
        <v>JIF来源</v>
      </c>
      <c r="Q584" s="15" t="str">
        <v>分区来源</v>
      </c>
      <c r="R584" s="15" t="str"/>
      <c r="S584" s="14" t="str">
        <v>https://bmcgenomics.biomedcentral.com/</v>
      </c>
      <c r="T584" s="7" t="str">
        <v>ISSN匹配公开元数据；未逐站复核</v>
      </c>
      <c r="U584" s="2" t="str">
        <v>官网来源</v>
      </c>
      <c r="V584" s="2" t="n">
        <v>2026</v>
      </c>
    </row>
    <row r="585" ht="34" customHeight="1">
      <c r="A585" s="7" t="str">
        <v>PLoS Genetics</v>
      </c>
      <c r="B585" s="7" t="str">
        <v>遗传组学与计算生物</v>
      </c>
      <c r="C585" s="11" t="n">
        <v>2</v>
      </c>
      <c r="D585" s="12" t="n">
        <v>3.9</v>
      </c>
      <c r="E585" s="13" t="n">
        <v>2025</v>
      </c>
      <c r="F585" s="7" t="str">
        <v>其他</v>
      </c>
      <c r="G585" s="7" t="str">
        <v>领域期刊/新兴刊</v>
      </c>
      <c r="H585" s="7" t="str">
        <v>研究/方法/综合</v>
      </c>
      <c r="I585" s="10" t="n">
        <v>2025</v>
      </c>
      <c r="J585" s="2" t="str">
        <v>是</v>
      </c>
      <c r="K585" s="2" t="str">
        <v>1553-7404</v>
      </c>
      <c r="L585" s="2" t="str">
        <v>1553-7404</v>
      </c>
      <c r="M585" s="7" t="str">
        <v>GENETICS &amp; HEREDITY(SCIE)</v>
      </c>
      <c r="N585" s="7" t="str">
        <v>两份公开汇编一致</v>
      </c>
      <c r="O585" s="7" t="str"/>
      <c r="P585" s="15" t="str">
        <v>JIF来源</v>
      </c>
      <c r="Q585" s="15" t="str">
        <v>分区来源</v>
      </c>
      <c r="R585" s="15" t="str"/>
      <c r="S585" s="14" t="str">
        <v>http://www.plosgenetics.org/</v>
      </c>
      <c r="T585" s="7" t="str">
        <v>ISSN匹配公开元数据；未逐站复核</v>
      </c>
      <c r="U585" s="2" t="str">
        <v>官网来源</v>
      </c>
      <c r="V585" s="2" t="n">
        <v>2026</v>
      </c>
    </row>
    <row r="586" ht="34" customHeight="1">
      <c r="A586" s="7" t="str">
        <v>JOURNAL OF PROTEOME RESEARCH</v>
      </c>
      <c r="B586" s="7" t="str">
        <v>遗传组学与计算生物</v>
      </c>
      <c r="C586" s="11" t="n">
        <v>2</v>
      </c>
      <c r="D586" s="12" t="n">
        <v>3.8</v>
      </c>
      <c r="E586" s="13" t="n">
        <v>2025</v>
      </c>
      <c r="F586" s="7" t="str">
        <v>其他</v>
      </c>
      <c r="G586" s="7" t="str">
        <v>领域期刊/新兴刊</v>
      </c>
      <c r="H586" s="7" t="str">
        <v>研究/方法/综合</v>
      </c>
      <c r="I586" s="10" t="n">
        <v>2025</v>
      </c>
      <c r="J586" s="2" t="str">
        <v>否</v>
      </c>
      <c r="K586" s="2" t="str">
        <v>1535-3893</v>
      </c>
      <c r="L586" s="2" t="str">
        <v>1535-3907</v>
      </c>
      <c r="M586" s="7" t="str">
        <v>BIOCHEMICAL RESEARCH METHODS(SCIE)</v>
      </c>
      <c r="N586" s="7" t="str">
        <v>两份公开汇编一致</v>
      </c>
      <c r="O586" s="7" t="str"/>
      <c r="P586" s="15" t="str">
        <v>JIF来源</v>
      </c>
      <c r="Q586" s="15" t="str">
        <v>分区来源</v>
      </c>
      <c r="R586" s="15" t="str"/>
      <c r="S586" s="14" t="str">
        <v>http://pubs.acs.org/journal/jprobs</v>
      </c>
      <c r="T586" s="7" t="str">
        <v>ISSN匹配公开元数据；未逐站复核</v>
      </c>
      <c r="U586" s="2" t="str">
        <v>官网来源</v>
      </c>
      <c r="V586" s="2" t="n">
        <v>2026</v>
      </c>
    </row>
    <row r="587" ht="34" customHeight="1">
      <c r="A587" s="7" t="str">
        <v>Open Biology</v>
      </c>
      <c r="B587" s="7" t="str">
        <v>遗传组学与计算生物</v>
      </c>
      <c r="C587" s="11" t="n">
        <v>2</v>
      </c>
      <c r="D587" s="12" t="n">
        <v>3.1</v>
      </c>
      <c r="E587" s="13" t="n">
        <v>2025</v>
      </c>
      <c r="F587" s="7" t="str">
        <v>其他</v>
      </c>
      <c r="G587" s="7" t="str">
        <v>领域期刊/新兴刊</v>
      </c>
      <c r="H587" s="7" t="str">
        <v>研究/方法/综合</v>
      </c>
      <c r="I587" s="10" t="n">
        <v>2025</v>
      </c>
      <c r="J587" s="2" t="str">
        <v>否</v>
      </c>
      <c r="K587" s="2" t="str"/>
      <c r="L587" s="2" t="str">
        <v>2046-2441</v>
      </c>
      <c r="M587" s="7" t="str">
        <v>BIOCHEMISTRY &amp; MOLECULAR BIOLOGY(SCIE)</v>
      </c>
      <c r="N587" s="7" t="str">
        <v>公开汇编已匹配</v>
      </c>
      <c r="O587" s="7" t="str"/>
      <c r="P587" s="15" t="str">
        <v>JIF来源</v>
      </c>
      <c r="Q587" s="15" t="str">
        <v>分区来源</v>
      </c>
      <c r="R587" s="15" t="str"/>
      <c r="S587" s="14" t="str">
        <v>http://rsob.royalsocietypublishing.org/</v>
      </c>
      <c r="T587" s="7" t="str">
        <v>ISSN匹配公开元数据；未逐站复核</v>
      </c>
      <c r="U587" s="2" t="str">
        <v>官网来源</v>
      </c>
      <c r="V587" s="2" t="n">
        <v>2026</v>
      </c>
    </row>
    <row r="588" ht="34" customHeight="1">
      <c r="A588" s="7" t="str">
        <v>PLoS Computational Biology</v>
      </c>
      <c r="B588" s="7" t="str">
        <v>遗传组学与计算生物</v>
      </c>
      <c r="C588" s="11" t="n">
        <v>2</v>
      </c>
      <c r="D588" s="12" t="n">
        <v>3.7</v>
      </c>
      <c r="E588" s="13" t="n">
        <v>2025</v>
      </c>
      <c r="F588" s="7" t="str">
        <v>其他</v>
      </c>
      <c r="G588" s="7" t="str">
        <v>领域期刊/新兴刊</v>
      </c>
      <c r="H588" s="7" t="str">
        <v>研究/方法/综合</v>
      </c>
      <c r="I588" s="10" t="n">
        <v>2025</v>
      </c>
      <c r="J588" s="2" t="str">
        <v>否</v>
      </c>
      <c r="K588" s="2" t="str">
        <v>1553-734X</v>
      </c>
      <c r="L588" s="2" t="str">
        <v>1553-7358</v>
      </c>
      <c r="M588" s="7" t="str">
        <v>BIOCHEMICAL RESEARCH METHODS(SCIE);MATHEMATICAL &amp; COMPUTATIONAL BIOLOGY(SCIE)</v>
      </c>
      <c r="N588" s="7" t="str">
        <v>两份公开汇编一致</v>
      </c>
      <c r="O588" s="7" t="str"/>
      <c r="P588" s="15" t="str">
        <v>JIF来源</v>
      </c>
      <c r="Q588" s="15" t="str">
        <v>分区来源</v>
      </c>
      <c r="R588" s="15" t="str"/>
      <c r="S588" s="14" t="str">
        <v>http://journals.plos.org/ploscompbiol/</v>
      </c>
      <c r="T588" s="7" t="str">
        <v>ISSN匹配公开元数据；未逐站复核</v>
      </c>
      <c r="U588" s="2" t="str">
        <v>官网来源</v>
      </c>
      <c r="V588" s="2" t="n">
        <v>2026</v>
      </c>
    </row>
    <row r="589" ht="34" customHeight="1">
      <c r="A589" s="7" t="str">
        <v>PROCEEDINGS OF THE ROYAL SOCIETY B-BIOLOGICAL SCIENCES</v>
      </c>
      <c r="B589" s="7" t="str">
        <v>遗传组学与计算生物</v>
      </c>
      <c r="C589" s="11" t="n">
        <v>2</v>
      </c>
      <c r="D589" s="12" t="n">
        <v>3.6</v>
      </c>
      <c r="E589" s="13" t="n">
        <v>2025</v>
      </c>
      <c r="F589" s="7" t="str">
        <v>其他</v>
      </c>
      <c r="G589" s="7" t="str">
        <v>领域期刊/新兴刊</v>
      </c>
      <c r="H589" s="7" t="str">
        <v>研究/方法/综合</v>
      </c>
      <c r="I589" s="10" t="n">
        <v>2025</v>
      </c>
      <c r="J589" s="2" t="str">
        <v>是</v>
      </c>
      <c r="K589" s="2" t="str">
        <v>0962-8452</v>
      </c>
      <c r="L589" s="2" t="str">
        <v>1471-2954</v>
      </c>
      <c r="M589" s="7" t="str">
        <v>BIOLOGY(SCIE);ECOLOGY(SCIE);EVOLUTIONARY BIOLOGY(SCIE)</v>
      </c>
      <c r="N589" s="7" t="str">
        <v>两份公开汇编一致</v>
      </c>
      <c r="O589" s="7" t="str"/>
      <c r="P589" s="15" t="str">
        <v>JIF来源</v>
      </c>
      <c r="Q589" s="15" t="str">
        <v>分区来源</v>
      </c>
      <c r="R589" s="15" t="str"/>
      <c r="S589" s="14" t="str">
        <v>https://royalsocietypublishing.org/journal/rspb</v>
      </c>
      <c r="T589" s="7" t="str">
        <v>ISSN匹配公开元数据；未逐站复核</v>
      </c>
      <c r="U589" s="2" t="str">
        <v>官网来源</v>
      </c>
      <c r="V589" s="2" t="n">
        <v>2026</v>
      </c>
    </row>
    <row r="590" ht="34" customHeight="1">
      <c r="A590" s="7" t="str">
        <v>npj Systems Biology and Applications</v>
      </c>
      <c r="B590" s="7" t="str">
        <v>遗传组学与计算生物</v>
      </c>
      <c r="C590" s="11" t="n">
        <v>2</v>
      </c>
      <c r="D590" s="12" t="n">
        <v>4.4</v>
      </c>
      <c r="E590" s="13" t="n">
        <v>2025</v>
      </c>
      <c r="F590" s="7" t="str">
        <v>Nature Portfolio（含合作刊）</v>
      </c>
      <c r="G590" s="7" t="str">
        <v>领域期刊/新兴刊</v>
      </c>
      <c r="H590" s="7" t="str">
        <v>研究/方法/综合</v>
      </c>
      <c r="I590" s="10" t="n">
        <v>2025</v>
      </c>
      <c r="J590" s="2" t="str">
        <v>否</v>
      </c>
      <c r="K590" s="2" t="str"/>
      <c r="L590" s="2" t="str">
        <v>2056-7189</v>
      </c>
      <c r="M590" s="7" t="str">
        <v>MATHEMATICAL &amp; COMPUTATIONAL BIOLOGY(SCIE)</v>
      </c>
      <c r="N590" s="7" t="str">
        <v>两份公开汇编一致</v>
      </c>
      <c r="O590" s="7" t="str"/>
      <c r="P590" s="15" t="str">
        <v>JIF来源</v>
      </c>
      <c r="Q590" s="15" t="str">
        <v>分区来源</v>
      </c>
      <c r="R590" s="15" t="str"/>
      <c r="S590" s="14" t="str">
        <v>https://www.nature.com/npjsba/</v>
      </c>
      <c r="T590" s="7" t="str">
        <v>ISSN匹配公开元数据；未逐站复核</v>
      </c>
      <c r="U590" s="2" t="str">
        <v>官网来源</v>
      </c>
      <c r="V590" s="2" t="n">
        <v>2026</v>
      </c>
    </row>
    <row r="591" ht="34" customHeight="1">
      <c r="A591" s="7" t="str">
        <v>Evolutionary Applications</v>
      </c>
      <c r="B591" s="7" t="str">
        <v>遗传组学与计算生物</v>
      </c>
      <c r="C591" s="11" t="n">
        <v>2</v>
      </c>
      <c r="D591" s="12" t="n">
        <v>3.2</v>
      </c>
      <c r="E591" s="13" t="n">
        <v>2025</v>
      </c>
      <c r="F591" s="7" t="str">
        <v>其他</v>
      </c>
      <c r="G591" s="7" t="str">
        <v>领域期刊/新兴刊</v>
      </c>
      <c r="H591" s="7" t="str">
        <v>研究/方法/综合</v>
      </c>
      <c r="I591" s="10" t="n">
        <v>2025</v>
      </c>
      <c r="J591" s="2" t="str">
        <v>是</v>
      </c>
      <c r="K591" s="2" t="str">
        <v>1752-4571</v>
      </c>
      <c r="L591" s="2" t="str">
        <v>1752-4571</v>
      </c>
      <c r="M591" s="7" t="str">
        <v>EVOLUTIONARY BIOLOGY(SCIE)</v>
      </c>
      <c r="N591" s="7" t="str">
        <v>两份公开汇编一致</v>
      </c>
      <c r="O591" s="7" t="str"/>
      <c r="P591" s="15" t="str">
        <v>JIF来源</v>
      </c>
      <c r="Q591" s="15" t="str">
        <v>分区来源</v>
      </c>
      <c r="R591" s="15" t="str"/>
      <c r="S591" s="14" t="str">
        <v>https://onlinelibrary.wiley.com/journal/17524571</v>
      </c>
      <c r="T591" s="7" t="str">
        <v>ISSN匹配公开元数据；未逐站复核</v>
      </c>
      <c r="U591" s="2" t="str">
        <v>官网来源</v>
      </c>
      <c r="V591" s="2" t="n">
        <v>2026</v>
      </c>
    </row>
    <row r="592" ht="34" customHeight="1">
      <c r="A592" s="7" t="str">
        <v>FUNCTIONAL &amp; INTEGRATIVE GENOMICS</v>
      </c>
      <c r="B592" s="7" t="str">
        <v>遗传组学与计算生物</v>
      </c>
      <c r="C592" s="11" t="n">
        <v>2</v>
      </c>
      <c r="D592" s="12" t="n">
        <v>4</v>
      </c>
      <c r="E592" s="13" t="n">
        <v>2025</v>
      </c>
      <c r="F592" s="7" t="str">
        <v>其他</v>
      </c>
      <c r="G592" s="7" t="str">
        <v>领域期刊/新兴刊</v>
      </c>
      <c r="H592" s="7" t="str">
        <v>研究/方法/综合</v>
      </c>
      <c r="I592" s="10" t="n">
        <v>2025</v>
      </c>
      <c r="J592" s="2" t="str">
        <v>否</v>
      </c>
      <c r="K592" s="2" t="str">
        <v>1438-793X</v>
      </c>
      <c r="L592" s="2" t="str">
        <v>1438-7948</v>
      </c>
      <c r="M592" s="7" t="str">
        <v>GENETICS &amp; HEREDITY(SCIE)</v>
      </c>
      <c r="N592" s="7" t="str">
        <v>两份公开汇编一致</v>
      </c>
      <c r="O592" s="7" t="str"/>
      <c r="P592" s="15" t="str">
        <v>JIF来源</v>
      </c>
      <c r="Q592" s="15" t="str">
        <v>分区来源</v>
      </c>
      <c r="R592" s="15" t="str"/>
      <c r="S592" s="14" t="str">
        <v>https://www.springer.com/journal/10142</v>
      </c>
      <c r="T592" s="7" t="str">
        <v>ISSN匹配公开元数据；未逐站复核</v>
      </c>
      <c r="U592" s="2" t="str">
        <v>官网来源</v>
      </c>
      <c r="V592" s="2" t="n">
        <v>2026</v>
      </c>
    </row>
    <row r="593" ht="34" customHeight="1">
      <c r="A593" s="7" t="str">
        <v>Biology Letters</v>
      </c>
      <c r="B593" s="7" t="str">
        <v>遗传组学与计算生物</v>
      </c>
      <c r="C593" s="11" t="n">
        <v>2</v>
      </c>
      <c r="D593" s="12" t="n">
        <v>2.7</v>
      </c>
      <c r="E593" s="13" t="n">
        <v>2025</v>
      </c>
      <c r="F593" s="7" t="str">
        <v>其他</v>
      </c>
      <c r="G593" s="7" t="str">
        <v>领域期刊/新兴刊</v>
      </c>
      <c r="H593" s="7" t="str">
        <v>研究/方法/综合</v>
      </c>
      <c r="I593" s="10" t="n">
        <v>2025</v>
      </c>
      <c r="J593" s="2" t="str">
        <v>否</v>
      </c>
      <c r="K593" s="2" t="str">
        <v>1744-9561</v>
      </c>
      <c r="L593" s="2" t="str">
        <v>1744-957X</v>
      </c>
      <c r="M593" s="7" t="str">
        <v>BIOLOGY(SCIE);ECOLOGY(SCIE);EVOLUTIONARY BIOLOGY(SCIE)</v>
      </c>
      <c r="N593" s="7" t="str">
        <v>两份公开汇编一致</v>
      </c>
      <c r="O593" s="7" t="str"/>
      <c r="P593" s="15" t="str">
        <v>JIF来源</v>
      </c>
      <c r="Q593" s="15" t="str">
        <v>分区来源</v>
      </c>
      <c r="R593" s="15" t="str"/>
      <c r="S593" s="14" t="str">
        <v>http://rsbl.royalsocietypublishing.org/</v>
      </c>
      <c r="T593" s="7" t="str">
        <v>ISSN匹配公开元数据；未逐站复核</v>
      </c>
      <c r="U593" s="2" t="str">
        <v>官网来源</v>
      </c>
      <c r="V593" s="2" t="n">
        <v>2026</v>
      </c>
    </row>
    <row r="594" ht="34" customHeight="1">
      <c r="A594" s="7" t="str">
        <v>GENOMICS</v>
      </c>
      <c r="B594" s="7" t="str">
        <v>遗传组学与计算生物</v>
      </c>
      <c r="C594" s="11" t="n">
        <v>2</v>
      </c>
      <c r="D594" s="12" t="n">
        <v>3.6</v>
      </c>
      <c r="E594" s="13" t="n">
        <v>2025</v>
      </c>
      <c r="F594" s="7" t="str">
        <v>其他</v>
      </c>
      <c r="G594" s="7" t="str">
        <v>领域期刊/新兴刊</v>
      </c>
      <c r="H594" s="7" t="str">
        <v>研究/方法/综合</v>
      </c>
      <c r="I594" s="10" t="n">
        <v>2025</v>
      </c>
      <c r="J594" s="2" t="str">
        <v>否</v>
      </c>
      <c r="K594" s="2" t="str">
        <v>0888-7543</v>
      </c>
      <c r="L594" s="2" t="str">
        <v>1089-8646</v>
      </c>
      <c r="M594" s="7" t="str">
        <v>BIOTECHNOLOGY &amp; APPLIED MICROBIOLOGY(SCIE);GENETICS &amp; HEREDITY(SCIE)</v>
      </c>
      <c r="N594" s="7" t="str">
        <v>两份公开汇编一致</v>
      </c>
      <c r="O594" s="7" t="str"/>
      <c r="P594" s="15" t="str">
        <v>JIF来源</v>
      </c>
      <c r="Q594" s="15" t="str">
        <v>分区来源</v>
      </c>
      <c r="R594" s="15" t="str"/>
      <c r="S594" s="14" t="str">
        <v>http://www.journals.elsevier.com/genomics</v>
      </c>
      <c r="T594" s="7" t="str">
        <v>ISSN匹配公开元数据；未逐站复核</v>
      </c>
      <c r="U594" s="2" t="str">
        <v>官网来源</v>
      </c>
      <c r="V594" s="2" t="n">
        <v>2026</v>
      </c>
    </row>
    <row r="595" ht="34" customHeight="1">
      <c r="A595" s="7" t="str">
        <v>DNA RESEARCH</v>
      </c>
      <c r="B595" s="7" t="str">
        <v>遗传组学与计算生物</v>
      </c>
      <c r="C595" s="11" t="n">
        <v>2</v>
      </c>
      <c r="D595" s="12" t="n">
        <v>2.8</v>
      </c>
      <c r="E595" s="13" t="n">
        <v>2025</v>
      </c>
      <c r="F595" s="7" t="str">
        <v>其他</v>
      </c>
      <c r="G595" s="7" t="str">
        <v>领域期刊/新兴刊</v>
      </c>
      <c r="H595" s="7" t="str">
        <v>研究/方法/综合</v>
      </c>
      <c r="I595" s="10" t="n">
        <v>2025</v>
      </c>
      <c r="J595" s="2" t="str">
        <v>否</v>
      </c>
      <c r="K595" s="2" t="str">
        <v>1340-2838</v>
      </c>
      <c r="L595" s="2" t="str">
        <v>1756-1663</v>
      </c>
      <c r="M595" s="7" t="str">
        <v>GENETICS &amp; HEREDITY(SCIE)</v>
      </c>
      <c r="N595" s="7" t="str">
        <v>两份公开汇编一致</v>
      </c>
      <c r="O595" s="7" t="str"/>
      <c r="P595" s="15" t="str">
        <v>JIF来源</v>
      </c>
      <c r="Q595" s="15" t="str">
        <v>分区来源</v>
      </c>
      <c r="R595" s="15" t="str"/>
      <c r="S595" s="14" t="str">
        <v>http://dnaresearch.oxfordjournals.org/</v>
      </c>
      <c r="T595" s="7" t="str">
        <v>ISSN匹配公开元数据；未逐站复核</v>
      </c>
      <c r="U595" s="2" t="str">
        <v>官网来源</v>
      </c>
      <c r="V595" s="2" t="n">
        <v>2026</v>
      </c>
    </row>
    <row r="596" ht="34" customHeight="1">
      <c r="A596" s="7" t="str">
        <v>EVOLUTION</v>
      </c>
      <c r="B596" s="7" t="str">
        <v>遗传组学与计算生物</v>
      </c>
      <c r="C596" s="11" t="n">
        <v>2</v>
      </c>
      <c r="D596" s="12" t="n">
        <v>3</v>
      </c>
      <c r="E596" s="13" t="n">
        <v>2025</v>
      </c>
      <c r="F596" s="7" t="str">
        <v>其他</v>
      </c>
      <c r="G596" s="7" t="str">
        <v>经典专业刊</v>
      </c>
      <c r="H596" s="7" t="str">
        <v>研究/方法/综合</v>
      </c>
      <c r="I596" s="10" t="n">
        <v>2025</v>
      </c>
      <c r="J596" s="2" t="str">
        <v>是</v>
      </c>
      <c r="K596" s="2" t="str">
        <v>0014-3820</v>
      </c>
      <c r="L596" s="2" t="str">
        <v>1558-5646</v>
      </c>
      <c r="M596" s="7" t="str">
        <v>ECOLOGY(SCIE);EVOLUTIONARY BIOLOGY(SCIE);GENETICS &amp; HEREDITY(SCIE)</v>
      </c>
      <c r="N596" s="7" t="str">
        <v>两份公开汇编一致</v>
      </c>
      <c r="O596" s="7" t="str"/>
      <c r="P596" s="15" t="str">
        <v>JIF来源</v>
      </c>
      <c r="Q596" s="15" t="str">
        <v>分区来源</v>
      </c>
      <c r="R596" s="15" t="str"/>
      <c r="S596" s="14" t="str">
        <v>https://academic.oup.com/evolut</v>
      </c>
      <c r="T596" s="7" t="str">
        <v>ISSN匹配公开元数据；未逐站复核</v>
      </c>
      <c r="U596" s="2" t="str">
        <v>官网来源</v>
      </c>
      <c r="V596" s="2" t="n">
        <v>2026</v>
      </c>
    </row>
    <row r="597" ht="34" customHeight="1">
      <c r="A597" s="7" t="str">
        <v>BIOINFORMATICS</v>
      </c>
      <c r="B597" s="7" t="str">
        <v>遗传组学与计算生物</v>
      </c>
      <c r="C597" s="11" t="n">
        <v>3</v>
      </c>
      <c r="D597" s="12" t="n">
        <v>5.5</v>
      </c>
      <c r="E597" s="13" t="n">
        <v>2025</v>
      </c>
      <c r="F597" s="7" t="str">
        <v>其他</v>
      </c>
      <c r="G597" s="7" t="str">
        <v>领域期刊/新兴刊</v>
      </c>
      <c r="H597" s="7" t="str">
        <v>研究/方法/综合</v>
      </c>
      <c r="I597" s="10" t="n">
        <v>2025</v>
      </c>
      <c r="J597" s="2" t="str">
        <v>否</v>
      </c>
      <c r="K597" s="2" t="str">
        <v>1367-4803</v>
      </c>
      <c r="L597" s="2" t="str">
        <v>1367-4811</v>
      </c>
      <c r="M597" s="7" t="str">
        <v>BIOCHEMICAL RESEARCH METHODS(SCIE);BIOTECHNOLOGY &amp; APPLIED MICROBIOLOGY(SCIE);MATHEMATICAL &amp; COMPUTATIONAL BIOLOGY(SCIE)</v>
      </c>
      <c r="N597" s="7" t="str">
        <v>两份公开汇编一致</v>
      </c>
      <c r="O597" s="7" t="str"/>
      <c r="P597" s="15" t="str">
        <v>JIF来源</v>
      </c>
      <c r="Q597" s="15" t="str">
        <v>分区来源</v>
      </c>
      <c r="R597" s="15" t="str"/>
      <c r="S597" s="14" t="str">
        <v>http://bioinformatics.oxfordjournals.org/</v>
      </c>
      <c r="T597" s="7" t="str">
        <v>ISSN匹配公开元数据；未逐站复核</v>
      </c>
      <c r="U597" s="2" t="str">
        <v>官网来源</v>
      </c>
      <c r="V597" s="2" t="n">
        <v>2026</v>
      </c>
    </row>
    <row r="598" ht="34" customHeight="1">
      <c r="A598" s="7" t="str">
        <v>GENETICS</v>
      </c>
      <c r="B598" s="7" t="str">
        <v>遗传组学与计算生物</v>
      </c>
      <c r="C598" s="11" t="n">
        <v>3</v>
      </c>
      <c r="D598" s="12" t="n">
        <v>6.5</v>
      </c>
      <c r="E598" s="13" t="n">
        <v>2025</v>
      </c>
      <c r="F598" s="7" t="str">
        <v>其他</v>
      </c>
      <c r="G598" s="7" t="str">
        <v>经典专业刊</v>
      </c>
      <c r="H598" s="7" t="str">
        <v>研究/方法/综合</v>
      </c>
      <c r="I598" s="10" t="n">
        <v>2025</v>
      </c>
      <c r="J598" s="2" t="str">
        <v>否</v>
      </c>
      <c r="K598" s="2" t="str">
        <v>0016-6731</v>
      </c>
      <c r="L598" s="2" t="str">
        <v>1943-2631</v>
      </c>
      <c r="M598" s="7" t="str">
        <v>GENETICS &amp; HEREDITY(SCIE)</v>
      </c>
      <c r="N598" s="7" t="str">
        <v>两份公开汇编一致</v>
      </c>
      <c r="O598" s="7" t="str"/>
      <c r="P598" s="15" t="str">
        <v>JIF来源</v>
      </c>
      <c r="Q598" s="15" t="str">
        <v>分区来源</v>
      </c>
      <c r="R598" s="15" t="str"/>
      <c r="S598" s="14" t="str">
        <v>http://www.genetics.org/</v>
      </c>
      <c r="T598" s="7" t="str">
        <v>ISSN匹配公开元数据；未逐站复核</v>
      </c>
      <c r="U598" s="2" t="str">
        <v>官网来源</v>
      </c>
      <c r="V598" s="2" t="n">
        <v>2026</v>
      </c>
    </row>
    <row r="599" ht="34" customHeight="1">
      <c r="A599" s="7" t="str">
        <v>Computational and Structural Biotechnology Journal</v>
      </c>
      <c r="B599" s="7" t="str">
        <v>遗传组学与计算生物</v>
      </c>
      <c r="C599" s="11" t="n">
        <v>3</v>
      </c>
      <c r="D599" s="12" t="n">
        <v>4.8</v>
      </c>
      <c r="E599" s="13" t="n">
        <v>2025</v>
      </c>
      <c r="F599" s="7" t="str">
        <v>其他</v>
      </c>
      <c r="G599" s="7" t="str">
        <v>领域期刊/新兴刊</v>
      </c>
      <c r="H599" s="7" t="str">
        <v>研究/方法/综合</v>
      </c>
      <c r="I599" s="10" t="n">
        <v>2025</v>
      </c>
      <c r="J599" s="2" t="str">
        <v>否</v>
      </c>
      <c r="K599" s="2" t="str">
        <v>2001-0370</v>
      </c>
      <c r="L599" s="2" t="str">
        <v>2001-0370</v>
      </c>
      <c r="M599" s="7" t="str">
        <v>BIOCHEMISTRY &amp; MOLECULAR BIOLOGY(SCIE)</v>
      </c>
      <c r="N599" s="7" t="str">
        <v>两份公开汇编一致</v>
      </c>
      <c r="O599" s="7" t="str"/>
      <c r="P599" s="15" t="str">
        <v>JIF来源</v>
      </c>
      <c r="Q599" s="15" t="str">
        <v>分区来源</v>
      </c>
      <c r="R599" s="15" t="str"/>
      <c r="S599" s="14" t="str">
        <v>https://www.journals.elsevier.com/computational-and-structural-biotechnology-journal</v>
      </c>
      <c r="T599" s="7" t="str">
        <v>ISSN匹配公开元数据；未逐站复核</v>
      </c>
      <c r="U599" s="2" t="str">
        <v>官网来源</v>
      </c>
      <c r="V599" s="2" t="n">
        <v>2026</v>
      </c>
    </row>
    <row r="600" ht="34" customHeight="1">
      <c r="A600" s="7" t="str">
        <v>PROTEOMICS</v>
      </c>
      <c r="B600" s="7" t="str">
        <v>遗传组学与计算生物</v>
      </c>
      <c r="C600" s="11" t="n">
        <v>3</v>
      </c>
      <c r="D600" s="12" t="n">
        <v>4.1</v>
      </c>
      <c r="E600" s="13" t="n">
        <v>2025</v>
      </c>
      <c r="F600" s="7" t="str">
        <v>其他</v>
      </c>
      <c r="G600" s="7" t="str">
        <v>领域期刊/新兴刊</v>
      </c>
      <c r="H600" s="7" t="str">
        <v>研究/方法/综合</v>
      </c>
      <c r="I600" s="10" t="n">
        <v>2025</v>
      </c>
      <c r="J600" s="2" t="str">
        <v>否</v>
      </c>
      <c r="K600" s="2" t="str">
        <v>1615-9853</v>
      </c>
      <c r="L600" s="2" t="str">
        <v>1615-9861</v>
      </c>
      <c r="M600" s="7" t="str">
        <v>BIOCHEMICAL RESEARCH METHODS(SCIE);BIOCHEMISTRY &amp; MOLECULAR BIOLOGY(SCIE)</v>
      </c>
      <c r="N600" s="7" t="str">
        <v>两份公开汇编一致</v>
      </c>
      <c r="O600" s="7" t="str"/>
      <c r="P600" s="15" t="str">
        <v>JIF来源</v>
      </c>
      <c r="Q600" s="15" t="str">
        <v>分区来源</v>
      </c>
      <c r="R600" s="15" t="str"/>
      <c r="S600" s="14" t="str">
        <v>http://onlinelibrary.wiley.com/journal/10.1002/%28ISSN%291615-9861</v>
      </c>
      <c r="T600" s="7" t="str">
        <v>ISSN匹配公开元数据；未逐站复核</v>
      </c>
      <c r="U600" s="2" t="str">
        <v>官网来源</v>
      </c>
      <c r="V600" s="2" t="n">
        <v>2026</v>
      </c>
    </row>
    <row r="601" ht="34" customHeight="1">
      <c r="A601" s="7" t="str">
        <v>CHROMOSOME RESEARCH</v>
      </c>
      <c r="B601" s="7" t="str">
        <v>遗传组学与计算生物</v>
      </c>
      <c r="C601" s="11" t="n">
        <v>3</v>
      </c>
      <c r="D601" s="12" t="n">
        <v>2.6</v>
      </c>
      <c r="E601" s="13" t="n">
        <v>2025</v>
      </c>
      <c r="F601" s="7" t="str">
        <v>其他</v>
      </c>
      <c r="G601" s="7" t="str">
        <v>领域期刊/新兴刊</v>
      </c>
      <c r="H601" s="7" t="str">
        <v>研究/方法/综合</v>
      </c>
      <c r="I601" s="10" t="n">
        <v>2025</v>
      </c>
      <c r="J601" s="2" t="str">
        <v>否</v>
      </c>
      <c r="K601" s="2" t="str">
        <v>0967-3849</v>
      </c>
      <c r="L601" s="2" t="str">
        <v>1573-6849</v>
      </c>
      <c r="M601" s="7" t="str">
        <v>BIOCHEMISTRY &amp; MOLECULAR BIOLOGY(SCIE);GENETICS &amp; HEREDITY(SCIE)</v>
      </c>
      <c r="N601" s="7" t="str">
        <v>公开汇编已匹配</v>
      </c>
      <c r="O601" s="7" t="str"/>
      <c r="P601" s="15" t="str">
        <v>JIF来源</v>
      </c>
      <c r="Q601" s="15" t="str">
        <v>分区来源</v>
      </c>
      <c r="R601" s="15" t="str"/>
      <c r="S601" s="14" t="str">
        <v>https://www.springer.com/journal/10577</v>
      </c>
      <c r="T601" s="7" t="str">
        <v>ISSN匹配公开元数据；未逐站复核</v>
      </c>
      <c r="U601" s="2" t="str">
        <v>官网来源</v>
      </c>
      <c r="V601" s="2" t="n">
        <v>2026</v>
      </c>
    </row>
    <row r="602" ht="34" customHeight="1">
      <c r="A602" s="7" t="str">
        <v>GENE</v>
      </c>
      <c r="B602" s="7" t="str">
        <v>遗传组学与计算生物</v>
      </c>
      <c r="C602" s="11" t="n">
        <v>3</v>
      </c>
      <c r="D602" s="12" t="n">
        <v>2.7</v>
      </c>
      <c r="E602" s="13" t="n">
        <v>2025</v>
      </c>
      <c r="F602" s="7" t="str">
        <v>其他</v>
      </c>
      <c r="G602" s="7" t="str">
        <v>领域期刊/新兴刊</v>
      </c>
      <c r="H602" s="7" t="str">
        <v>研究/方法/综合</v>
      </c>
      <c r="I602" s="10" t="n">
        <v>2025</v>
      </c>
      <c r="J602" s="2" t="str">
        <v>否</v>
      </c>
      <c r="K602" s="2" t="str">
        <v>0378-1119</v>
      </c>
      <c r="L602" s="2" t="str">
        <v>1879-0038</v>
      </c>
      <c r="M602" s="7" t="str">
        <v>GENETICS &amp; HEREDITY(SCIE)</v>
      </c>
      <c r="N602" s="7" t="str">
        <v>两份公开汇编一致</v>
      </c>
      <c r="O602" s="7" t="str"/>
      <c r="P602" s="15" t="str">
        <v>JIF来源</v>
      </c>
      <c r="Q602" s="15" t="str">
        <v>分区来源</v>
      </c>
      <c r="R602" s="15" t="str"/>
      <c r="S602" s="14" t="str">
        <v>http://www.elsevier.com/wps/find/journaldescription.cws_home/506033/description</v>
      </c>
      <c r="T602" s="7" t="str">
        <v>ISSN匹配公开元数据；未逐站复核</v>
      </c>
      <c r="U602" s="2" t="str">
        <v>官网来源</v>
      </c>
      <c r="V602" s="2" t="n">
        <v>2026</v>
      </c>
    </row>
    <row r="603" ht="34" customHeight="1">
      <c r="A603" s="7" t="str">
        <v>CHROMOSOMA</v>
      </c>
      <c r="B603" s="7" t="str">
        <v>遗传组学与计算生物</v>
      </c>
      <c r="C603" s="11" t="n">
        <v>3</v>
      </c>
      <c r="D603" s="12" t="n">
        <v>2.5</v>
      </c>
      <c r="E603" s="13" t="n">
        <v>2025</v>
      </c>
      <c r="F603" s="7" t="str">
        <v>其他</v>
      </c>
      <c r="G603" s="7" t="str">
        <v>领域期刊/新兴刊</v>
      </c>
      <c r="H603" s="7" t="str">
        <v>研究/方法/综合</v>
      </c>
      <c r="I603" s="10" t="n">
        <v>2025</v>
      </c>
      <c r="J603" s="2" t="str">
        <v>否</v>
      </c>
      <c r="K603" s="2" t="str">
        <v>0009-5915</v>
      </c>
      <c r="L603" s="2" t="str">
        <v>1432-0886</v>
      </c>
      <c r="M603" s="7" t="str">
        <v>BIOCHEMISTRY &amp; MOLECULAR BIOLOGY(SCIE);GENETICS &amp; HEREDITY(SCIE)</v>
      </c>
      <c r="N603" s="7" t="str">
        <v>公开汇编已匹配</v>
      </c>
      <c r="O603" s="7" t="str"/>
      <c r="P603" s="15" t="str">
        <v>JIF来源</v>
      </c>
      <c r="Q603" s="15" t="str">
        <v>分区来源</v>
      </c>
      <c r="R603" s="15" t="str"/>
      <c r="S603" s="14" t="str">
        <v>https://link.springer.com/journal/412</v>
      </c>
      <c r="T603" s="7" t="str">
        <v>ISSN匹配公开元数据；未逐站复核</v>
      </c>
      <c r="U603" s="2" t="str">
        <v>官网来源</v>
      </c>
      <c r="V603" s="2" t="n">
        <v>2026</v>
      </c>
    </row>
    <row r="604" ht="34" customHeight="1">
      <c r="A604" s="7" t="str">
        <v>JOURNAL OF EVOLUTIONARY BIOLOGY</v>
      </c>
      <c r="B604" s="7" t="str">
        <v>遗传组学与计算生物</v>
      </c>
      <c r="C604" s="11" t="n">
        <v>3</v>
      </c>
      <c r="D604" s="12" t="n">
        <v>2.3</v>
      </c>
      <c r="E604" s="13" t="n">
        <v>2025</v>
      </c>
      <c r="F604" s="7" t="str">
        <v>其他</v>
      </c>
      <c r="G604" s="7" t="str">
        <v>领域期刊/新兴刊</v>
      </c>
      <c r="H604" s="7" t="str">
        <v>研究/方法/综合</v>
      </c>
      <c r="I604" s="10" t="n">
        <v>2025</v>
      </c>
      <c r="J604" s="2" t="str">
        <v>否</v>
      </c>
      <c r="K604" s="2" t="str">
        <v>1010-061X</v>
      </c>
      <c r="L604" s="2" t="str">
        <v>1420-9101</v>
      </c>
      <c r="M604" s="7" t="str">
        <v>ECOLOGY(SCIE);EVOLUTIONARY BIOLOGY(SCIE);GENETICS &amp; HEREDITY(SCIE)</v>
      </c>
      <c r="N604" s="7" t="str">
        <v>公开汇编已匹配</v>
      </c>
      <c r="O604" s="7" t="str"/>
      <c r="P604" s="15" t="str">
        <v>JIF来源</v>
      </c>
      <c r="Q604" s="15" t="str">
        <v>分区来源</v>
      </c>
      <c r="R604" s="15" t="str"/>
      <c r="S604" s="14" t="str">
        <v>https://academic.oup.com/jeb</v>
      </c>
      <c r="T604" s="7" t="str">
        <v>ISSN匹配公开元数据；未逐站复核</v>
      </c>
      <c r="U604" s="2" t="str">
        <v>官网来源</v>
      </c>
      <c r="V604" s="2" t="n">
        <v>2026</v>
      </c>
    </row>
    <row r="605" ht="34" customHeight="1">
      <c r="A605" s="7" t="str">
        <v>MOLECULAR GENETICS AND GENOMICS</v>
      </c>
      <c r="B605" s="7" t="str">
        <v>遗传组学与计算生物</v>
      </c>
      <c r="C605" s="11" t="n">
        <v>3</v>
      </c>
      <c r="D605" s="12" t="n">
        <v>2.2</v>
      </c>
      <c r="E605" s="13" t="n">
        <v>2025</v>
      </c>
      <c r="F605" s="7" t="str">
        <v>其他</v>
      </c>
      <c r="G605" s="7" t="str">
        <v>领域期刊/新兴刊</v>
      </c>
      <c r="H605" s="7" t="str">
        <v>研究/方法/综合</v>
      </c>
      <c r="I605" s="10" t="n">
        <v>2025</v>
      </c>
      <c r="J605" s="2" t="str">
        <v>否</v>
      </c>
      <c r="K605" s="2" t="str">
        <v>1617-4615</v>
      </c>
      <c r="L605" s="2" t="str">
        <v>1617-4623</v>
      </c>
      <c r="M605" s="7" t="str">
        <v>BIOCHEMISTRY &amp; MOLECULAR BIOLOGY(SCIE);GENETICS &amp; HEREDITY(SCIE)</v>
      </c>
      <c r="N605" s="7" t="str">
        <v>公开汇编已匹配</v>
      </c>
      <c r="O605" s="7" t="str"/>
      <c r="P605" s="15" t="str">
        <v>JIF来源</v>
      </c>
      <c r="Q605" s="15" t="str">
        <v>分区来源</v>
      </c>
      <c r="R605" s="15" t="str"/>
      <c r="S605" s="14" t="str">
        <v>https://link.springer.com/journal/438</v>
      </c>
      <c r="T605" s="7" t="str">
        <v>ISSN匹配公开元数据；未逐站复核</v>
      </c>
      <c r="U605" s="2" t="str">
        <v>官网来源</v>
      </c>
      <c r="V605" s="2" t="n">
        <v>2026</v>
      </c>
    </row>
    <row r="606" ht="34" customHeight="1">
      <c r="A606" s="7" t="str">
        <v>CONSERVATION GENETICS</v>
      </c>
      <c r="B606" s="7" t="str">
        <v>遗传组学与计算生物</v>
      </c>
      <c r="C606" s="11" t="n">
        <v>3</v>
      </c>
      <c r="D606" s="12" t="n">
        <v>2.4</v>
      </c>
      <c r="E606" s="13" t="n">
        <v>2025</v>
      </c>
      <c r="F606" s="7" t="str">
        <v>其他</v>
      </c>
      <c r="G606" s="7" t="str">
        <v>领域期刊/新兴刊</v>
      </c>
      <c r="H606" s="7" t="str">
        <v>研究/方法/综合</v>
      </c>
      <c r="I606" s="10" t="n">
        <v>2025</v>
      </c>
      <c r="J606" s="2" t="str">
        <v>否</v>
      </c>
      <c r="K606" s="2" t="str">
        <v>1566-0621</v>
      </c>
      <c r="L606" s="2" t="str">
        <v>1572-9737</v>
      </c>
      <c r="M606" s="7" t="str">
        <v>BIODIVERSITY CONSERVATION(SCIE);GENETICS &amp; HEREDITY(SCIE)</v>
      </c>
      <c r="N606" s="7" t="str">
        <v>公开汇编已匹配</v>
      </c>
      <c r="O606" s="7" t="str"/>
      <c r="P606" s="15" t="str">
        <v>JIF来源</v>
      </c>
      <c r="Q606" s="15" t="str">
        <v>分区来源</v>
      </c>
      <c r="R606" s="15" t="str"/>
      <c r="S606" s="14" t="str">
        <v>https://www.springer.com/journal/10592</v>
      </c>
      <c r="T606" s="7" t="str">
        <v>ISSN匹配公开元数据；未逐站复核</v>
      </c>
      <c r="U606" s="2" t="str">
        <v>官网来源</v>
      </c>
      <c r="V606" s="2" t="n">
        <v>2026</v>
      </c>
    </row>
    <row r="607" ht="34" customHeight="1">
      <c r="A607" s="7" t="str">
        <v>BIOLOGICAL JOURNAL OF THE LINNEAN SOCIETY</v>
      </c>
      <c r="B607" s="7" t="str">
        <v>遗传组学与计算生物</v>
      </c>
      <c r="C607" s="11" t="n">
        <v>3</v>
      </c>
      <c r="D607" s="12" t="n">
        <v>1.6</v>
      </c>
      <c r="E607" s="13" t="n">
        <v>2025</v>
      </c>
      <c r="F607" s="7" t="str">
        <v>其他</v>
      </c>
      <c r="G607" s="7" t="str">
        <v>领域期刊/新兴刊</v>
      </c>
      <c r="H607" s="7" t="str">
        <v>研究/方法/综合</v>
      </c>
      <c r="I607" s="10" t="n">
        <v>2025</v>
      </c>
      <c r="J607" s="2" t="str">
        <v>否</v>
      </c>
      <c r="K607" s="2" t="str">
        <v>0024-4066</v>
      </c>
      <c r="L607" s="2" t="str">
        <v>1095-8312</v>
      </c>
      <c r="M607" s="7" t="str">
        <v>EVOLUTIONARY BIOLOGY(SCIE)</v>
      </c>
      <c r="N607" s="7" t="str">
        <v>公开汇编已匹配</v>
      </c>
      <c r="O607" s="7" t="str"/>
      <c r="P607" s="15" t="str">
        <v>JIF来源</v>
      </c>
      <c r="Q607" s="15" t="str">
        <v>分区来源</v>
      </c>
      <c r="R607" s="15" t="str"/>
      <c r="S607" s="14" t="str">
        <v>http://onlinelibrary.wiley.com/journal/10.1111/(ISSN)1095-8312</v>
      </c>
      <c r="T607" s="7" t="str">
        <v>ISSN匹配公开元数据；未逐站复核</v>
      </c>
      <c r="U607" s="2" t="str">
        <v>官网来源</v>
      </c>
      <c r="V607" s="2" t="n">
        <v>2026</v>
      </c>
    </row>
    <row r="608" ht="34" customHeight="1">
      <c r="A608" s="7" t="str">
        <v>Database-The Journal of Biological Databases and Curation</v>
      </c>
      <c r="B608" s="7" t="str">
        <v>遗传组学与计算生物</v>
      </c>
      <c r="C608" s="11" t="n">
        <v>4</v>
      </c>
      <c r="D608" s="12" t="n">
        <v>2.7</v>
      </c>
      <c r="E608" s="13" t="n">
        <v>2025</v>
      </c>
      <c r="F608" s="7" t="str">
        <v>其他</v>
      </c>
      <c r="G608" s="7" t="str">
        <v>领域期刊/新兴刊</v>
      </c>
      <c r="H608" s="7" t="str">
        <v>研究/方法/综合</v>
      </c>
      <c r="I608" s="10" t="n">
        <v>2025</v>
      </c>
      <c r="J608" s="2" t="str">
        <v>否</v>
      </c>
      <c r="K608" s="2" t="str">
        <v>1758-0463</v>
      </c>
      <c r="L608" s="2" t="str">
        <v>1758-0463</v>
      </c>
      <c r="M608" s="7" t="str">
        <v>MATHEMATICAL &amp; COMPUTATIONAL BIOLOGY(SCIE)</v>
      </c>
      <c r="N608" s="7" t="str">
        <v>两份公开汇编一致</v>
      </c>
      <c r="O608" s="7" t="str"/>
      <c r="P608" s="15" t="str">
        <v>JIF来源</v>
      </c>
      <c r="Q608" s="15" t="str">
        <v>分区来源</v>
      </c>
      <c r="R608" s="15" t="str"/>
      <c r="S608" s="14" t="str">
        <v>https://academic.oup.com/database</v>
      </c>
      <c r="T608" s="7" t="str">
        <v>ISSN匹配公开元数据；未逐站复核</v>
      </c>
      <c r="U608" s="2" t="str">
        <v>官网来源</v>
      </c>
      <c r="V608" s="2" t="n">
        <v>2026</v>
      </c>
    </row>
    <row r="609" ht="34" customHeight="1">
      <c r="A609" s="7" t="str">
        <v>BMC BIOINFORMATICS</v>
      </c>
      <c r="B609" s="7" t="str">
        <v>遗传组学与计算生物</v>
      </c>
      <c r="C609" s="11" t="n">
        <v>4</v>
      </c>
      <c r="D609" s="12" t="n">
        <v>4.4</v>
      </c>
      <c r="E609" s="13" t="n">
        <v>2025</v>
      </c>
      <c r="F609" s="7" t="str">
        <v>其他</v>
      </c>
      <c r="G609" s="7" t="str">
        <v>领域期刊/新兴刊</v>
      </c>
      <c r="H609" s="7" t="str">
        <v>研究/方法/综合</v>
      </c>
      <c r="I609" s="10" t="n">
        <v>2025</v>
      </c>
      <c r="J609" s="2" t="str">
        <v>否</v>
      </c>
      <c r="K609" s="2" t="str">
        <v>1471-2105</v>
      </c>
      <c r="L609" s="2" t="str">
        <v>1471-2105</v>
      </c>
      <c r="M609" s="7" t="str">
        <v>BIOCHEMICAL RESEARCH METHODS(SCIE);BIOTECHNOLOGY &amp; APPLIED MICROBIOLOGY(SCIE);MATHEMATICAL &amp; COMPUTATIONAL BIOLOGY(SCIE)</v>
      </c>
      <c r="N609" s="7" t="str">
        <v>两份公开汇编一致</v>
      </c>
      <c r="O609" s="7" t="str"/>
      <c r="P609" s="15" t="str">
        <v>JIF来源</v>
      </c>
      <c r="Q609" s="15" t="str">
        <v>分区来源</v>
      </c>
      <c r="R609" s="15" t="str"/>
      <c r="S609" s="14" t="str">
        <v>http://www.biomedcentral.com/bmcbioinformatics/</v>
      </c>
      <c r="T609" s="7" t="str">
        <v>ISSN匹配公开元数据；未逐站复核</v>
      </c>
      <c r="U609" s="2" t="str">
        <v>官网来源</v>
      </c>
      <c r="V609" s="2" t="n">
        <v>2026</v>
      </c>
    </row>
    <row r="610" ht="34" customHeight="1">
      <c r="A610" s="7" t="str">
        <v>MAMMALIAN GENOME</v>
      </c>
      <c r="B610" s="7" t="str">
        <v>遗传组学与计算生物</v>
      </c>
      <c r="C610" s="11" t="n">
        <v>4</v>
      </c>
      <c r="D610" s="12" t="n">
        <v>2.6</v>
      </c>
      <c r="E610" s="13" t="n">
        <v>2025</v>
      </c>
      <c r="F610" s="7" t="str">
        <v>其他</v>
      </c>
      <c r="G610" s="7" t="str">
        <v>领域期刊/新兴刊</v>
      </c>
      <c r="H610" s="7" t="str">
        <v>研究/方法/综合</v>
      </c>
      <c r="I610" s="10" t="n">
        <v>2025</v>
      </c>
      <c r="J610" s="2" t="str">
        <v>否</v>
      </c>
      <c r="K610" s="2" t="str">
        <v>0938-8990</v>
      </c>
      <c r="L610" s="2" t="str">
        <v>1432-1777</v>
      </c>
      <c r="M610" s="7" t="str">
        <v>BIOCHEMISTRY &amp; MOLECULAR BIOLOGY(SCIE);BIOTECHNOLOGY &amp; APPLIED MICROBIOLOGY(SCIE);GENETICS &amp; HEREDITY(SCIE)</v>
      </c>
      <c r="N610" s="7" t="str">
        <v>公开汇编已匹配</v>
      </c>
      <c r="O610" s="7" t="str"/>
      <c r="P610" s="15" t="str">
        <v>JIF来源</v>
      </c>
      <c r="Q610" s="15" t="str">
        <v>分区来源</v>
      </c>
      <c r="R610" s="15" t="str"/>
      <c r="S610" s="14" t="str">
        <v>http://www.springerlink.com/content/0938-8990</v>
      </c>
      <c r="T610" s="7" t="str">
        <v>ISSN匹配公开元数据；未逐站复核</v>
      </c>
      <c r="U610" s="2" t="str">
        <v>官网来源</v>
      </c>
      <c r="V610" s="2" t="n">
        <v>2026</v>
      </c>
    </row>
    <row r="611" ht="34" customHeight="1">
      <c r="A611" s="7" t="str">
        <v>DNA AND CELL BIOLOGY</v>
      </c>
      <c r="B611" s="7" t="str">
        <v>遗传组学与计算生物</v>
      </c>
      <c r="C611" s="11" t="n">
        <v>4</v>
      </c>
      <c r="D611" s="12" t="n">
        <v>2.6</v>
      </c>
      <c r="E611" s="13" t="n">
        <v>2025</v>
      </c>
      <c r="F611" s="7" t="str">
        <v>其他</v>
      </c>
      <c r="G611" s="7" t="str">
        <v>领域期刊/新兴刊</v>
      </c>
      <c r="H611" s="7" t="str">
        <v>研究/方法/综合</v>
      </c>
      <c r="I611" s="10" t="n">
        <v>2025</v>
      </c>
      <c r="J611" s="2" t="str">
        <v>否</v>
      </c>
      <c r="K611" s="2" t="str">
        <v>1044-5498</v>
      </c>
      <c r="L611" s="2" t="str">
        <v>1557-7430</v>
      </c>
      <c r="M611" s="7" t="str">
        <v>BIOCHEMISTRY &amp; MOLECULAR BIOLOGY(SCIE);CELL BIOLOGY(SCIE);GENETICS &amp; HEREDITY(SCIE)</v>
      </c>
      <c r="N611" s="7" t="str">
        <v>公开汇编已匹配</v>
      </c>
      <c r="O611" s="7" t="str"/>
      <c r="P611" s="15" t="str">
        <v>JIF来源</v>
      </c>
      <c r="Q611" s="15" t="str">
        <v>分区来源</v>
      </c>
      <c r="R611" s="15" t="str"/>
      <c r="S611" s="14" t="str">
        <v>http://www.liebertpub.com/DNA</v>
      </c>
      <c r="T611" s="7" t="str">
        <v>ISSN匹配公开元数据；未逐站复核</v>
      </c>
      <c r="U611" s="2" t="str">
        <v>官网来源</v>
      </c>
      <c r="V611" s="2" t="n">
        <v>2026</v>
      </c>
    </row>
    <row r="612" ht="34" customHeight="1">
      <c r="A612" s="7" t="str">
        <v>Briefings in Functional Genomics</v>
      </c>
      <c r="B612" s="7" t="str">
        <v>遗传组学与计算生物</v>
      </c>
      <c r="C612" s="11" t="n">
        <v>4</v>
      </c>
      <c r="D612" s="12" t="n">
        <v>3.2</v>
      </c>
      <c r="E612" s="13" t="n">
        <v>2025</v>
      </c>
      <c r="F612" s="7" t="str">
        <v>其他</v>
      </c>
      <c r="G612" s="7" t="str">
        <v>领域期刊/新兴刊</v>
      </c>
      <c r="H612" s="7" t="str">
        <v>研究/方法/综合</v>
      </c>
      <c r="I612" s="10" t="n">
        <v>2025</v>
      </c>
      <c r="J612" s="2" t="str">
        <v>否</v>
      </c>
      <c r="K612" s="2" t="str">
        <v>2041-2649</v>
      </c>
      <c r="L612" s="2" t="str">
        <v>2041-2657</v>
      </c>
      <c r="M612" s="7" t="str">
        <v>BIOTECHNOLOGY &amp; APPLIED MICROBIOLOGY(SCIE);GENETICS &amp; HEREDITY(SCIE)</v>
      </c>
      <c r="N612" s="7" t="str">
        <v>公开汇编已匹配</v>
      </c>
      <c r="O612" s="7" t="str"/>
      <c r="P612" s="15" t="str">
        <v>JIF来源</v>
      </c>
      <c r="Q612" s="15" t="str">
        <v>分区来源</v>
      </c>
      <c r="R612" s="15" t="str"/>
      <c r="S612" s="14" t="str">
        <v>https://academic.oup.com/bfg</v>
      </c>
      <c r="T612" s="7" t="str">
        <v>ISSN匹配公开元数据；未逐站复核</v>
      </c>
      <c r="U612" s="2" t="str">
        <v>官网来源</v>
      </c>
      <c r="V612" s="2" t="n">
        <v>2026</v>
      </c>
    </row>
    <row r="613" ht="34" customHeight="1">
      <c r="A613" s="7" t="str">
        <v>BIOCHEMICAL GENETICS</v>
      </c>
      <c r="B613" s="7" t="str">
        <v>遗传组学与计算生物</v>
      </c>
      <c r="C613" s="11" t="n">
        <v>4</v>
      </c>
      <c r="D613" s="12" t="n">
        <v>1.9</v>
      </c>
      <c r="E613" s="13" t="n">
        <v>2025</v>
      </c>
      <c r="F613" s="7" t="str">
        <v>其他</v>
      </c>
      <c r="G613" s="7" t="str">
        <v>领域期刊/新兴刊</v>
      </c>
      <c r="H613" s="7" t="str">
        <v>研究/方法/综合</v>
      </c>
      <c r="I613" s="10" t="n">
        <v>2025</v>
      </c>
      <c r="J613" s="2" t="str">
        <v>否</v>
      </c>
      <c r="K613" s="2" t="str">
        <v>0006-2928</v>
      </c>
      <c r="L613" s="2" t="str">
        <v>1573-4927</v>
      </c>
      <c r="M613" s="7" t="str">
        <v>BIOCHEMISTRY &amp; MOLECULAR BIOLOGY(SCIE);GENETICS &amp; HEREDITY(SCIE)</v>
      </c>
      <c r="N613" s="7" t="str">
        <v>公开汇编已匹配</v>
      </c>
      <c r="O613" s="7" t="str"/>
      <c r="P613" s="15" t="str">
        <v>JIF来源</v>
      </c>
      <c r="Q613" s="15" t="str">
        <v>分区来源</v>
      </c>
      <c r="R613" s="15" t="str"/>
      <c r="S613" s="14" t="str">
        <v>https://www.springer.com/journal/10528</v>
      </c>
      <c r="T613" s="7" t="str">
        <v>ISSN匹配公开元数据；未逐站复核</v>
      </c>
      <c r="U613" s="2" t="str">
        <v>官网来源</v>
      </c>
      <c r="V613" s="2" t="n">
        <v>2026</v>
      </c>
    </row>
    <row r="614" ht="34" customHeight="1">
      <c r="A614" s="7" t="str">
        <v>GigaByte</v>
      </c>
      <c r="B614" s="7" t="str">
        <v>遗传组学与计算生物</v>
      </c>
      <c r="C614" s="11" t="n">
        <v>4</v>
      </c>
      <c r="D614" s="12" t="n">
        <v>1.6</v>
      </c>
      <c r="E614" s="13" t="n">
        <v>2025</v>
      </c>
      <c r="F614" s="7" t="str">
        <v>其他</v>
      </c>
      <c r="G614" s="7" t="str">
        <v>领域期刊/新兴刊</v>
      </c>
      <c r="H614" s="7" t="str">
        <v>研究/方法/综合</v>
      </c>
      <c r="I614" s="10" t="n">
        <v>2025</v>
      </c>
      <c r="J614" s="2" t="str">
        <v>否</v>
      </c>
      <c r="K614" s="2" t="str"/>
      <c r="L614" s="2" t="str">
        <v>2709-4715</v>
      </c>
      <c r="M614" s="7" t="str">
        <v>MULTIDISCIPLINARY SCIENCES(ESCI)</v>
      </c>
      <c r="N614" s="7" t="str">
        <v>公开汇编已匹配</v>
      </c>
      <c r="O614" s="7" t="str"/>
      <c r="P614" s="15" t="str">
        <v>JIF来源</v>
      </c>
      <c r="Q614" s="15" t="str">
        <v>分区来源</v>
      </c>
      <c r="R614" s="15" t="str"/>
      <c r="S614" s="14" t="str">
        <v>https://gigabytejournal.com/</v>
      </c>
      <c r="T614" s="7" t="str">
        <v>ISSN匹配公开元数据；未逐站复核</v>
      </c>
      <c r="U614" s="2" t="str">
        <v>官网来源</v>
      </c>
      <c r="V614" s="2" t="n">
        <v>2026</v>
      </c>
    </row>
    <row r="615" ht="34" customHeight="1">
      <c r="A615" s="7" t="str">
        <v>JOURNAL OF GENETICS</v>
      </c>
      <c r="B615" s="7" t="str">
        <v>遗传组学与计算生物</v>
      </c>
      <c r="C615" s="11" t="n">
        <v>4</v>
      </c>
      <c r="D615" s="12" t="n">
        <v>1</v>
      </c>
      <c r="E615" s="13" t="n">
        <v>2025</v>
      </c>
      <c r="F615" s="7" t="str">
        <v>其他</v>
      </c>
      <c r="G615" s="7" t="str">
        <v>领域期刊/新兴刊</v>
      </c>
      <c r="H615" s="7" t="str">
        <v>研究/方法/综合</v>
      </c>
      <c r="I615" s="10" t="n">
        <v>2025</v>
      </c>
      <c r="J615" s="2" t="str">
        <v>否</v>
      </c>
      <c r="K615" s="2" t="str">
        <v>0022-1333</v>
      </c>
      <c r="L615" s="2" t="str">
        <v>0973-7731</v>
      </c>
      <c r="M615" s="7" t="str">
        <v>GENETICS &amp; HEREDITY(SCIE)</v>
      </c>
      <c r="N615" s="7" t="str">
        <v>公开汇编已匹配</v>
      </c>
      <c r="O615" s="7" t="str"/>
      <c r="P615" s="15" t="str">
        <v>JIF来源</v>
      </c>
      <c r="Q615" s="15" t="str">
        <v>分区来源</v>
      </c>
      <c r="R615" s="15" t="str"/>
      <c r="S615" s="14" t="str">
        <v>http://www.springer.com/life+sci/journal/12041?detailsPage=description</v>
      </c>
      <c r="T615" s="7" t="str">
        <v>ISSN匹配公开元数据；未逐站复核</v>
      </c>
      <c r="U615" s="2" t="str">
        <v>官网来源</v>
      </c>
      <c r="V615" s="2" t="n">
        <v>2026</v>
      </c>
    </row>
    <row r="616" ht="34" customHeight="1">
      <c r="A616" s="7" t="str">
        <v>Conservation Genetics Resources</v>
      </c>
      <c r="B616" s="7" t="str">
        <v>遗传组学与计算生物</v>
      </c>
      <c r="C616" s="11" t="n">
        <v>4</v>
      </c>
      <c r="D616" s="12" t="n">
        <v>1</v>
      </c>
      <c r="E616" s="13" t="n">
        <v>2025</v>
      </c>
      <c r="F616" s="7" t="str">
        <v>其他</v>
      </c>
      <c r="G616" s="7" t="str">
        <v>领域期刊/新兴刊</v>
      </c>
      <c r="H616" s="7" t="str">
        <v>研究/方法/综合</v>
      </c>
      <c r="I616" s="10" t="n">
        <v>2025</v>
      </c>
      <c r="J616" s="2" t="str">
        <v>否</v>
      </c>
      <c r="K616" s="2" t="str">
        <v>1877-7252</v>
      </c>
      <c r="L616" s="2" t="str">
        <v>1877-7260</v>
      </c>
      <c r="M616" s="7" t="str">
        <v>BIODIVERSITY CONSERVATION(SCIE);GENETICS &amp; HEREDITY(SCIE)</v>
      </c>
      <c r="N616" s="7" t="str">
        <v>公开汇编已匹配</v>
      </c>
      <c r="O616" s="7" t="str"/>
      <c r="P616" s="15" t="str">
        <v>JIF来源</v>
      </c>
      <c r="Q616" s="15" t="str">
        <v>分区来源</v>
      </c>
      <c r="R616" s="15" t="str"/>
      <c r="S616" s="14" t="str">
        <v>https://link.springer.com/journal/12686</v>
      </c>
      <c r="T616" s="7" t="str">
        <v>ISSN匹配公开元数据；未逐站复核</v>
      </c>
      <c r="U616" s="2" t="str">
        <v>官网来源</v>
      </c>
      <c r="V616" s="2" t="n">
        <v>2026</v>
      </c>
    </row>
    <row r="617" ht="34" customHeight="1">
      <c r="A617" s="7" t="str">
        <v>NATURE REVIEWS DRUG DISCOVERY</v>
      </c>
      <c r="B617" s="7" t="str">
        <v>细胞分子发育与生理</v>
      </c>
      <c r="C617" s="11" t="n">
        <v>1</v>
      </c>
      <c r="D617" s="12" t="n">
        <v>91.2</v>
      </c>
      <c r="E617" s="13" t="n">
        <v>2025</v>
      </c>
      <c r="F617" s="7" t="str">
        <v>Nature Portfolio（含合作刊）</v>
      </c>
      <c r="G617" s="7" t="str">
        <v>领域期刊/新兴刊</v>
      </c>
      <c r="H617" s="7" t="str">
        <v>综述为主</v>
      </c>
      <c r="I617" s="10" t="n">
        <v>2025</v>
      </c>
      <c r="J617" s="2" t="str">
        <v>是</v>
      </c>
      <c r="K617" s="2" t="str">
        <v>1474-1776</v>
      </c>
      <c r="L617" s="2" t="str">
        <v>1474-1784</v>
      </c>
      <c r="M617" s="7" t="str">
        <v>BIOTECHNOLOGY &amp; APPLIED MICROBIOLOGY(SCIE);PHARMACOLOGY &amp; PHARMACY(SCIE)</v>
      </c>
      <c r="N617" s="7" t="str">
        <v>两份公开汇编一致</v>
      </c>
      <c r="O617" s="7" t="str"/>
      <c r="P617" s="15" t="str">
        <v>JIF来源</v>
      </c>
      <c r="Q617" s="15" t="str">
        <v>分区来源</v>
      </c>
      <c r="R617" s="15" t="str"/>
      <c r="S617" s="14" t="str">
        <v>https://www.nature.com/nrd/</v>
      </c>
      <c r="T617" s="7" t="str">
        <v>ISSN匹配公开元数据；未逐站复核</v>
      </c>
      <c r="U617" s="2" t="str">
        <v>官网来源</v>
      </c>
      <c r="V617" s="2" t="n">
        <v>2026</v>
      </c>
    </row>
    <row r="618" ht="34" customHeight="1">
      <c r="A618" s="7" t="str">
        <v>NATURE REVIEWS MOLECULAR CELL BIOLOGY</v>
      </c>
      <c r="B618" s="7" t="str">
        <v>细胞分子发育与生理</v>
      </c>
      <c r="C618" s="11" t="n">
        <v>1</v>
      </c>
      <c r="D618" s="12" t="n">
        <v>118</v>
      </c>
      <c r="E618" s="13" t="n">
        <v>2025</v>
      </c>
      <c r="F618" s="7" t="str">
        <v>Nature Portfolio（含合作刊）</v>
      </c>
      <c r="G618" s="7" t="str">
        <v>领域期刊/新兴刊</v>
      </c>
      <c r="H618" s="7" t="str">
        <v>综述为主</v>
      </c>
      <c r="I618" s="10" t="n">
        <v>2025</v>
      </c>
      <c r="J618" s="2" t="str">
        <v>是</v>
      </c>
      <c r="K618" s="2" t="str">
        <v>1471-0072</v>
      </c>
      <c r="L618" s="2" t="str">
        <v>1471-0080</v>
      </c>
      <c r="M618" s="7" t="str">
        <v>CELL BIOLOGY(SCIE)</v>
      </c>
      <c r="N618" s="7" t="str">
        <v>两份公开汇编一致</v>
      </c>
      <c r="O618" s="7" t="str"/>
      <c r="P618" s="15" t="str">
        <v>JIF来源</v>
      </c>
      <c r="Q618" s="15" t="str">
        <v>分区来源</v>
      </c>
      <c r="R618" s="15" t="str"/>
      <c r="S618" s="14" t="str">
        <v>https://www.nature.com/nrm/</v>
      </c>
      <c r="T618" s="7" t="str">
        <v>ISSN匹配公开元数据；未逐站复核</v>
      </c>
      <c r="U618" s="2" t="str">
        <v>官网来源</v>
      </c>
      <c r="V618" s="2" t="n">
        <v>2026</v>
      </c>
    </row>
    <row r="619" ht="34" customHeight="1">
      <c r="A619" s="7" t="str">
        <v>Nature Reviews Clinical Oncology</v>
      </c>
      <c r="B619" s="7" t="str">
        <v>细胞分子发育与生理</v>
      </c>
      <c r="C619" s="11" t="n">
        <v>1</v>
      </c>
      <c r="D619" s="12" t="n">
        <v>94.6</v>
      </c>
      <c r="E619" s="13" t="n">
        <v>2025</v>
      </c>
      <c r="F619" s="7" t="str">
        <v>Nature Portfolio（含合作刊）</v>
      </c>
      <c r="G619" s="7" t="str">
        <v>领域期刊/新兴刊</v>
      </c>
      <c r="H619" s="7" t="str">
        <v>综述为主</v>
      </c>
      <c r="I619" s="10" t="n">
        <v>2025</v>
      </c>
      <c r="J619" s="2" t="str">
        <v>是</v>
      </c>
      <c r="K619" s="2" t="str">
        <v>1759-4774</v>
      </c>
      <c r="L619" s="2" t="str">
        <v>1759-4782</v>
      </c>
      <c r="M619" s="7" t="str">
        <v>ONCOLOGY(SCIE)</v>
      </c>
      <c r="N619" s="7" t="str">
        <v>两份公开汇编一致</v>
      </c>
      <c r="O619" s="7" t="str"/>
      <c r="P619" s="15" t="str">
        <v>JIF来源</v>
      </c>
      <c r="Q619" s="15" t="str">
        <v>分区来源</v>
      </c>
      <c r="R619" s="15" t="str"/>
      <c r="S619" s="14" t="str">
        <v>http://www.nature.com/nrclinonc</v>
      </c>
      <c r="T619" s="7" t="str">
        <v>ISSN匹配公开元数据；未逐站复核</v>
      </c>
      <c r="U619" s="2" t="str">
        <v>官网来源</v>
      </c>
      <c r="V619" s="2" t="n">
        <v>2026</v>
      </c>
    </row>
    <row r="620" ht="34" customHeight="1">
      <c r="A620" s="7" t="str">
        <v>NATURE REVIEWS CANCER</v>
      </c>
      <c r="B620" s="7" t="str">
        <v>细胞分子发育与生理</v>
      </c>
      <c r="C620" s="11" t="n">
        <v>1</v>
      </c>
      <c r="D620" s="12" t="n">
        <v>60.7</v>
      </c>
      <c r="E620" s="13" t="n">
        <v>2025</v>
      </c>
      <c r="F620" s="7" t="str">
        <v>Nature Portfolio（含合作刊）</v>
      </c>
      <c r="G620" s="7" t="str">
        <v>领域期刊/新兴刊</v>
      </c>
      <c r="H620" s="7" t="str">
        <v>综述为主</v>
      </c>
      <c r="I620" s="10" t="n">
        <v>2025</v>
      </c>
      <c r="J620" s="2" t="str">
        <v>是</v>
      </c>
      <c r="K620" s="2" t="str">
        <v>1474-175X</v>
      </c>
      <c r="L620" s="2" t="str">
        <v>1474-1768</v>
      </c>
      <c r="M620" s="7" t="str">
        <v>ONCOLOGY(SCIE)</v>
      </c>
      <c r="N620" s="7" t="str">
        <v>两份公开汇编一致</v>
      </c>
      <c r="O620" s="7" t="str"/>
      <c r="P620" s="15" t="str">
        <v>JIF来源</v>
      </c>
      <c r="Q620" s="15" t="str">
        <v>分区来源</v>
      </c>
      <c r="R620" s="15" t="str"/>
      <c r="S620" s="14" t="str">
        <v>http://www.nature.com/nrc/index.html</v>
      </c>
      <c r="T620" s="7" t="str">
        <v>ISSN匹配公开元数据；未逐站复核</v>
      </c>
      <c r="U620" s="2" t="str">
        <v>官网来源</v>
      </c>
      <c r="V620" s="2" t="n">
        <v>2026</v>
      </c>
    </row>
    <row r="621" ht="34" customHeight="1">
      <c r="A621" s="7" t="str">
        <v>NATURE REVIEWS IMMUNOLOGY</v>
      </c>
      <c r="B621" s="7" t="str">
        <v>细胞分子发育与生理</v>
      </c>
      <c r="C621" s="11" t="n">
        <v>1</v>
      </c>
      <c r="D621" s="12" t="n">
        <v>47.1</v>
      </c>
      <c r="E621" s="13" t="n">
        <v>2025</v>
      </c>
      <c r="F621" s="7" t="str">
        <v>Nature Portfolio（含合作刊）</v>
      </c>
      <c r="G621" s="7" t="str">
        <v>领域期刊/新兴刊</v>
      </c>
      <c r="H621" s="7" t="str">
        <v>综述为主</v>
      </c>
      <c r="I621" s="10" t="n">
        <v>2025</v>
      </c>
      <c r="J621" s="2" t="str">
        <v>是</v>
      </c>
      <c r="K621" s="2" t="str">
        <v>1474-1733</v>
      </c>
      <c r="L621" s="2" t="str">
        <v>1474-1741</v>
      </c>
      <c r="M621" s="7" t="str">
        <v>IMMUNOLOGY(SCIE)</v>
      </c>
      <c r="N621" s="7" t="str">
        <v>两份公开汇编一致</v>
      </c>
      <c r="O621" s="7" t="str"/>
      <c r="P621" s="15" t="str">
        <v>JIF来源</v>
      </c>
      <c r="Q621" s="15" t="str">
        <v>分区来源</v>
      </c>
      <c r="R621" s="15" t="str"/>
      <c r="S621" s="14" t="str">
        <v>http://www.nature.com/nrmicro/index.html</v>
      </c>
      <c r="T621" s="7" t="str">
        <v>ISSN匹配公开元数据；未逐站复核</v>
      </c>
      <c r="U621" s="2" t="str">
        <v>官网来源</v>
      </c>
      <c r="V621" s="2" t="n">
        <v>2026</v>
      </c>
    </row>
    <row r="622" ht="34" customHeight="1">
      <c r="A622" s="7" t="str">
        <v>Nature Reviews Disease Primers</v>
      </c>
      <c r="B622" s="7" t="str">
        <v>细胞分子发育与生理</v>
      </c>
      <c r="C622" s="11" t="n">
        <v>1</v>
      </c>
      <c r="D622" s="12" t="n">
        <v>79.8</v>
      </c>
      <c r="E622" s="13" t="n">
        <v>2025</v>
      </c>
      <c r="F622" s="7" t="str">
        <v>Nature Portfolio（含合作刊）</v>
      </c>
      <c r="G622" s="7" t="str">
        <v>领域期刊/新兴刊</v>
      </c>
      <c r="H622" s="7" t="str">
        <v>综述为主</v>
      </c>
      <c r="I622" s="10" t="n">
        <v>2025</v>
      </c>
      <c r="J622" s="2" t="str">
        <v>是</v>
      </c>
      <c r="K622" s="2" t="str">
        <v>2056-676X</v>
      </c>
      <c r="L622" s="2" t="str">
        <v>2056-676X</v>
      </c>
      <c r="M622" s="7" t="str">
        <v>MEDICINE, GENERAL &amp; INTERNAL(SCIE)</v>
      </c>
      <c r="N622" s="7" t="str">
        <v>两份公开汇编一致</v>
      </c>
      <c r="O622" s="7" t="str"/>
      <c r="P622" s="15" t="str">
        <v>JIF来源</v>
      </c>
      <c r="Q622" s="15" t="str">
        <v>分区来源</v>
      </c>
      <c r="R622" s="15" t="str"/>
      <c r="S622" s="14" t="str">
        <v>https://www.nature.com/nrdp/</v>
      </c>
      <c r="T622" s="7" t="str">
        <v>ISSN匹配公开元数据；未逐站复核</v>
      </c>
      <c r="U622" s="2" t="str">
        <v>官网来源</v>
      </c>
      <c r="V622" s="2" t="n">
        <v>2026</v>
      </c>
    </row>
    <row r="623" ht="34" customHeight="1">
      <c r="A623" s="7" t="str">
        <v>Nature Reviews Gastroenterology &amp; Hepatology</v>
      </c>
      <c r="B623" s="7" t="str">
        <v>细胞分子发育与生理</v>
      </c>
      <c r="C623" s="11" t="n">
        <v>1</v>
      </c>
      <c r="D623" s="12" t="n">
        <v>57.5</v>
      </c>
      <c r="E623" s="13" t="n">
        <v>2025</v>
      </c>
      <c r="F623" s="7" t="str">
        <v>Nature Portfolio（含合作刊）</v>
      </c>
      <c r="G623" s="7" t="str">
        <v>领域期刊/新兴刊</v>
      </c>
      <c r="H623" s="7" t="str">
        <v>综述为主</v>
      </c>
      <c r="I623" s="10" t="n">
        <v>2025</v>
      </c>
      <c r="J623" s="2" t="str">
        <v>是</v>
      </c>
      <c r="K623" s="2" t="str">
        <v>1759-5045</v>
      </c>
      <c r="L623" s="2" t="str">
        <v>1759-5053</v>
      </c>
      <c r="M623" s="7" t="str">
        <v>GASTROENTEROLOGY &amp; HEPATOLOGY(SCIE)</v>
      </c>
      <c r="N623" s="7" t="str">
        <v>两份公开汇编一致</v>
      </c>
      <c r="O623" s="7" t="str"/>
      <c r="P623" s="15" t="str">
        <v>JIF来源</v>
      </c>
      <c r="Q623" s="15" t="str">
        <v>分区来源</v>
      </c>
      <c r="R623" s="15" t="str"/>
      <c r="S623" s="14" t="str">
        <v>http://www.nature.com/nrgastro/</v>
      </c>
      <c r="T623" s="7" t="str">
        <v>ISSN匹配公开元数据；未逐站复核</v>
      </c>
      <c r="U623" s="2" t="str">
        <v>官网来源</v>
      </c>
      <c r="V623" s="2" t="n">
        <v>2026</v>
      </c>
    </row>
    <row r="624" ht="34" customHeight="1">
      <c r="A624" s="7" t="str">
        <v>NATURE MEDICINE</v>
      </c>
      <c r="B624" s="7" t="str">
        <v>细胞分子发育与生理</v>
      </c>
      <c r="C624" s="11" t="n">
        <v>1</v>
      </c>
      <c r="D624" s="12" t="n">
        <v>52.5</v>
      </c>
      <c r="E624" s="13" t="n">
        <v>2025</v>
      </c>
      <c r="F624" s="7" t="str">
        <v>Nature Portfolio（含合作刊）</v>
      </c>
      <c r="G624" s="7" t="str">
        <v>领域期刊/新兴刊</v>
      </c>
      <c r="H624" s="7" t="str">
        <v>研究/方法/综合</v>
      </c>
      <c r="I624" s="10" t="n">
        <v>2025</v>
      </c>
      <c r="J624" s="2" t="str">
        <v>是</v>
      </c>
      <c r="K624" s="2" t="str">
        <v>1078-8956</v>
      </c>
      <c r="L624" s="2" t="str">
        <v>1546-170X</v>
      </c>
      <c r="M624" s="7" t="str">
        <v>BIOCHEMISTRY &amp; MOLECULAR BIOLOGY(SCIE);CELL BIOLOGY(SCIE);MEDICINE, RESEARCH &amp; EXPERIMENTAL(SCIE)</v>
      </c>
      <c r="N624" s="7" t="str">
        <v>两份公开汇编一致</v>
      </c>
      <c r="O624" s="7" t="str"/>
      <c r="P624" s="15" t="str">
        <v>JIF来源</v>
      </c>
      <c r="Q624" s="15" t="str">
        <v>分区来源</v>
      </c>
      <c r="R624" s="15" t="str"/>
      <c r="S624" s="14" t="str">
        <v>http://www.nature.com/nm/index.html</v>
      </c>
      <c r="T624" s="7" t="str">
        <v>ISSN匹配公开元数据；未逐站复核</v>
      </c>
      <c r="U624" s="2" t="str">
        <v>官网来源</v>
      </c>
      <c r="V624" s="2" t="n">
        <v>2026</v>
      </c>
    </row>
    <row r="625" ht="34" customHeight="1">
      <c r="A625" s="7" t="str">
        <v>CANCER CELL</v>
      </c>
      <c r="B625" s="7" t="str">
        <v>细胞分子发育与生理</v>
      </c>
      <c r="C625" s="11" t="n">
        <v>1</v>
      </c>
      <c r="D625" s="12" t="n">
        <v>56.1</v>
      </c>
      <c r="E625" s="13" t="n">
        <v>2025</v>
      </c>
      <c r="F625" s="7" t="str">
        <v>Cell Press（含合作刊）</v>
      </c>
      <c r="G625" s="7" t="str">
        <v>领域期刊/新兴刊</v>
      </c>
      <c r="H625" s="7" t="str">
        <v>研究/方法/综合</v>
      </c>
      <c r="I625" s="10" t="n">
        <v>2025</v>
      </c>
      <c r="J625" s="2" t="str">
        <v>是</v>
      </c>
      <c r="K625" s="2" t="str">
        <v>1535-6108</v>
      </c>
      <c r="L625" s="2" t="str">
        <v>1878-3686</v>
      </c>
      <c r="M625" s="7" t="str">
        <v>CELL BIOLOGY(SCIE);ONCOLOGY(SCIE)</v>
      </c>
      <c r="N625" s="7" t="str">
        <v>两份公开汇编一致</v>
      </c>
      <c r="O625" s="7" t="str"/>
      <c r="P625" s="15" t="str">
        <v>JIF来源</v>
      </c>
      <c r="Q625" s="15" t="str">
        <v>分区来源</v>
      </c>
      <c r="R625" s="15" t="str"/>
      <c r="S625" s="14" t="str">
        <v>https://www.sciencedirect.com/journal/cancer-cell</v>
      </c>
      <c r="T625" s="7" t="str">
        <v>ISSN匹配公开元数据；未逐站复核</v>
      </c>
      <c r="U625" s="2" t="str">
        <v>官网来源</v>
      </c>
      <c r="V625" s="2" t="n">
        <v>2026</v>
      </c>
    </row>
    <row r="626" ht="34" customHeight="1">
      <c r="A626" s="7" t="str">
        <v>Nature Reviews Cardiology</v>
      </c>
      <c r="B626" s="7" t="str">
        <v>细胞分子发育与生理</v>
      </c>
      <c r="C626" s="11" t="n">
        <v>1</v>
      </c>
      <c r="D626" s="12" t="n">
        <v>50.2</v>
      </c>
      <c r="E626" s="13" t="n">
        <v>2025</v>
      </c>
      <c r="F626" s="7" t="str">
        <v>Nature Portfolio（含合作刊）</v>
      </c>
      <c r="G626" s="7" t="str">
        <v>领域期刊/新兴刊</v>
      </c>
      <c r="H626" s="7" t="str">
        <v>综述为主</v>
      </c>
      <c r="I626" s="10" t="n">
        <v>2025</v>
      </c>
      <c r="J626" s="2" t="str">
        <v>是</v>
      </c>
      <c r="K626" s="2" t="str">
        <v>1759-5002</v>
      </c>
      <c r="L626" s="2" t="str">
        <v>1759-5010</v>
      </c>
      <c r="M626" s="7" t="str">
        <v>CARDIAC &amp; CARDIOVASCULAR SYSTEMS(SCIE)</v>
      </c>
      <c r="N626" s="7" t="str">
        <v>两份公开汇编一致</v>
      </c>
      <c r="O626" s="7" t="str"/>
      <c r="P626" s="15" t="str">
        <v>JIF来源</v>
      </c>
      <c r="Q626" s="15" t="str">
        <v>分区来源</v>
      </c>
      <c r="R626" s="15" t="str"/>
      <c r="S626" s="14" t="str">
        <v>http://www.nature.com/nrcardio</v>
      </c>
      <c r="T626" s="7" t="str">
        <v>ISSN匹配公开元数据；未逐站复核</v>
      </c>
      <c r="U626" s="2" t="str">
        <v>官网来源</v>
      </c>
      <c r="V626" s="2" t="n">
        <v>2026</v>
      </c>
    </row>
    <row r="627" ht="34" customHeight="1">
      <c r="A627" s="7" t="str">
        <v>Nature Reviews Endocrinology</v>
      </c>
      <c r="B627" s="7" t="str">
        <v>细胞分子发育与生理</v>
      </c>
      <c r="C627" s="11" t="n">
        <v>1</v>
      </c>
      <c r="D627" s="12" t="n">
        <v>39.1</v>
      </c>
      <c r="E627" s="13" t="n">
        <v>2025</v>
      </c>
      <c r="F627" s="7" t="str">
        <v>Nature Portfolio（含合作刊）</v>
      </c>
      <c r="G627" s="7" t="str">
        <v>领域期刊/新兴刊</v>
      </c>
      <c r="H627" s="7" t="str">
        <v>综述为主</v>
      </c>
      <c r="I627" s="10" t="n">
        <v>2025</v>
      </c>
      <c r="J627" s="2" t="str">
        <v>是</v>
      </c>
      <c r="K627" s="2" t="str">
        <v>1759-5029</v>
      </c>
      <c r="L627" s="2" t="str">
        <v>1759-5037</v>
      </c>
      <c r="M627" s="7" t="str">
        <v>ENDOCRINOLOGY &amp; METABOLISM(SCIE)</v>
      </c>
      <c r="N627" s="7" t="str">
        <v>两份公开汇编一致</v>
      </c>
      <c r="O627" s="7" t="str"/>
      <c r="P627" s="15" t="str">
        <v>JIF来源</v>
      </c>
      <c r="Q627" s="15" t="str">
        <v>分区来源</v>
      </c>
      <c r="R627" s="15" t="str"/>
      <c r="S627" s="14" t="str">
        <v>http://www.nature.com/nrendo/</v>
      </c>
      <c r="T627" s="7" t="str">
        <v>ISSN匹配公开元数据；未逐站复核</v>
      </c>
      <c r="U627" s="2" t="str">
        <v>官网来源</v>
      </c>
      <c r="V627" s="2" t="n">
        <v>2026</v>
      </c>
    </row>
    <row r="628" ht="34" customHeight="1">
      <c r="A628" s="7" t="str">
        <v>Nature Reviews Nephrology</v>
      </c>
      <c r="B628" s="7" t="str">
        <v>细胞分子发育与生理</v>
      </c>
      <c r="C628" s="11" t="n">
        <v>1</v>
      </c>
      <c r="D628" s="12" t="n">
        <v>46.7</v>
      </c>
      <c r="E628" s="13" t="n">
        <v>2025</v>
      </c>
      <c r="F628" s="7" t="str">
        <v>Nature Portfolio（含合作刊）</v>
      </c>
      <c r="G628" s="7" t="str">
        <v>领域期刊/新兴刊</v>
      </c>
      <c r="H628" s="7" t="str">
        <v>综述为主</v>
      </c>
      <c r="I628" s="10" t="n">
        <v>2025</v>
      </c>
      <c r="J628" s="2" t="str">
        <v>是</v>
      </c>
      <c r="K628" s="2" t="str">
        <v>1759-5061</v>
      </c>
      <c r="L628" s="2" t="str">
        <v>1759-507X</v>
      </c>
      <c r="M628" s="7" t="str">
        <v>UROLOGY &amp; NEPHROLOGY(SCIE)</v>
      </c>
      <c r="N628" s="7" t="str">
        <v>两份公开汇编一致</v>
      </c>
      <c r="O628" s="7" t="str"/>
      <c r="P628" s="15" t="str">
        <v>JIF来源</v>
      </c>
      <c r="Q628" s="15" t="str">
        <v>分区来源</v>
      </c>
      <c r="R628" s="15" t="str"/>
      <c r="S628" s="14" t="str">
        <v>http://www.nature.com/nrneph</v>
      </c>
      <c r="T628" s="7" t="str">
        <v>ISSN匹配公开元数据；未逐站复核</v>
      </c>
      <c r="U628" s="2" t="str">
        <v>官网来源</v>
      </c>
      <c r="V628" s="2" t="n">
        <v>2026</v>
      </c>
    </row>
    <row r="629" ht="34" customHeight="1">
      <c r="A629" s="7" t="str">
        <v>Joule</v>
      </c>
      <c r="B629" s="7" t="str">
        <v>细胞分子发育与生理</v>
      </c>
      <c r="C629" s="11" t="n">
        <v>1</v>
      </c>
      <c r="D629" s="12" t="n">
        <v>37.1</v>
      </c>
      <c r="E629" s="13" t="n">
        <v>2025</v>
      </c>
      <c r="F629" s="7" t="str">
        <v>Cell Press（含合作刊）</v>
      </c>
      <c r="G629" s="7" t="str">
        <v>领域期刊/新兴刊</v>
      </c>
      <c r="H629" s="7" t="str">
        <v>研究/方法/综合</v>
      </c>
      <c r="I629" s="10" t="n">
        <v>2025</v>
      </c>
      <c r="J629" s="2" t="str">
        <v>是</v>
      </c>
      <c r="K629" s="2" t="str">
        <v>2542-4351</v>
      </c>
      <c r="L629" s="2" t="str">
        <v>2542-4351</v>
      </c>
      <c r="M629" s="7" t="str">
        <v>CHEMISTRY, PHYSICAL(SCIE);ENERGY &amp; FUELS(SCIE);MATERIALS SCIENCE, MULTIDISCIPLINARY(SCIE)</v>
      </c>
      <c r="N629" s="7" t="str">
        <v>两份公开汇编一致</v>
      </c>
      <c r="O629" s="7" t="str"/>
      <c r="P629" s="15" t="str">
        <v>JIF来源</v>
      </c>
      <c r="Q629" s="15" t="str">
        <v>分区来源</v>
      </c>
      <c r="R629" s="15" t="str"/>
      <c r="S629" s="14" t="str">
        <v>https://www.journals.elsevier.com/joule</v>
      </c>
      <c r="T629" s="7" t="str">
        <v>ISSN匹配公开元数据；未逐站复核</v>
      </c>
      <c r="U629" s="2" t="str">
        <v>官网来源</v>
      </c>
      <c r="V629" s="2" t="n">
        <v>2026</v>
      </c>
    </row>
    <row r="630" ht="34" customHeight="1">
      <c r="A630" s="7" t="str">
        <v>Nature Reviews Rheumatology</v>
      </c>
      <c r="B630" s="7" t="str">
        <v>细胞分子发育与生理</v>
      </c>
      <c r="C630" s="11" t="n">
        <v>1</v>
      </c>
      <c r="D630" s="12" t="n">
        <v>33.7</v>
      </c>
      <c r="E630" s="13" t="n">
        <v>2025</v>
      </c>
      <c r="F630" s="7" t="str">
        <v>Nature Portfolio（含合作刊）</v>
      </c>
      <c r="G630" s="7" t="str">
        <v>领域期刊/新兴刊</v>
      </c>
      <c r="H630" s="7" t="str">
        <v>综述为主</v>
      </c>
      <c r="I630" s="10" t="n">
        <v>2025</v>
      </c>
      <c r="J630" s="2" t="str">
        <v>是</v>
      </c>
      <c r="K630" s="2" t="str">
        <v>1759-4790</v>
      </c>
      <c r="L630" s="2" t="str">
        <v>1759-4804</v>
      </c>
      <c r="M630" s="7" t="str">
        <v>RHEUMATOLOGY(SCIE)</v>
      </c>
      <c r="N630" s="7" t="str">
        <v>两份公开汇编一致</v>
      </c>
      <c r="O630" s="7" t="str"/>
      <c r="P630" s="15" t="str">
        <v>JIF来源</v>
      </c>
      <c r="Q630" s="15" t="str">
        <v>分区来源</v>
      </c>
      <c r="R630" s="15" t="str"/>
      <c r="S630" s="14" t="str">
        <v>https://www.nature.com/nrrheum/</v>
      </c>
      <c r="T630" s="7" t="str">
        <v>ISSN匹配公开元数据；未逐站复核</v>
      </c>
      <c r="U630" s="2" t="str">
        <v>官网来源</v>
      </c>
      <c r="V630" s="2" t="n">
        <v>2026</v>
      </c>
    </row>
    <row r="631" ht="34" customHeight="1">
      <c r="A631" s="7" t="str">
        <v>Cell Metabolism</v>
      </c>
      <c r="B631" s="7" t="str">
        <v>细胞分子发育与生理</v>
      </c>
      <c r="C631" s="11" t="n">
        <v>1</v>
      </c>
      <c r="D631" s="12" t="n">
        <v>37</v>
      </c>
      <c r="E631" s="13" t="n">
        <v>2025</v>
      </c>
      <c r="F631" s="7" t="str">
        <v>Cell Press（含合作刊）</v>
      </c>
      <c r="G631" s="7" t="str">
        <v>领域期刊/新兴刊</v>
      </c>
      <c r="H631" s="7" t="str">
        <v>研究/方法/综合</v>
      </c>
      <c r="I631" s="10" t="n">
        <v>2025</v>
      </c>
      <c r="J631" s="2" t="str">
        <v>是</v>
      </c>
      <c r="K631" s="2" t="str">
        <v>1550-4131</v>
      </c>
      <c r="L631" s="2" t="str">
        <v>1932-7420</v>
      </c>
      <c r="M631" s="7" t="str">
        <v>CELL BIOLOGY(SCIE);ENDOCRINOLOGY &amp; METABOLISM(SCIE)</v>
      </c>
      <c r="N631" s="7" t="str">
        <v>两份公开汇编一致</v>
      </c>
      <c r="O631" s="7" t="str"/>
      <c r="P631" s="15" t="str">
        <v>JIF来源</v>
      </c>
      <c r="Q631" s="15" t="str">
        <v>分区来源</v>
      </c>
      <c r="R631" s="15" t="str"/>
      <c r="S631" s="14" t="str">
        <v>https://www.sciencedirect.com/journal/cell-metabolism</v>
      </c>
      <c r="T631" s="7" t="str">
        <v>ISSN匹配公开元数据；未逐站复核</v>
      </c>
      <c r="U631" s="2" t="str">
        <v>官网来源</v>
      </c>
      <c r="V631" s="2" t="n">
        <v>2026</v>
      </c>
    </row>
    <row r="632" ht="34" customHeight="1">
      <c r="A632" s="7" t="str">
        <v>Nature Cancer</v>
      </c>
      <c r="B632" s="7" t="str">
        <v>细胞分子发育与生理</v>
      </c>
      <c r="C632" s="11" t="n">
        <v>1</v>
      </c>
      <c r="D632" s="12" t="n">
        <v>28</v>
      </c>
      <c r="E632" s="13" t="n">
        <v>2025</v>
      </c>
      <c r="F632" s="7" t="str">
        <v>Nature Portfolio（含合作刊）</v>
      </c>
      <c r="G632" s="7" t="str">
        <v>领域期刊/新兴刊</v>
      </c>
      <c r="H632" s="7" t="str">
        <v>研究/方法/综合</v>
      </c>
      <c r="I632" s="10" t="n">
        <v>2025</v>
      </c>
      <c r="J632" s="2" t="str">
        <v>是</v>
      </c>
      <c r="K632" s="2" t="str"/>
      <c r="L632" s="2" t="str">
        <v>2662-1347</v>
      </c>
      <c r="M632" s="7" t="str">
        <v>ONCOLOGY(SCIE)</v>
      </c>
      <c r="N632" s="7" t="str">
        <v>两份公开汇编一致</v>
      </c>
      <c r="O632" s="7" t="str"/>
      <c r="P632" s="15" t="str">
        <v>JIF来源</v>
      </c>
      <c r="Q632" s="15" t="str">
        <v>分区来源</v>
      </c>
      <c r="R632" s="15" t="str"/>
      <c r="S632" s="14" t="str">
        <v>https://www.nature.com/natcancer/</v>
      </c>
      <c r="T632" s="7" t="str">
        <v>ISSN匹配公开元数据；未逐站复核</v>
      </c>
      <c r="U632" s="2" t="str">
        <v>官网来源</v>
      </c>
      <c r="V632" s="2" t="n">
        <v>2026</v>
      </c>
    </row>
    <row r="633" ht="34" customHeight="1">
      <c r="A633" s="7" t="str">
        <v>NATURE IMMUNOLOGY</v>
      </c>
      <c r="B633" s="7" t="str">
        <v>细胞分子发育与生理</v>
      </c>
      <c r="C633" s="11" t="n">
        <v>1</v>
      </c>
      <c r="D633" s="12" t="n">
        <v>26.5</v>
      </c>
      <c r="E633" s="13" t="n">
        <v>2025</v>
      </c>
      <c r="F633" s="7" t="str">
        <v>Nature Portfolio（含合作刊）</v>
      </c>
      <c r="G633" s="7" t="str">
        <v>领域期刊/新兴刊</v>
      </c>
      <c r="H633" s="7" t="str">
        <v>研究/方法/综合</v>
      </c>
      <c r="I633" s="10" t="n">
        <v>2025</v>
      </c>
      <c r="J633" s="2" t="str">
        <v>是</v>
      </c>
      <c r="K633" s="2" t="str">
        <v>1529-2908</v>
      </c>
      <c r="L633" s="2" t="str">
        <v>1529-2916</v>
      </c>
      <c r="M633" s="7" t="str">
        <v>IMMUNOLOGY(SCIE)</v>
      </c>
      <c r="N633" s="7" t="str">
        <v>两份公开汇编一致</v>
      </c>
      <c r="O633" s="7" t="str"/>
      <c r="P633" s="15" t="str">
        <v>JIF来源</v>
      </c>
      <c r="Q633" s="15" t="str">
        <v>分区来源</v>
      </c>
      <c r="R633" s="15" t="str"/>
      <c r="S633" s="14" t="str">
        <v>https://www.nature.com/ni/</v>
      </c>
      <c r="T633" s="7" t="str">
        <v>ISSN匹配公开元数据；未逐站复核</v>
      </c>
      <c r="U633" s="2" t="str">
        <v>官网来源</v>
      </c>
      <c r="V633" s="2" t="n">
        <v>2026</v>
      </c>
    </row>
    <row r="634" ht="34" customHeight="1">
      <c r="A634" s="7" t="str">
        <v>Science Robotics</v>
      </c>
      <c r="B634" s="7" t="str">
        <v>细胞分子发育与生理</v>
      </c>
      <c r="C634" s="11" t="n">
        <v>1</v>
      </c>
      <c r="D634" s="12" t="n">
        <v>25.5</v>
      </c>
      <c r="E634" s="13" t="n">
        <v>2025</v>
      </c>
      <c r="F634" s="7" t="str">
        <v>Science / AAAS</v>
      </c>
      <c r="G634" s="7" t="str">
        <v>领域期刊/新兴刊</v>
      </c>
      <c r="H634" s="7" t="str">
        <v>研究/方法/综合</v>
      </c>
      <c r="I634" s="10" t="n">
        <v>2025</v>
      </c>
      <c r="J634" s="2" t="str">
        <v>是</v>
      </c>
      <c r="K634" s="2" t="str">
        <v>2470-9476</v>
      </c>
      <c r="L634" s="2" t="str">
        <v>2470-9476</v>
      </c>
      <c r="M634" s="7" t="str">
        <v>ROBOTICS(SCIE)</v>
      </c>
      <c r="N634" s="7" t="str">
        <v>两份公开汇编一致</v>
      </c>
      <c r="O634" s="7" t="str"/>
      <c r="P634" s="15" t="str">
        <v>JIF来源</v>
      </c>
      <c r="Q634" s="15" t="str">
        <v>分区来源</v>
      </c>
      <c r="R634" s="15" t="str"/>
      <c r="S634" s="14" t="str">
        <v>http://robotics.sciencemag.org/</v>
      </c>
      <c r="T634" s="7" t="str">
        <v>ISSN匹配公开元数据；未逐站复核</v>
      </c>
      <c r="U634" s="2" t="str">
        <v>官网来源</v>
      </c>
      <c r="V634" s="2" t="n">
        <v>2026</v>
      </c>
    </row>
    <row r="635" ht="34" customHeight="1">
      <c r="A635" s="7" t="str">
        <v>NATURE REVIEWS NEUROSCIENCE</v>
      </c>
      <c r="B635" s="7" t="str">
        <v>细胞分子发育与生理</v>
      </c>
      <c r="C635" s="11" t="n">
        <v>1</v>
      </c>
      <c r="D635" s="12" t="n">
        <v>29</v>
      </c>
      <c r="E635" s="13" t="n">
        <v>2025</v>
      </c>
      <c r="F635" s="7" t="str">
        <v>Nature Portfolio（含合作刊）</v>
      </c>
      <c r="G635" s="7" t="str">
        <v>领域期刊/新兴刊</v>
      </c>
      <c r="H635" s="7" t="str">
        <v>综述为主</v>
      </c>
      <c r="I635" s="10" t="n">
        <v>2025</v>
      </c>
      <c r="J635" s="2" t="str">
        <v>是</v>
      </c>
      <c r="K635" s="2" t="str">
        <v>1471-003X</v>
      </c>
      <c r="L635" s="2" t="str">
        <v>1471-0048</v>
      </c>
      <c r="M635" s="7" t="str">
        <v>NEUROSCIENCES(SCIE)</v>
      </c>
      <c r="N635" s="7" t="str">
        <v>两份公开汇编一致</v>
      </c>
      <c r="O635" s="7" t="str"/>
      <c r="P635" s="15" t="str">
        <v>JIF来源</v>
      </c>
      <c r="Q635" s="15" t="str">
        <v>分区来源</v>
      </c>
      <c r="R635" s="15" t="str"/>
      <c r="S635" s="14" t="str">
        <v>http://www.nature.com/nrn/</v>
      </c>
      <c r="T635" s="7" t="str">
        <v>ISSN匹配公开元数据；未逐站复核</v>
      </c>
      <c r="U635" s="2" t="str">
        <v>官网来源</v>
      </c>
      <c r="V635" s="2" t="n">
        <v>2026</v>
      </c>
    </row>
    <row r="636" ht="34" customHeight="1">
      <c r="A636" s="7" t="str">
        <v>Immunity</v>
      </c>
      <c r="B636" s="7" t="str">
        <v>细胞分子发育与生理</v>
      </c>
      <c r="C636" s="11" t="n">
        <v>1</v>
      </c>
      <c r="D636" s="12" t="n">
        <v>30.6</v>
      </c>
      <c r="E636" s="13" t="n">
        <v>2025</v>
      </c>
      <c r="F636" s="7" t="str">
        <v>Cell Press（含合作刊）</v>
      </c>
      <c r="G636" s="7" t="str">
        <v>领域期刊/新兴刊</v>
      </c>
      <c r="H636" s="7" t="str">
        <v>研究/方法/综合</v>
      </c>
      <c r="I636" s="10" t="n">
        <v>2025</v>
      </c>
      <c r="J636" s="2" t="str">
        <v>是</v>
      </c>
      <c r="K636" s="2" t="str">
        <v>1074-7613</v>
      </c>
      <c r="L636" s="2" t="str">
        <v>1097-4180</v>
      </c>
      <c r="M636" s="7" t="str">
        <v>IMMUNOLOGY(SCIE)</v>
      </c>
      <c r="N636" s="7" t="str">
        <v>两份公开汇编一致</v>
      </c>
      <c r="O636" s="7" t="str"/>
      <c r="P636" s="15" t="str">
        <v>JIF来源</v>
      </c>
      <c r="Q636" s="15" t="str">
        <v>分区来源</v>
      </c>
      <c r="R636" s="15" t="str"/>
      <c r="S636" s="14" t="str">
        <v>https://www.sciencedirect.com/topics/immunology-and-microbiology/immunity</v>
      </c>
      <c r="T636" s="7" t="str">
        <v>ISSN匹配公开元数据；未逐站复核</v>
      </c>
      <c r="U636" s="2" t="str">
        <v>官网来源</v>
      </c>
      <c r="V636" s="2" t="n">
        <v>2026</v>
      </c>
    </row>
    <row r="637" ht="34" customHeight="1">
      <c r="A637" s="7" t="str">
        <v>CELL RESEARCH</v>
      </c>
      <c r="B637" s="7" t="str">
        <v>细胞分子发育与生理</v>
      </c>
      <c r="C637" s="11" t="n">
        <v>1</v>
      </c>
      <c r="D637" s="12" t="n">
        <v>31.1</v>
      </c>
      <c r="E637" s="13" t="n">
        <v>2025</v>
      </c>
      <c r="F637" s="7" t="str">
        <v>Nature Portfolio（含合作刊）</v>
      </c>
      <c r="G637" s="7" t="str">
        <v>领域期刊/新兴刊</v>
      </c>
      <c r="H637" s="7" t="str">
        <v>研究/方法/综合</v>
      </c>
      <c r="I637" s="10" t="n">
        <v>2025</v>
      </c>
      <c r="J637" s="2" t="str">
        <v>是</v>
      </c>
      <c r="K637" s="2" t="str">
        <v>1001-0602</v>
      </c>
      <c r="L637" s="2" t="str">
        <v>1748-7838</v>
      </c>
      <c r="M637" s="7" t="str">
        <v>CELL BIOLOGY(SCIE)</v>
      </c>
      <c r="N637" s="7" t="str">
        <v>两份公开汇编一致</v>
      </c>
      <c r="O637" s="7" t="str"/>
      <c r="P637" s="15" t="str">
        <v>JIF来源</v>
      </c>
      <c r="Q637" s="15" t="str">
        <v>分区来源</v>
      </c>
      <c r="R637" s="15" t="str"/>
      <c r="S637" s="14" t="str">
        <v>http://www.cell-research.com/</v>
      </c>
      <c r="T637" s="7" t="str">
        <v>ISSN匹配公开元数据；未逐站复核</v>
      </c>
      <c r="U637" s="2" t="str">
        <v>官网来源</v>
      </c>
      <c r="V637" s="2" t="n">
        <v>2026</v>
      </c>
    </row>
    <row r="638" ht="34" customHeight="1">
      <c r="A638" s="7" t="str">
        <v>Nature Metabolism</v>
      </c>
      <c r="B638" s="7" t="str">
        <v>细胞分子发育与生理</v>
      </c>
      <c r="C638" s="11" t="n">
        <v>1</v>
      </c>
      <c r="D638" s="12" t="n">
        <v>27.5</v>
      </c>
      <c r="E638" s="13" t="n">
        <v>2025</v>
      </c>
      <c r="F638" s="7" t="str">
        <v>Nature Portfolio（含合作刊）</v>
      </c>
      <c r="G638" s="7" t="str">
        <v>领域期刊/新兴刊</v>
      </c>
      <c r="H638" s="7" t="str">
        <v>研究/方法/综合</v>
      </c>
      <c r="I638" s="10" t="n">
        <v>2025</v>
      </c>
      <c r="J638" s="2" t="str">
        <v>是</v>
      </c>
      <c r="K638" s="2" t="str"/>
      <c r="L638" s="2" t="str">
        <v>2522-5812</v>
      </c>
      <c r="M638" s="7" t="str">
        <v>ENDOCRINOLOGY &amp; METABOLISM(SCIE)</v>
      </c>
      <c r="N638" s="7" t="str">
        <v>两份公开汇编一致</v>
      </c>
      <c r="O638" s="7" t="str"/>
      <c r="P638" s="15" t="str">
        <v>JIF来源</v>
      </c>
      <c r="Q638" s="15" t="str">
        <v>分区来源</v>
      </c>
      <c r="R638" s="15" t="str"/>
      <c r="S638" s="14" t="str">
        <v>https://www.nature.com/natmetab/</v>
      </c>
      <c r="T638" s="7" t="str">
        <v>ISSN匹配公开元数据；未逐站复核</v>
      </c>
      <c r="U638" s="2" t="str">
        <v>官网来源</v>
      </c>
      <c r="V638" s="2" t="n">
        <v>2026</v>
      </c>
    </row>
    <row r="639" ht="34" customHeight="1">
      <c r="A639" s="7" t="str">
        <v>Cell Stem Cell</v>
      </c>
      <c r="B639" s="7" t="str">
        <v>细胞分子发育与生理</v>
      </c>
      <c r="C639" s="11" t="n">
        <v>1</v>
      </c>
      <c r="D639" s="12" t="n">
        <v>23.3</v>
      </c>
      <c r="E639" s="13" t="n">
        <v>2025</v>
      </c>
      <c r="F639" s="7" t="str">
        <v>Cell Press（含合作刊）</v>
      </c>
      <c r="G639" s="7" t="str">
        <v>领域期刊/新兴刊</v>
      </c>
      <c r="H639" s="7" t="str">
        <v>研究/方法/综合</v>
      </c>
      <c r="I639" s="10" t="n">
        <v>2025</v>
      </c>
      <c r="J639" s="2" t="str">
        <v>是</v>
      </c>
      <c r="K639" s="2" t="str">
        <v>1934-5909</v>
      </c>
      <c r="L639" s="2" t="str">
        <v>1875-9777</v>
      </c>
      <c r="M639" s="7" t="str">
        <v>CELL &amp; TISSUE ENGINEERING(SCIE);CELL BIOLOGY(SCIE)</v>
      </c>
      <c r="N639" s="7" t="str">
        <v>两份公开汇编一致</v>
      </c>
      <c r="O639" s="7" t="str"/>
      <c r="P639" s="15" t="str">
        <v>JIF来源</v>
      </c>
      <c r="Q639" s="15" t="str">
        <v>分区来源</v>
      </c>
      <c r="R639" s="15" t="str"/>
      <c r="S639" s="14" t="str">
        <v>http://www.cell.com/cell-stem-cell/home</v>
      </c>
      <c r="T639" s="7" t="str">
        <v>ISSN匹配公开元数据；未逐站复核</v>
      </c>
      <c r="U639" s="2" t="str">
        <v>官网来源</v>
      </c>
      <c r="V639" s="2" t="n">
        <v>2026</v>
      </c>
    </row>
    <row r="640" ht="34" customHeight="1">
      <c r="A640" s="7" t="str">
        <v>NATURE NEUROSCIENCE</v>
      </c>
      <c r="B640" s="7" t="str">
        <v>细胞分子发育与生理</v>
      </c>
      <c r="C640" s="11" t="n">
        <v>1</v>
      </c>
      <c r="D640" s="12" t="n">
        <v>20.3</v>
      </c>
      <c r="E640" s="13" t="n">
        <v>2025</v>
      </c>
      <c r="F640" s="7" t="str">
        <v>Nature Portfolio（含合作刊）</v>
      </c>
      <c r="G640" s="7" t="str">
        <v>领域期刊/新兴刊</v>
      </c>
      <c r="H640" s="7" t="str">
        <v>研究/方法/综合</v>
      </c>
      <c r="I640" s="10" t="n">
        <v>2025</v>
      </c>
      <c r="J640" s="2" t="str">
        <v>是</v>
      </c>
      <c r="K640" s="2" t="str">
        <v>1097-6256</v>
      </c>
      <c r="L640" s="2" t="str">
        <v>1546-1726</v>
      </c>
      <c r="M640" s="7" t="str">
        <v>NEUROSCIENCES(SCIE)</v>
      </c>
      <c r="N640" s="7" t="str">
        <v>两份公开汇编一致</v>
      </c>
      <c r="O640" s="7" t="str"/>
      <c r="P640" s="15" t="str">
        <v>JIF来源</v>
      </c>
      <c r="Q640" s="15" t="str">
        <v>分区来源</v>
      </c>
      <c r="R640" s="15" t="str"/>
      <c r="S640" s="14" t="str">
        <v>http://www.nature.com/neuro/</v>
      </c>
      <c r="T640" s="7" t="str">
        <v>ISSN匹配公开元数据；未逐站复核</v>
      </c>
      <c r="U640" s="2" t="str">
        <v>官网来源</v>
      </c>
      <c r="V640" s="2" t="n">
        <v>2026</v>
      </c>
    </row>
    <row r="641" ht="34" customHeight="1">
      <c r="A641" s="7" t="str">
        <v>TRENDS IN PHARMACOLOGICAL SCIENCES</v>
      </c>
      <c r="B641" s="7" t="str">
        <v>细胞分子发育与生理</v>
      </c>
      <c r="C641" s="11" t="n">
        <v>1</v>
      </c>
      <c r="D641" s="12" t="n">
        <v>24</v>
      </c>
      <c r="E641" s="13" t="n">
        <v>2025</v>
      </c>
      <c r="F641" s="7" t="str">
        <v>Cell Press（含合作刊）</v>
      </c>
      <c r="G641" s="7" t="str">
        <v>领域期刊/新兴刊</v>
      </c>
      <c r="H641" s="7" t="str">
        <v>综述为主</v>
      </c>
      <c r="I641" s="10" t="n">
        <v>2025</v>
      </c>
      <c r="J641" s="2" t="str">
        <v>是</v>
      </c>
      <c r="K641" s="2" t="str">
        <v>0165-6147</v>
      </c>
      <c r="L641" s="2" t="str">
        <v>1873-3735</v>
      </c>
      <c r="M641" s="7" t="str">
        <v>PHARMACOLOGY &amp; PHARMACY(SCIE)</v>
      </c>
      <c r="N641" s="7" t="str">
        <v>两份公开汇编一致</v>
      </c>
      <c r="O641" s="7" t="str"/>
      <c r="P641" s="15" t="str">
        <v>JIF来源</v>
      </c>
      <c r="Q641" s="15" t="str">
        <v>分区来源</v>
      </c>
      <c r="R641" s="15" t="str"/>
      <c r="S641" s="14" t="str">
        <v>https://www.journals.elsevier.com/trends-in-pharmacological-sciences</v>
      </c>
      <c r="T641" s="7" t="str">
        <v>ISSN匹配公开元数据；未逐站复核</v>
      </c>
      <c r="U641" s="2" t="str">
        <v>官网来源</v>
      </c>
      <c r="V641" s="2" t="n">
        <v>2026</v>
      </c>
    </row>
    <row r="642" ht="34" customHeight="1">
      <c r="A642" s="7" t="str">
        <v>Chem</v>
      </c>
      <c r="B642" s="7" t="str">
        <v>细胞分子发育与生理</v>
      </c>
      <c r="C642" s="11" t="n">
        <v>1</v>
      </c>
      <c r="D642" s="12" t="n">
        <v>19.1</v>
      </c>
      <c r="E642" s="13" t="n">
        <v>2025</v>
      </c>
      <c r="F642" s="7" t="str">
        <v>Cell Press（含合作刊）</v>
      </c>
      <c r="G642" s="7" t="str">
        <v>领域期刊/新兴刊</v>
      </c>
      <c r="H642" s="7" t="str">
        <v>研究/方法/综合</v>
      </c>
      <c r="I642" s="10" t="n">
        <v>2025</v>
      </c>
      <c r="J642" s="2" t="str">
        <v>是</v>
      </c>
      <c r="K642" s="2" t="str">
        <v>2451-9294</v>
      </c>
      <c r="L642" s="2" t="str">
        <v>2451-9294</v>
      </c>
      <c r="M642" s="7" t="str">
        <v>CHEMISTRY, MULTIDISCIPLINARY(SCIE)</v>
      </c>
      <c r="N642" s="7" t="str">
        <v>两份公开汇编一致</v>
      </c>
      <c r="O642" s="7" t="str"/>
      <c r="P642" s="15" t="str">
        <v>JIF来源</v>
      </c>
      <c r="Q642" s="15" t="str">
        <v>分区来源</v>
      </c>
      <c r="R642" s="15" t="str"/>
      <c r="S642" s="14" t="str">
        <v>https://www.sciencedirect.com/journal/chem</v>
      </c>
      <c r="T642" s="7" t="str">
        <v>ISSN匹配公开元数据；未逐站复核</v>
      </c>
      <c r="U642" s="2" t="str">
        <v>官网来源</v>
      </c>
      <c r="V642" s="2" t="n">
        <v>2026</v>
      </c>
    </row>
    <row r="643" ht="34" customHeight="1">
      <c r="A643" s="7" t="str">
        <v>NATURE CELL BIOLOGY</v>
      </c>
      <c r="B643" s="7" t="str">
        <v>细胞分子发育与生理</v>
      </c>
      <c r="C643" s="11" t="n">
        <v>1</v>
      </c>
      <c r="D643" s="12" t="n">
        <v>22.7</v>
      </c>
      <c r="E643" s="13" t="n">
        <v>2025</v>
      </c>
      <c r="F643" s="7" t="str">
        <v>Nature Portfolio（含合作刊）</v>
      </c>
      <c r="G643" s="7" t="str">
        <v>领域期刊/新兴刊</v>
      </c>
      <c r="H643" s="7" t="str">
        <v>研究/方法/综合</v>
      </c>
      <c r="I643" s="10" t="n">
        <v>2025</v>
      </c>
      <c r="J643" s="2" t="str">
        <v>是</v>
      </c>
      <c r="K643" s="2" t="str">
        <v>1465-7392</v>
      </c>
      <c r="L643" s="2" t="str">
        <v>1476-4679</v>
      </c>
      <c r="M643" s="7" t="str">
        <v>CELL BIOLOGY(SCIE)</v>
      </c>
      <c r="N643" s="7" t="str">
        <v>两份公开汇编一致</v>
      </c>
      <c r="O643" s="7" t="str"/>
      <c r="P643" s="15" t="str">
        <v>JIF来源</v>
      </c>
      <c r="Q643" s="15" t="str">
        <v>分区来源</v>
      </c>
      <c r="R643" s="15" t="str"/>
      <c r="S643" s="14" t="str">
        <v>http://www.nature.com/naturecellbiology</v>
      </c>
      <c r="T643" s="7" t="str">
        <v>ISSN匹配公开元数据；未逐站复核</v>
      </c>
      <c r="U643" s="2" t="str">
        <v>官网来源</v>
      </c>
      <c r="V643" s="2" t="n">
        <v>2026</v>
      </c>
    </row>
    <row r="644" ht="34" customHeight="1">
      <c r="A644" s="7" t="str">
        <v>Nature Aging</v>
      </c>
      <c r="B644" s="7" t="str">
        <v>细胞分子发育与生理</v>
      </c>
      <c r="C644" s="11" t="n">
        <v>1</v>
      </c>
      <c r="D644" s="12" t="n">
        <v>25</v>
      </c>
      <c r="E644" s="13" t="n">
        <v>2025</v>
      </c>
      <c r="F644" s="7" t="str">
        <v>Nature Portfolio（含合作刊）</v>
      </c>
      <c r="G644" s="7" t="str">
        <v>领域期刊/新兴刊</v>
      </c>
      <c r="H644" s="7" t="str">
        <v>研究/方法/综合</v>
      </c>
      <c r="I644" s="10" t="n">
        <v>2025</v>
      </c>
      <c r="J644" s="2" t="str">
        <v>是</v>
      </c>
      <c r="K644" s="2" t="str"/>
      <c r="L644" s="2" t="str">
        <v>2662-8465</v>
      </c>
      <c r="M644" s="7" t="str">
        <v>CELL BIOLOGY(SCIE);GERIATRICS &amp; GERONTOLOGY(SCIE);NEUROSCIENCES(SCIE)</v>
      </c>
      <c r="N644" s="7" t="str">
        <v>两份公开汇编一致</v>
      </c>
      <c r="O644" s="7" t="str"/>
      <c r="P644" s="15" t="str">
        <v>JIF来源</v>
      </c>
      <c r="Q644" s="15" t="str">
        <v>分区来源</v>
      </c>
      <c r="R644" s="15" t="str"/>
      <c r="S644" s="14" t="str">
        <v>https://www.nature.com/nataging/</v>
      </c>
      <c r="T644" s="7" t="str">
        <v>ISSN匹配公开元数据；未逐站复核</v>
      </c>
      <c r="U644" s="2" t="str">
        <v>官网来源</v>
      </c>
      <c r="V644" s="2" t="n">
        <v>2026</v>
      </c>
    </row>
    <row r="645" ht="34" customHeight="1">
      <c r="A645" s="7" t="str">
        <v>Cell Host &amp; Microbe</v>
      </c>
      <c r="B645" s="7" t="str">
        <v>细胞分子发育与生理</v>
      </c>
      <c r="C645" s="11" t="n">
        <v>1</v>
      </c>
      <c r="D645" s="12" t="n">
        <v>23.2</v>
      </c>
      <c r="E645" s="13" t="n">
        <v>2025</v>
      </c>
      <c r="F645" s="7" t="str">
        <v>Cell Press（含合作刊）</v>
      </c>
      <c r="G645" s="7" t="str">
        <v>领域期刊/新兴刊</v>
      </c>
      <c r="H645" s="7" t="str">
        <v>研究/方法/综合</v>
      </c>
      <c r="I645" s="10" t="n">
        <v>2025</v>
      </c>
      <c r="J645" s="2" t="str">
        <v>是</v>
      </c>
      <c r="K645" s="2" t="str">
        <v>1931-3128</v>
      </c>
      <c r="L645" s="2" t="str">
        <v>1934-6069</v>
      </c>
      <c r="M645" s="7" t="str">
        <v>MICROBIOLOGY(SCIE);PARASITOLOGY(SCIE);VIROLOGY(SCIE)</v>
      </c>
      <c r="N645" s="7" t="str">
        <v>两份公开汇编一致</v>
      </c>
      <c r="O645" s="7" t="str"/>
      <c r="P645" s="15" t="str">
        <v>JIF来源</v>
      </c>
      <c r="Q645" s="15" t="str">
        <v>分区来源</v>
      </c>
      <c r="R645" s="15" t="str"/>
      <c r="S645" s="14" t="str">
        <v>https://www.sciencedirect.com/journal/cell-host-and-microbe</v>
      </c>
      <c r="T645" s="7" t="str">
        <v>ISSN匹配公开元数据；未逐站复核</v>
      </c>
      <c r="U645" s="2" t="str">
        <v>官网来源</v>
      </c>
      <c r="V645" s="2" t="n">
        <v>2026</v>
      </c>
    </row>
    <row r="646" ht="34" customHeight="1">
      <c r="A646" s="7" t="str">
        <v>TRENDS IN CELL BIOLOGY</v>
      </c>
      <c r="B646" s="7" t="str">
        <v>细胞分子发育与生理</v>
      </c>
      <c r="C646" s="11" t="n">
        <v>1</v>
      </c>
      <c r="D646" s="12" t="n">
        <v>25.3</v>
      </c>
      <c r="E646" s="13" t="n">
        <v>2025</v>
      </c>
      <c r="F646" s="7" t="str">
        <v>Cell Press（含合作刊）</v>
      </c>
      <c r="G646" s="7" t="str">
        <v>领域期刊/新兴刊</v>
      </c>
      <c r="H646" s="7" t="str">
        <v>综述为主</v>
      </c>
      <c r="I646" s="10" t="n">
        <v>2025</v>
      </c>
      <c r="J646" s="2" t="str">
        <v>是</v>
      </c>
      <c r="K646" s="2" t="str">
        <v>0962-8924</v>
      </c>
      <c r="L646" s="2" t="str">
        <v>1879-3088</v>
      </c>
      <c r="M646" s="7" t="str">
        <v>CELL BIOLOGY(SCIE)</v>
      </c>
      <c r="N646" s="7" t="str">
        <v>两份公开汇编一致</v>
      </c>
      <c r="O646" s="7" t="str"/>
      <c r="P646" s="15" t="str">
        <v>JIF来源</v>
      </c>
      <c r="Q646" s="15" t="str">
        <v>分区来源</v>
      </c>
      <c r="R646" s="15" t="str"/>
      <c r="S646" s="14" t="str">
        <v>https://www.journals.elsevier.com/trends-in-cell-biology</v>
      </c>
      <c r="T646" s="7" t="str">
        <v>ISSN匹配公开元数据；未逐站复核</v>
      </c>
      <c r="U646" s="2" t="str">
        <v>官网来源</v>
      </c>
      <c r="V646" s="2" t="n">
        <v>2026</v>
      </c>
    </row>
    <row r="647" ht="34" customHeight="1">
      <c r="A647" s="7" t="str">
        <v>Matter</v>
      </c>
      <c r="B647" s="7" t="str">
        <v>细胞分子发育与生理</v>
      </c>
      <c r="C647" s="11" t="n">
        <v>1</v>
      </c>
      <c r="D647" s="12" t="n">
        <v>15.7</v>
      </c>
      <c r="E647" s="13" t="n">
        <v>2025</v>
      </c>
      <c r="F647" s="7" t="str">
        <v>Cell Press（含合作刊）</v>
      </c>
      <c r="G647" s="7" t="str">
        <v>领域期刊/新兴刊</v>
      </c>
      <c r="H647" s="7" t="str">
        <v>研究/方法/综合</v>
      </c>
      <c r="I647" s="10" t="n">
        <v>2025</v>
      </c>
      <c r="J647" s="2" t="str">
        <v>是</v>
      </c>
      <c r="K647" s="2" t="str">
        <v>2590-2393</v>
      </c>
      <c r="L647" s="2" t="str">
        <v>2590-2385</v>
      </c>
      <c r="M647" s="7" t="str">
        <v>MATERIALS SCIENCE, MULTIDISCIPLINARY(SCIE)</v>
      </c>
      <c r="N647" s="7" t="str">
        <v>两份公开汇编一致</v>
      </c>
      <c r="O647" s="7" t="str"/>
      <c r="P647" s="15" t="str">
        <v>JIF来源</v>
      </c>
      <c r="Q647" s="15" t="str">
        <v>分区来源</v>
      </c>
      <c r="R647" s="15" t="str"/>
      <c r="S647" s="14" t="str">
        <v>https://www.cell.com/matter/home</v>
      </c>
      <c r="T647" s="7" t="str">
        <v>ISSN匹配公开元数据；未逐站复核</v>
      </c>
      <c r="U647" s="2" t="str">
        <v>官网来源</v>
      </c>
      <c r="V647" s="2" t="n">
        <v>2026</v>
      </c>
    </row>
    <row r="648" ht="34" customHeight="1">
      <c r="A648" s="7" t="str">
        <v>Trends in Cancer</v>
      </c>
      <c r="B648" s="7" t="str">
        <v>细胞分子发育与生理</v>
      </c>
      <c r="C648" s="11" t="n">
        <v>1</v>
      </c>
      <c r="D648" s="12" t="n">
        <v>21.6</v>
      </c>
      <c r="E648" s="13" t="n">
        <v>2025</v>
      </c>
      <c r="F648" s="7" t="str">
        <v>Cell Press（含合作刊）</v>
      </c>
      <c r="G648" s="7" t="str">
        <v>领域期刊/新兴刊</v>
      </c>
      <c r="H648" s="7" t="str">
        <v>综述为主</v>
      </c>
      <c r="I648" s="10" t="n">
        <v>2025</v>
      </c>
      <c r="J648" s="2" t="str">
        <v>是</v>
      </c>
      <c r="K648" s="2" t="str">
        <v>2405-8033</v>
      </c>
      <c r="L648" s="2" t="str">
        <v>2405-8025</v>
      </c>
      <c r="M648" s="7" t="str">
        <v>ONCOLOGY(SCIE)</v>
      </c>
      <c r="N648" s="7" t="str">
        <v>两份公开汇编一致</v>
      </c>
      <c r="O648" s="7" t="str"/>
      <c r="P648" s="15" t="str">
        <v>JIF来源</v>
      </c>
      <c r="Q648" s="15" t="str">
        <v>分区来源</v>
      </c>
      <c r="R648" s="15" t="str"/>
      <c r="S648" s="14" t="str">
        <v>https://www.sciencedirect.com/journal/trends-in-cancer</v>
      </c>
      <c r="T648" s="7" t="str">
        <v>ISSN匹配公开元数据；未逐站复核</v>
      </c>
      <c r="U648" s="2" t="str">
        <v>官网来源</v>
      </c>
      <c r="V648" s="2" t="n">
        <v>2026</v>
      </c>
    </row>
    <row r="649" ht="34" customHeight="1">
      <c r="A649" s="7" t="str">
        <v>TRENDS IN COGNITIVE SCIENCES</v>
      </c>
      <c r="B649" s="7" t="str">
        <v>细胞分子发育与生理</v>
      </c>
      <c r="C649" s="11" t="n">
        <v>1</v>
      </c>
      <c r="D649" s="12" t="n">
        <v>20.3</v>
      </c>
      <c r="E649" s="13" t="n">
        <v>2025</v>
      </c>
      <c r="F649" s="7" t="str">
        <v>Cell Press（含合作刊）</v>
      </c>
      <c r="G649" s="7" t="str">
        <v>领域期刊/新兴刊</v>
      </c>
      <c r="H649" s="7" t="str">
        <v>综述为主</v>
      </c>
      <c r="I649" s="10" t="n">
        <v>2025</v>
      </c>
      <c r="J649" s="2" t="str">
        <v>是</v>
      </c>
      <c r="K649" s="2" t="str">
        <v>1364-6613</v>
      </c>
      <c r="L649" s="2" t="str">
        <v>1879-307X</v>
      </c>
      <c r="M649" s="7" t="str">
        <v>BEHAVIORAL SCIENCES(SCIE);NEUROSCIENCES(SCIE);PSYCHOLOGY, EXPERIMENTAL(SSCI)</v>
      </c>
      <c r="N649" s="7" t="str">
        <v>两份公开汇编一致</v>
      </c>
      <c r="O649" s="7" t="str"/>
      <c r="P649" s="15" t="str">
        <v>JIF来源</v>
      </c>
      <c r="Q649" s="15" t="str">
        <v>分区来源</v>
      </c>
      <c r="R649" s="15" t="str"/>
      <c r="S649" s="14" t="str">
        <v>https://www.sciencedirect.com/journal/trends-in-cognitive-sciences</v>
      </c>
      <c r="T649" s="7" t="str">
        <v>ISSN匹配公开元数据；未逐站复核</v>
      </c>
      <c r="U649" s="2" t="str">
        <v>官网来源</v>
      </c>
      <c r="V649" s="2" t="n">
        <v>2026</v>
      </c>
    </row>
    <row r="650" ht="34" customHeight="1">
      <c r="A650" s="7" t="str">
        <v>Molecular Cell</v>
      </c>
      <c r="B650" s="7" t="str">
        <v>细胞分子发育与生理</v>
      </c>
      <c r="C650" s="11" t="n">
        <v>1</v>
      </c>
      <c r="D650" s="12" t="n">
        <v>16</v>
      </c>
      <c r="E650" s="13" t="n">
        <v>2025</v>
      </c>
      <c r="F650" s="7" t="str">
        <v>Cell Press（含合作刊）</v>
      </c>
      <c r="G650" s="7" t="str">
        <v>领域期刊/新兴刊</v>
      </c>
      <c r="H650" s="7" t="str">
        <v>研究/方法/综合</v>
      </c>
      <c r="I650" s="10" t="n">
        <v>2025</v>
      </c>
      <c r="J650" s="2" t="str">
        <v>是</v>
      </c>
      <c r="K650" s="2" t="str">
        <v>1097-2765</v>
      </c>
      <c r="L650" s="2" t="str">
        <v>1097-4164</v>
      </c>
      <c r="M650" s="7" t="str">
        <v>BIOCHEMISTRY &amp; MOLECULAR BIOLOGY(SCIE);CELL BIOLOGY(SCIE)</v>
      </c>
      <c r="N650" s="7" t="str">
        <v>两份公开汇编一致</v>
      </c>
      <c r="O650" s="7" t="str"/>
      <c r="P650" s="15" t="str">
        <v>JIF来源</v>
      </c>
      <c r="Q650" s="15" t="str">
        <v>分区来源</v>
      </c>
      <c r="R650" s="15" t="str"/>
      <c r="S650" s="14" t="str">
        <v>https://www.sciencedirect.com/journal/molecular-cell</v>
      </c>
      <c r="T650" s="7" t="str">
        <v>ISSN匹配公开元数据；未逐站复核</v>
      </c>
      <c r="U650" s="2" t="str">
        <v>官网来源</v>
      </c>
      <c r="V650" s="2" t="n">
        <v>2026</v>
      </c>
    </row>
    <row r="651" ht="34" customHeight="1">
      <c r="A651" s="7" t="str">
        <v>Science Immunology</v>
      </c>
      <c r="B651" s="7" t="str">
        <v>细胞分子发育与生理</v>
      </c>
      <c r="C651" s="11" t="n">
        <v>1</v>
      </c>
      <c r="D651" s="12" t="n">
        <v>16.4</v>
      </c>
      <c r="E651" s="13" t="n">
        <v>2025</v>
      </c>
      <c r="F651" s="7" t="str">
        <v>Science / AAAS</v>
      </c>
      <c r="G651" s="7" t="str">
        <v>领域期刊/新兴刊</v>
      </c>
      <c r="H651" s="7" t="str">
        <v>研究/方法/综合</v>
      </c>
      <c r="I651" s="10" t="n">
        <v>2025</v>
      </c>
      <c r="J651" s="2" t="str">
        <v>是</v>
      </c>
      <c r="K651" s="2" t="str">
        <v>2470-9468</v>
      </c>
      <c r="L651" s="2" t="str">
        <v>2470-9468</v>
      </c>
      <c r="M651" s="7" t="str">
        <v>IMMUNOLOGY(SCIE)</v>
      </c>
      <c r="N651" s="7" t="str">
        <v>两份公开汇编一致</v>
      </c>
      <c r="O651" s="7" t="str"/>
      <c r="P651" s="15" t="str">
        <v>JIF来源</v>
      </c>
      <c r="Q651" s="15" t="str">
        <v>分区来源</v>
      </c>
      <c r="R651" s="15" t="str"/>
      <c r="S651" s="14" t="str">
        <v>http://immunology.sciencemag.org/</v>
      </c>
      <c r="T651" s="7" t="str">
        <v>ISSN匹配公开元数据；未逐站复核</v>
      </c>
      <c r="U651" s="2" t="str">
        <v>官网来源</v>
      </c>
      <c r="V651" s="2" t="n">
        <v>2026</v>
      </c>
    </row>
    <row r="652" ht="34" customHeight="1">
      <c r="A652" s="7" t="str">
        <v>Nature Human Behaviour</v>
      </c>
      <c r="B652" s="7" t="str">
        <v>细胞分子发育与生理</v>
      </c>
      <c r="C652" s="11" t="n">
        <v>1</v>
      </c>
      <c r="D652" s="12" t="n">
        <v>17.5</v>
      </c>
      <c r="E652" s="13" t="n">
        <v>2025</v>
      </c>
      <c r="F652" s="7" t="str">
        <v>Nature Portfolio（含合作刊）</v>
      </c>
      <c r="G652" s="7" t="str">
        <v>领域期刊/新兴刊</v>
      </c>
      <c r="H652" s="7" t="str">
        <v>研究/方法/综合</v>
      </c>
      <c r="I652" s="10" t="n">
        <v>2025</v>
      </c>
      <c r="J652" s="2" t="str">
        <v>是</v>
      </c>
      <c r="K652" s="2" t="str">
        <v>2397-3374</v>
      </c>
      <c r="L652" s="2" t="str">
        <v>2397-3374</v>
      </c>
      <c r="M652" s="7" t="str">
        <v>MULTIDISCIPLINARY SCIENCES(SCIE);NEUROSCIENCES(SCIE);PSYCHOLOGY, EXPERIMENTAL(SSCI)</v>
      </c>
      <c r="N652" s="7" t="str">
        <v>两份公开汇编一致</v>
      </c>
      <c r="O652" s="7" t="str"/>
      <c r="P652" s="15" t="str">
        <v>JIF来源</v>
      </c>
      <c r="Q652" s="15" t="str">
        <v>分区来源</v>
      </c>
      <c r="R652" s="15" t="str"/>
      <c r="S652" s="14" t="str">
        <v>https://www.nature.com/nathumbehav/</v>
      </c>
      <c r="T652" s="7" t="str">
        <v>ISSN匹配公开元数据；未逐站复核</v>
      </c>
      <c r="U652" s="2" t="str">
        <v>官网来源</v>
      </c>
      <c r="V652" s="2" t="n">
        <v>2026</v>
      </c>
    </row>
    <row r="653" ht="34" customHeight="1">
      <c r="A653" s="7" t="str">
        <v>CELL DEATH AND DIFFERENTIATION</v>
      </c>
      <c r="B653" s="7" t="str">
        <v>细胞分子发育与生理</v>
      </c>
      <c r="C653" s="11" t="n">
        <v>1</v>
      </c>
      <c r="D653" s="12" t="n">
        <v>13.6</v>
      </c>
      <c r="E653" s="13" t="n">
        <v>2025</v>
      </c>
      <c r="F653" s="7" t="str">
        <v>其他</v>
      </c>
      <c r="G653" s="7" t="str">
        <v>领域期刊/新兴刊</v>
      </c>
      <c r="H653" s="7" t="str">
        <v>研究/方法/综合</v>
      </c>
      <c r="I653" s="10" t="n">
        <v>2025</v>
      </c>
      <c r="J653" s="2" t="str">
        <v>是</v>
      </c>
      <c r="K653" s="2" t="str">
        <v>1350-9047</v>
      </c>
      <c r="L653" s="2" t="str">
        <v>1476-5403</v>
      </c>
      <c r="M653" s="7" t="str">
        <v>BIOCHEMISTRY &amp; MOLECULAR BIOLOGY(SCIE);CELL BIOLOGY(SCIE)</v>
      </c>
      <c r="N653" s="7" t="str">
        <v>两份公开汇编一致</v>
      </c>
      <c r="O653" s="7" t="str"/>
      <c r="P653" s="15" t="str">
        <v>JIF来源</v>
      </c>
      <c r="Q653" s="15" t="str">
        <v>分区来源</v>
      </c>
      <c r="R653" s="15" t="str"/>
      <c r="S653" s="14" t="str">
        <v>https://www.nature.com/cdd/</v>
      </c>
      <c r="T653" s="7" t="str">
        <v>ISSN匹配公开元数据；未逐站复核</v>
      </c>
      <c r="U653" s="2" t="str">
        <v>官网来源</v>
      </c>
      <c r="V653" s="2" t="n">
        <v>2026</v>
      </c>
    </row>
    <row r="654" ht="34" customHeight="1">
      <c r="A654" s="7" t="str">
        <v>Neuron</v>
      </c>
      <c r="B654" s="7" t="str">
        <v>细胞分子发育与生理</v>
      </c>
      <c r="C654" s="11" t="n">
        <v>1</v>
      </c>
      <c r="D654" s="12" t="n">
        <v>16.9</v>
      </c>
      <c r="E654" s="13" t="n">
        <v>2025</v>
      </c>
      <c r="F654" s="7" t="str">
        <v>Cell Press（含合作刊）</v>
      </c>
      <c r="G654" s="7" t="str">
        <v>领域期刊/新兴刊</v>
      </c>
      <c r="H654" s="7" t="str">
        <v>研究/方法/综合</v>
      </c>
      <c r="I654" s="10" t="n">
        <v>2025</v>
      </c>
      <c r="J654" s="2" t="str">
        <v>是</v>
      </c>
      <c r="K654" s="2" t="str">
        <v>0896-6273</v>
      </c>
      <c r="L654" s="2" t="str">
        <v>1097-4199</v>
      </c>
      <c r="M654" s="7" t="str">
        <v>NEUROSCIENCES(SCIE)</v>
      </c>
      <c r="N654" s="7" t="str">
        <v>两份公开汇编一致</v>
      </c>
      <c r="O654" s="7" t="str"/>
      <c r="P654" s="15" t="str">
        <v>JIF来源</v>
      </c>
      <c r="Q654" s="15" t="str">
        <v>分区来源</v>
      </c>
      <c r="R654" s="15" t="str"/>
      <c r="S654" s="14" t="str">
        <v>https://www.sciencedirect.com/journal/neuron</v>
      </c>
      <c r="T654" s="7" t="str">
        <v>ISSN匹配公开元数据；未逐站复核</v>
      </c>
      <c r="U654" s="2" t="str">
        <v>官网来源</v>
      </c>
      <c r="V654" s="2" t="n">
        <v>2026</v>
      </c>
    </row>
    <row r="655" ht="34" customHeight="1">
      <c r="A655" s="7" t="str">
        <v>TRENDS IN NEUROSCIENCES</v>
      </c>
      <c r="B655" s="7" t="str">
        <v>细胞分子发育与生理</v>
      </c>
      <c r="C655" s="11" t="n">
        <v>1</v>
      </c>
      <c r="D655" s="12" t="n">
        <v>15.7</v>
      </c>
      <c r="E655" s="13" t="n">
        <v>2025</v>
      </c>
      <c r="F655" s="7" t="str">
        <v>Cell Press（含合作刊）</v>
      </c>
      <c r="G655" s="7" t="str">
        <v>领域期刊/新兴刊</v>
      </c>
      <c r="H655" s="7" t="str">
        <v>综述为主</v>
      </c>
      <c r="I655" s="10" t="n">
        <v>2025</v>
      </c>
      <c r="J655" s="2" t="str">
        <v>是</v>
      </c>
      <c r="K655" s="2" t="str">
        <v>0166-2236</v>
      </c>
      <c r="L655" s="2" t="str">
        <v>1878-108X</v>
      </c>
      <c r="M655" s="7" t="str">
        <v>NEUROSCIENCES(SCIE)</v>
      </c>
      <c r="N655" s="7" t="str">
        <v>两份公开汇编一致</v>
      </c>
      <c r="O655" s="7" t="str"/>
      <c r="P655" s="15" t="str">
        <v>JIF来源</v>
      </c>
      <c r="Q655" s="15" t="str">
        <v>分区来源</v>
      </c>
      <c r="R655" s="15" t="str"/>
      <c r="S655" s="14" t="str">
        <v>https://www.journals.elsevier.com/trends-in-neurosciences</v>
      </c>
      <c r="T655" s="7" t="str">
        <v>ISSN匹配公开元数据；未逐站复核</v>
      </c>
      <c r="U655" s="2" t="str">
        <v>官网来源</v>
      </c>
      <c r="V655" s="2" t="n">
        <v>2026</v>
      </c>
    </row>
    <row r="656" ht="34" customHeight="1">
      <c r="A656" s="7" t="str">
        <v>Science Translational Medicine</v>
      </c>
      <c r="B656" s="7" t="str">
        <v>细胞分子发育与生理</v>
      </c>
      <c r="C656" s="11" t="n">
        <v>1</v>
      </c>
      <c r="D656" s="12" t="n">
        <v>15.6</v>
      </c>
      <c r="E656" s="13" t="n">
        <v>2025</v>
      </c>
      <c r="F656" s="7" t="str">
        <v>Science / AAAS</v>
      </c>
      <c r="G656" s="7" t="str">
        <v>领域期刊/新兴刊</v>
      </c>
      <c r="H656" s="7" t="str">
        <v>研究/方法/综合</v>
      </c>
      <c r="I656" s="10" t="n">
        <v>2025</v>
      </c>
      <c r="J656" s="2" t="str">
        <v>是</v>
      </c>
      <c r="K656" s="2" t="str">
        <v>1946-6234</v>
      </c>
      <c r="L656" s="2" t="str">
        <v>1946-6242</v>
      </c>
      <c r="M656" s="7" t="str">
        <v>CELL BIOLOGY(SCIE);MEDICINE, RESEARCH &amp; EXPERIMENTAL(SCIE)</v>
      </c>
      <c r="N656" s="7" t="str">
        <v>两份公开汇编一致</v>
      </c>
      <c r="O656" s="7" t="str"/>
      <c r="P656" s="15" t="str">
        <v>JIF来源</v>
      </c>
      <c r="Q656" s="15" t="str">
        <v>分区来源</v>
      </c>
      <c r="R656" s="15" t="str"/>
      <c r="S656" s="14" t="str">
        <v>http://stm.sciencemag.org</v>
      </c>
      <c r="T656" s="7" t="str">
        <v>ISSN匹配公开元数据；未逐站复核</v>
      </c>
      <c r="U656" s="2" t="str">
        <v>官网来源</v>
      </c>
      <c r="V656" s="2" t="n">
        <v>2026</v>
      </c>
    </row>
    <row r="657" ht="34" customHeight="1">
      <c r="A657" s="7" t="str">
        <v>Nature Reviews Urology</v>
      </c>
      <c r="B657" s="7" t="str">
        <v>细胞分子发育与生理</v>
      </c>
      <c r="C657" s="11" t="n">
        <v>1</v>
      </c>
      <c r="D657" s="12" t="n">
        <v>13.6</v>
      </c>
      <c r="E657" s="13" t="n">
        <v>2025</v>
      </c>
      <c r="F657" s="7" t="str">
        <v>Nature Portfolio（含合作刊）</v>
      </c>
      <c r="G657" s="7" t="str">
        <v>领域期刊/新兴刊</v>
      </c>
      <c r="H657" s="7" t="str">
        <v>综述为主</v>
      </c>
      <c r="I657" s="10" t="n">
        <v>2025</v>
      </c>
      <c r="J657" s="2" t="str">
        <v>是</v>
      </c>
      <c r="K657" s="2" t="str">
        <v>1759-4812</v>
      </c>
      <c r="L657" s="2" t="str">
        <v>1759-4820</v>
      </c>
      <c r="M657" s="7" t="str">
        <v>UROLOGY &amp; NEPHROLOGY(SCIE)</v>
      </c>
      <c r="N657" s="7" t="str">
        <v>两份公开汇编一致</v>
      </c>
      <c r="O657" s="7" t="str"/>
      <c r="P657" s="15" t="str">
        <v>JIF来源</v>
      </c>
      <c r="Q657" s="15" t="str">
        <v>分区来源</v>
      </c>
      <c r="R657" s="15" t="str"/>
      <c r="S657" s="14" t="str">
        <v>http://www.nature.com/nrurol</v>
      </c>
      <c r="T657" s="7" t="str">
        <v>ISSN匹配公开元数据；未逐站复核</v>
      </c>
      <c r="U657" s="2" t="str">
        <v>官网来源</v>
      </c>
      <c r="V657" s="2" t="n">
        <v>2026</v>
      </c>
    </row>
    <row r="658" ht="34" customHeight="1">
      <c r="A658" s="7" t="str">
        <v>Autophagy</v>
      </c>
      <c r="B658" s="7" t="str">
        <v>细胞分子发育与生理</v>
      </c>
      <c r="C658" s="11" t="n">
        <v>1</v>
      </c>
      <c r="D658" s="12" t="n">
        <v>18.6</v>
      </c>
      <c r="E658" s="13" t="n">
        <v>2025</v>
      </c>
      <c r="F658" s="7" t="str">
        <v>其他</v>
      </c>
      <c r="G658" s="7" t="str">
        <v>领域期刊/新兴刊</v>
      </c>
      <c r="H658" s="7" t="str">
        <v>研究/方法/综合</v>
      </c>
      <c r="I658" s="10" t="n">
        <v>2025</v>
      </c>
      <c r="J658" s="2" t="str">
        <v>是</v>
      </c>
      <c r="K658" s="2" t="str">
        <v>1554-8627</v>
      </c>
      <c r="L658" s="2" t="str">
        <v>1554-8635</v>
      </c>
      <c r="M658" s="7" t="str">
        <v>CELL BIOLOGY(SCIE)</v>
      </c>
      <c r="N658" s="7" t="str">
        <v>两份公开汇编一致</v>
      </c>
      <c r="O658" s="7" t="str"/>
      <c r="P658" s="15" t="str">
        <v>JIF来源</v>
      </c>
      <c r="Q658" s="15" t="str">
        <v>分区来源</v>
      </c>
      <c r="R658" s="15" t="str"/>
      <c r="S658" s="14" t="str">
        <v>http://www.landesbioscience.com/journals/autophagy/</v>
      </c>
      <c r="T658" s="7" t="str">
        <v>ISSN匹配公开元数据；未逐站复核</v>
      </c>
      <c r="U658" s="2" t="str">
        <v>官网来源</v>
      </c>
      <c r="V658" s="2" t="n">
        <v>2026</v>
      </c>
    </row>
    <row r="659" ht="34" customHeight="1">
      <c r="A659" s="7" t="str">
        <v>TRENDS IN MOLECULAR MEDICINE</v>
      </c>
      <c r="B659" s="7" t="str">
        <v>细胞分子发育与生理</v>
      </c>
      <c r="C659" s="11" t="n">
        <v>1</v>
      </c>
      <c r="D659" s="12" t="n">
        <v>18.1</v>
      </c>
      <c r="E659" s="13" t="n">
        <v>2025</v>
      </c>
      <c r="F659" s="7" t="str">
        <v>Cell Press（含合作刊）</v>
      </c>
      <c r="G659" s="7" t="str">
        <v>领域期刊/新兴刊</v>
      </c>
      <c r="H659" s="7" t="str">
        <v>综述为主</v>
      </c>
      <c r="I659" s="10" t="n">
        <v>2025</v>
      </c>
      <c r="J659" s="2" t="str">
        <v>是</v>
      </c>
      <c r="K659" s="2" t="str">
        <v>1471-4914</v>
      </c>
      <c r="L659" s="2" t="str">
        <v>1471-499X</v>
      </c>
      <c r="M659" s="7" t="str">
        <v>BIOCHEMISTRY &amp; MOLECULAR BIOLOGY(SCIE);CELL BIOLOGY(SCIE);MEDICINE, RESEARCH &amp; EXPERIMENTAL(SCIE)</v>
      </c>
      <c r="N659" s="7" t="str">
        <v>两份公开汇编一致</v>
      </c>
      <c r="O659" s="7" t="str"/>
      <c r="P659" s="15" t="str">
        <v>JIF来源</v>
      </c>
      <c r="Q659" s="15" t="str">
        <v>分区来源</v>
      </c>
      <c r="R659" s="15" t="str"/>
      <c r="S659" s="14" t="str">
        <v>https://www.journals.elsevier.com/trends-in-molecular-medicine</v>
      </c>
      <c r="T659" s="7" t="str">
        <v>ISSN匹配公开元数据；未逐站复核</v>
      </c>
      <c r="U659" s="2" t="str">
        <v>官网来源</v>
      </c>
      <c r="V659" s="2" t="n">
        <v>2026</v>
      </c>
    </row>
    <row r="660" ht="34" customHeight="1">
      <c r="A660" s="7" t="str">
        <v>Trends in Chemistry</v>
      </c>
      <c r="B660" s="7" t="str">
        <v>细胞分子发育与生理</v>
      </c>
      <c r="C660" s="11" t="n">
        <v>1</v>
      </c>
      <c r="D660" s="12" t="n">
        <v>11.1</v>
      </c>
      <c r="E660" s="13" t="n">
        <v>2025</v>
      </c>
      <c r="F660" s="7" t="str">
        <v>Cell Press（含合作刊）</v>
      </c>
      <c r="G660" s="7" t="str">
        <v>领域期刊/新兴刊</v>
      </c>
      <c r="H660" s="7" t="str">
        <v>综述为主</v>
      </c>
      <c r="I660" s="10" t="n">
        <v>2025</v>
      </c>
      <c r="J660" s="2" t="str">
        <v>是</v>
      </c>
      <c r="K660" s="2" t="str"/>
      <c r="L660" s="2" t="str">
        <v>2589-5974</v>
      </c>
      <c r="M660" s="7" t="str">
        <v>CHEMISTRY, MULTIDISCIPLINARY(SCIE)</v>
      </c>
      <c r="N660" s="7" t="str">
        <v>两份公开汇编一致</v>
      </c>
      <c r="O660" s="7" t="str"/>
      <c r="P660" s="15" t="str">
        <v>JIF来源</v>
      </c>
      <c r="Q660" s="15" t="str">
        <v>分区来源</v>
      </c>
      <c r="R660" s="15" t="str"/>
      <c r="S660" s="14" t="str">
        <v>https://www.sciencedirect.com/journal/trends-in-chemistry</v>
      </c>
      <c r="T660" s="7" t="str">
        <v>ISSN匹配公开元数据；未逐站复核</v>
      </c>
      <c r="U660" s="2" t="str">
        <v>官网来源</v>
      </c>
      <c r="V660" s="2" t="n">
        <v>2026</v>
      </c>
    </row>
    <row r="661" ht="34" customHeight="1">
      <c r="A661" s="7" t="str">
        <v>Protein &amp; Cell</v>
      </c>
      <c r="B661" s="7" t="str">
        <v>细胞分子发育与生理</v>
      </c>
      <c r="C661" s="11" t="n">
        <v>1</v>
      </c>
      <c r="D661" s="12" t="n">
        <v>18.2</v>
      </c>
      <c r="E661" s="13" t="n">
        <v>2025</v>
      </c>
      <c r="F661" s="7" t="str">
        <v>其他</v>
      </c>
      <c r="G661" s="7" t="str">
        <v>领域期刊/新兴刊</v>
      </c>
      <c r="H661" s="7" t="str">
        <v>研究/方法/综合</v>
      </c>
      <c r="I661" s="10" t="n">
        <v>2025</v>
      </c>
      <c r="J661" s="2" t="str">
        <v>是</v>
      </c>
      <c r="K661" s="2" t="str">
        <v>1674-800X</v>
      </c>
      <c r="L661" s="2" t="str">
        <v>1674-8018</v>
      </c>
      <c r="M661" s="7" t="str">
        <v>CELL BIOLOGY(SCIE)</v>
      </c>
      <c r="N661" s="7" t="str">
        <v>两份公开汇编一致</v>
      </c>
      <c r="O661" s="7" t="str"/>
      <c r="P661" s="15" t="str">
        <v>JIF来源</v>
      </c>
      <c r="Q661" s="15" t="str">
        <v>分区来源</v>
      </c>
      <c r="R661" s="15" t="str"/>
      <c r="S661" s="14" t="str">
        <v>https://www.springer.com/journal/13238</v>
      </c>
      <c r="T661" s="7" t="str">
        <v>ISSN匹配公开元数据；未逐站复核</v>
      </c>
      <c r="U661" s="2" t="str">
        <v>官网来源</v>
      </c>
      <c r="V661" s="2" t="n">
        <v>2026</v>
      </c>
    </row>
    <row r="662" ht="34" customHeight="1">
      <c r="A662" s="7" t="str">
        <v>TRENDS IN ENDOCRINOLOGY AND METABOLISM</v>
      </c>
      <c r="B662" s="7" t="str">
        <v>细胞分子发育与生理</v>
      </c>
      <c r="C662" s="11" t="n">
        <v>1</v>
      </c>
      <c r="D662" s="12" t="n">
        <v>20.1</v>
      </c>
      <c r="E662" s="13" t="n">
        <v>2025</v>
      </c>
      <c r="F662" s="7" t="str">
        <v>Cell Press（含合作刊）</v>
      </c>
      <c r="G662" s="7" t="str">
        <v>领域期刊/新兴刊</v>
      </c>
      <c r="H662" s="7" t="str">
        <v>综述为主</v>
      </c>
      <c r="I662" s="10" t="n">
        <v>2025</v>
      </c>
      <c r="J662" s="2" t="str">
        <v>是</v>
      </c>
      <c r="K662" s="2" t="str">
        <v>1043-2760</v>
      </c>
      <c r="L662" s="2" t="str">
        <v>1879-3061</v>
      </c>
      <c r="M662" s="7" t="str">
        <v>ENDOCRINOLOGY &amp; METABOLISM(SCIE)</v>
      </c>
      <c r="N662" s="7" t="str">
        <v>两份公开汇编一致</v>
      </c>
      <c r="O662" s="7" t="str"/>
      <c r="P662" s="15" t="str">
        <v>JIF来源</v>
      </c>
      <c r="Q662" s="15" t="str">
        <v>分区来源</v>
      </c>
      <c r="R662" s="15" t="str"/>
      <c r="S662" s="14" t="str">
        <v>https://www.sciencedirect.com/journal/trends-in-endocrinology-and-metabolism</v>
      </c>
      <c r="T662" s="7" t="str">
        <v>ISSN匹配公开元数据；未逐站复核</v>
      </c>
      <c r="U662" s="2" t="str">
        <v>官网来源</v>
      </c>
      <c r="V662" s="2" t="n">
        <v>2026</v>
      </c>
    </row>
    <row r="663" ht="34" customHeight="1">
      <c r="A663" s="7" t="str">
        <v>Cell Discovery</v>
      </c>
      <c r="B663" s="7" t="str">
        <v>细胞分子发育与生理</v>
      </c>
      <c r="C663" s="11" t="n">
        <v>1</v>
      </c>
      <c r="D663" s="12" t="n">
        <v>16.9</v>
      </c>
      <c r="E663" s="13" t="n">
        <v>2025</v>
      </c>
      <c r="F663" s="7" t="str">
        <v>Nature Portfolio（含合作刊）</v>
      </c>
      <c r="G663" s="7" t="str">
        <v>领域期刊/新兴刊</v>
      </c>
      <c r="H663" s="7" t="str">
        <v>研究/方法/综合</v>
      </c>
      <c r="I663" s="10" t="n">
        <v>2025</v>
      </c>
      <c r="J663" s="2" t="str">
        <v>是</v>
      </c>
      <c r="K663" s="2" t="str"/>
      <c r="L663" s="2" t="str">
        <v>2056-5968</v>
      </c>
      <c r="M663" s="7" t="str">
        <v>CELL BIOLOGY(SCIE)</v>
      </c>
      <c r="N663" s="7" t="str">
        <v>两份公开汇编一致</v>
      </c>
      <c r="O663" s="7" t="str"/>
      <c r="P663" s="15" t="str">
        <v>JIF来源</v>
      </c>
      <c r="Q663" s="15" t="str">
        <v>分区来源</v>
      </c>
      <c r="R663" s="15" t="str"/>
      <c r="S663" s="14" t="str">
        <v>https://www.nature.com/celldisc/</v>
      </c>
      <c r="T663" s="7" t="str">
        <v>ISSN匹配公开元数据；未逐站复核</v>
      </c>
      <c r="U663" s="2" t="str">
        <v>官网来源</v>
      </c>
      <c r="V663" s="2" t="n">
        <v>2026</v>
      </c>
    </row>
    <row r="664" ht="34" customHeight="1">
      <c r="A664" s="7" t="str">
        <v>MOLECULAR THERAPY</v>
      </c>
      <c r="B664" s="7" t="str">
        <v>细胞分子发育与生理</v>
      </c>
      <c r="C664" s="11" t="n">
        <v>1</v>
      </c>
      <c r="D664" s="12" t="n">
        <v>11.4</v>
      </c>
      <c r="E664" s="13" t="n">
        <v>2025</v>
      </c>
      <c r="F664" s="7" t="str">
        <v>Cell Press（含合作刊）</v>
      </c>
      <c r="G664" s="7" t="str">
        <v>领域期刊/新兴刊</v>
      </c>
      <c r="H664" s="7" t="str">
        <v>研究/方法/综合</v>
      </c>
      <c r="I664" s="10" t="n">
        <v>2025</v>
      </c>
      <c r="J664" s="2" t="str">
        <v>是</v>
      </c>
      <c r="K664" s="2" t="str">
        <v>1525-0016</v>
      </c>
      <c r="L664" s="2" t="str">
        <v>1525-0024</v>
      </c>
      <c r="M664" s="7" t="str">
        <v>BIOTECHNOLOGY &amp; APPLIED MICROBIOLOGY(SCIE);GENETICS &amp; HEREDITY(SCIE);MEDICINE, RESEARCH &amp; EXPERIMENTAL(SCIE)</v>
      </c>
      <c r="N664" s="7" t="str">
        <v>两份公开汇编一致</v>
      </c>
      <c r="O664" s="7" t="str"/>
      <c r="P664" s="15" t="str">
        <v>JIF来源</v>
      </c>
      <c r="Q664" s="15" t="str">
        <v>分区来源</v>
      </c>
      <c r="R664" s="15" t="str"/>
      <c r="S664" s="14" t="str">
        <v>https://www.journals.elsevier.com/molecular-therapy</v>
      </c>
      <c r="T664" s="7" t="str">
        <v>ISSN匹配公开元数据；未逐站复核</v>
      </c>
      <c r="U664" s="2" t="str">
        <v>官网来源</v>
      </c>
      <c r="V664" s="2" t="n">
        <v>2026</v>
      </c>
    </row>
    <row r="665" ht="34" customHeight="1">
      <c r="A665" s="7" t="str">
        <v>Med</v>
      </c>
      <c r="B665" s="7" t="str">
        <v>细胞分子发育与生理</v>
      </c>
      <c r="C665" s="11" t="n">
        <v>1</v>
      </c>
      <c r="D665" s="12" t="n">
        <v>13.3</v>
      </c>
      <c r="E665" s="13" t="n">
        <v>2025</v>
      </c>
      <c r="F665" s="7" t="str">
        <v>Cell Press（含合作刊）</v>
      </c>
      <c r="G665" s="7" t="str">
        <v>领域期刊/新兴刊</v>
      </c>
      <c r="H665" s="7" t="str">
        <v>研究/方法/综合</v>
      </c>
      <c r="I665" s="10" t="n">
        <v>2025</v>
      </c>
      <c r="J665" s="2" t="str">
        <v>是</v>
      </c>
      <c r="K665" s="2" t="str">
        <v>2666-6340</v>
      </c>
      <c r="L665" s="2" t="str">
        <v>2666-6340</v>
      </c>
      <c r="M665" s="7" t="str">
        <v>MEDICINE, RESEARCH &amp; EXPERIMENTAL(ESCI)</v>
      </c>
      <c r="N665" s="7" t="str">
        <v>两份公开汇编一致</v>
      </c>
      <c r="O665" s="7" t="str"/>
      <c r="P665" s="15" t="str">
        <v>JIF来源</v>
      </c>
      <c r="Q665" s="15" t="str">
        <v>分区来源</v>
      </c>
      <c r="R665" s="15" t="str"/>
      <c r="S665" s="14" t="str">
        <v>https://www.sciencedirect.com/journal/med/issues</v>
      </c>
      <c r="T665" s="7" t="str">
        <v>ISSN匹配公开元数据；未逐站复核</v>
      </c>
      <c r="U665" s="2" t="str">
        <v>官网来源</v>
      </c>
      <c r="V665" s="2" t="n">
        <v>2026</v>
      </c>
    </row>
    <row r="666" ht="34" customHeight="1">
      <c r="A666" s="7" t="str">
        <v>Cell Reports Medicine</v>
      </c>
      <c r="B666" s="7" t="str">
        <v>细胞分子发育与生理</v>
      </c>
      <c r="C666" s="11" t="n">
        <v>1</v>
      </c>
      <c r="D666" s="12" t="n">
        <v>14</v>
      </c>
      <c r="E666" s="13" t="n">
        <v>2025</v>
      </c>
      <c r="F666" s="7" t="str">
        <v>Cell Press（含合作刊）</v>
      </c>
      <c r="G666" s="7" t="str">
        <v>领域期刊/新兴刊</v>
      </c>
      <c r="H666" s="7" t="str">
        <v>研究/方法/综合</v>
      </c>
      <c r="I666" s="10" t="n">
        <v>2025</v>
      </c>
      <c r="J666" s="2" t="str">
        <v>是</v>
      </c>
      <c r="K666" s="2" t="str">
        <v>2666-3791</v>
      </c>
      <c r="L666" s="2" t="str">
        <v>2666-3791</v>
      </c>
      <c r="M666" s="7" t="str">
        <v>CELL BIOLOGY(SCIE);MEDICINE, RESEARCH &amp; EXPERIMENTAL(SCIE)</v>
      </c>
      <c r="N666" s="7" t="str">
        <v>两份公开汇编一致</v>
      </c>
      <c r="O666" s="7" t="str"/>
      <c r="P666" s="15" t="str">
        <v>JIF来源</v>
      </c>
      <c r="Q666" s="15" t="str">
        <v>分区来源</v>
      </c>
      <c r="R666" s="15" t="str"/>
      <c r="S666" s="14" t="str">
        <v>https://www.journals.elsevier.com/cell-reports-medicine</v>
      </c>
      <c r="T666" s="7" t="str">
        <v>ISSN匹配公开元数据；未逐站复核</v>
      </c>
      <c r="U666" s="2" t="str">
        <v>官网来源</v>
      </c>
      <c r="V666" s="2" t="n">
        <v>2026</v>
      </c>
    </row>
    <row r="667" ht="34" customHeight="1">
      <c r="A667" s="7" t="str">
        <v>NATURE STRUCTURAL &amp; MOLECULAR BIOLOGY</v>
      </c>
      <c r="B667" s="7" t="str">
        <v>细胞分子发育与生理</v>
      </c>
      <c r="C667" s="11" t="n">
        <v>1</v>
      </c>
      <c r="D667" s="12" t="n">
        <v>10.1</v>
      </c>
      <c r="E667" s="13" t="n">
        <v>2025</v>
      </c>
      <c r="F667" s="7" t="str">
        <v>Nature Portfolio（含合作刊）</v>
      </c>
      <c r="G667" s="7" t="str">
        <v>领域期刊/新兴刊</v>
      </c>
      <c r="H667" s="7" t="str">
        <v>研究/方法/综合</v>
      </c>
      <c r="I667" s="10" t="n">
        <v>2025</v>
      </c>
      <c r="J667" s="2" t="str">
        <v>是</v>
      </c>
      <c r="K667" s="2" t="str">
        <v>1545-9993</v>
      </c>
      <c r="L667" s="2" t="str">
        <v>1545-9985</v>
      </c>
      <c r="M667" s="7" t="str">
        <v>BIOCHEMISTRY &amp; MOLECULAR BIOLOGY(SCIE);BIOPHYSICS(SCIE);CELL BIOLOGY(SCIE)</v>
      </c>
      <c r="N667" s="7" t="str">
        <v>两份公开汇编一致</v>
      </c>
      <c r="O667" s="7" t="str"/>
      <c r="P667" s="15" t="str">
        <v>JIF来源</v>
      </c>
      <c r="Q667" s="15" t="str">
        <v>分区来源</v>
      </c>
      <c r="R667" s="15" t="str"/>
      <c r="S667" s="14" t="str">
        <v>https://www.nature.com/nsmb/</v>
      </c>
      <c r="T667" s="7" t="str">
        <v>ISSN匹配公开元数据；未逐站复核</v>
      </c>
      <c r="U667" s="2" t="str">
        <v>官网来源</v>
      </c>
      <c r="V667" s="2" t="n">
        <v>2026</v>
      </c>
    </row>
    <row r="668" ht="34" customHeight="1">
      <c r="A668" s="7" t="str">
        <v>Cell Death &amp; Disease</v>
      </c>
      <c r="B668" s="7" t="str">
        <v>细胞分子发育与生理</v>
      </c>
      <c r="C668" s="11" t="n">
        <v>1</v>
      </c>
      <c r="D668" s="12" t="n">
        <v>12.2</v>
      </c>
      <c r="E668" s="13" t="n">
        <v>2025</v>
      </c>
      <c r="F668" s="7" t="str">
        <v>其他</v>
      </c>
      <c r="G668" s="7" t="str">
        <v>领域期刊/新兴刊</v>
      </c>
      <c r="H668" s="7" t="str">
        <v>研究/方法/综合</v>
      </c>
      <c r="I668" s="10" t="n">
        <v>2025</v>
      </c>
      <c r="J668" s="2" t="str">
        <v>是</v>
      </c>
      <c r="K668" s="2" t="str">
        <v>2041-4889</v>
      </c>
      <c r="L668" s="2" t="str">
        <v>2041-4889</v>
      </c>
      <c r="M668" s="7" t="str">
        <v>CELL BIOLOGY(SCIE)</v>
      </c>
      <c r="N668" s="7" t="str">
        <v>两份公开汇编一致</v>
      </c>
      <c r="O668" s="7" t="str"/>
      <c r="P668" s="15" t="str">
        <v>JIF来源</v>
      </c>
      <c r="Q668" s="15" t="str">
        <v>分区来源</v>
      </c>
      <c r="R668" s="15" t="str"/>
      <c r="S668" s="14" t="str">
        <v>https://www.nature.com/cddis/</v>
      </c>
      <c r="T668" s="7" t="str">
        <v>ISSN匹配公开元数据；未逐站复核</v>
      </c>
      <c r="U668" s="2" t="str">
        <v>官网来源</v>
      </c>
      <c r="V668" s="2" t="n">
        <v>2026</v>
      </c>
    </row>
    <row r="669" ht="34" customHeight="1">
      <c r="A669" s="7" t="str">
        <v>Science China-Life Sciences</v>
      </c>
      <c r="B669" s="7" t="str">
        <v>细胞分子发育与生理</v>
      </c>
      <c r="C669" s="11" t="n">
        <v>1</v>
      </c>
      <c r="D669" s="12" t="n">
        <v>9.6</v>
      </c>
      <c r="E669" s="13" t="n">
        <v>2025</v>
      </c>
      <c r="F669" s="7" t="str">
        <v>其他</v>
      </c>
      <c r="G669" s="7" t="str">
        <v>领域期刊/新兴刊</v>
      </c>
      <c r="H669" s="7" t="str">
        <v>研究/方法/综合</v>
      </c>
      <c r="I669" s="10" t="n">
        <v>2025</v>
      </c>
      <c r="J669" s="2" t="str">
        <v>是</v>
      </c>
      <c r="K669" s="2" t="str">
        <v>1674-7305</v>
      </c>
      <c r="L669" s="2" t="str">
        <v>1869-1889</v>
      </c>
      <c r="M669" s="7" t="str">
        <v>BIOLOGY(SCIE)</v>
      </c>
      <c r="N669" s="7" t="str">
        <v>两份公开汇编一致</v>
      </c>
      <c r="O669" s="7" t="str"/>
      <c r="P669" s="15" t="str">
        <v>JIF来源</v>
      </c>
      <c r="Q669" s="15" t="str">
        <v>分区来源</v>
      </c>
      <c r="R669" s="15" t="str"/>
      <c r="S669" s="14" t="str">
        <v>https://link.springer.com/journal/11427</v>
      </c>
      <c r="T669" s="7" t="str">
        <v>ISSN匹配公开元数据；未逐站复核</v>
      </c>
      <c r="U669" s="2" t="str">
        <v>官网来源</v>
      </c>
      <c r="V669" s="2" t="n">
        <v>2026</v>
      </c>
    </row>
    <row r="670" ht="34" customHeight="1">
      <c r="A670" s="7" t="str">
        <v>DEVELOPMENTAL CELL</v>
      </c>
      <c r="B670" s="7" t="str">
        <v>细胞分子发育与生理</v>
      </c>
      <c r="C670" s="11" t="n">
        <v>1</v>
      </c>
      <c r="D670" s="12" t="n">
        <v>9.2</v>
      </c>
      <c r="E670" s="13" t="n">
        <v>2025</v>
      </c>
      <c r="F670" s="7" t="str">
        <v>Cell Press（含合作刊）</v>
      </c>
      <c r="G670" s="7" t="str">
        <v>领域期刊/新兴刊</v>
      </c>
      <c r="H670" s="7" t="str">
        <v>研究/方法/综合</v>
      </c>
      <c r="I670" s="10" t="n">
        <v>2025</v>
      </c>
      <c r="J670" s="2" t="str">
        <v>是</v>
      </c>
      <c r="K670" s="2" t="str">
        <v>1534-5807</v>
      </c>
      <c r="L670" s="2" t="str">
        <v>1878-1551</v>
      </c>
      <c r="M670" s="7" t="str">
        <v>CELL BIOLOGY(SCIE);DEVELOPMENTAL BIOLOGY(SCIE)</v>
      </c>
      <c r="N670" s="7" t="str">
        <v>两份公开汇编一致</v>
      </c>
      <c r="O670" s="7" t="str"/>
      <c r="P670" s="15" t="str">
        <v>JIF来源</v>
      </c>
      <c r="Q670" s="15" t="str">
        <v>分区来源</v>
      </c>
      <c r="R670" s="15" t="str"/>
      <c r="S670" s="14" t="str">
        <v>https://www.journals.elsevier.com/developmental-cell</v>
      </c>
      <c r="T670" s="7" t="str">
        <v>ISSN匹配公开元数据；未逐站复核</v>
      </c>
      <c r="U670" s="2" t="str">
        <v>官网来源</v>
      </c>
      <c r="V670" s="2" t="n">
        <v>2026</v>
      </c>
    </row>
    <row r="671" ht="34" customHeight="1">
      <c r="A671" s="7" t="str">
        <v>EMBO JOURNAL</v>
      </c>
      <c r="B671" s="7" t="str">
        <v>细胞分子发育与生理</v>
      </c>
      <c r="C671" s="11" t="n">
        <v>1</v>
      </c>
      <c r="D671" s="12" t="n">
        <v>8.4</v>
      </c>
      <c r="E671" s="13" t="n">
        <v>2025</v>
      </c>
      <c r="F671" s="7" t="str">
        <v>其他</v>
      </c>
      <c r="G671" s="7" t="str">
        <v>经典专业刊</v>
      </c>
      <c r="H671" s="7" t="str">
        <v>研究/方法/综合</v>
      </c>
      <c r="I671" s="10" t="n">
        <v>2025</v>
      </c>
      <c r="J671" s="2" t="str">
        <v>是</v>
      </c>
      <c r="K671" s="2" t="str">
        <v>0261-4189</v>
      </c>
      <c r="L671" s="2" t="str">
        <v>1460-2075</v>
      </c>
      <c r="M671" s="7" t="str">
        <v>BIOCHEMISTRY &amp; MOLECULAR BIOLOGY(SCIE);CELL BIOLOGY(SCIE)</v>
      </c>
      <c r="N671" s="7" t="str">
        <v>两份公开汇编一致</v>
      </c>
      <c r="O671" s="7" t="str"/>
      <c r="P671" s="15" t="str">
        <v>JIF来源</v>
      </c>
      <c r="Q671" s="15" t="str">
        <v>分区来源</v>
      </c>
      <c r="R671" s="15" t="str"/>
      <c r="S671" s="14" t="str">
        <v>http://emboj.embopress.org/</v>
      </c>
      <c r="T671" s="7" t="str">
        <v>ISSN匹配公开元数据；未逐站复核</v>
      </c>
      <c r="U671" s="2" t="str">
        <v>官网来源</v>
      </c>
      <c r="V671" s="2" t="n">
        <v>2026</v>
      </c>
    </row>
    <row r="672" ht="34" customHeight="1">
      <c r="A672" s="7" t="str">
        <v>EMBO Molecular Medicine</v>
      </c>
      <c r="B672" s="7" t="str">
        <v>细胞分子发育与生理</v>
      </c>
      <c r="C672" s="11" t="n">
        <v>1</v>
      </c>
      <c r="D672" s="12" t="n">
        <v>7.9</v>
      </c>
      <c r="E672" s="13" t="n">
        <v>2025</v>
      </c>
      <c r="F672" s="7" t="str">
        <v>其他</v>
      </c>
      <c r="G672" s="7" t="str">
        <v>领域期刊/新兴刊</v>
      </c>
      <c r="H672" s="7" t="str">
        <v>研究/方法/综合</v>
      </c>
      <c r="I672" s="10" t="n">
        <v>2025</v>
      </c>
      <c r="J672" s="2" t="str">
        <v>是</v>
      </c>
      <c r="K672" s="2" t="str">
        <v>1757-4676</v>
      </c>
      <c r="L672" s="2" t="str">
        <v>1757-4684</v>
      </c>
      <c r="M672" s="7" t="str">
        <v>MEDICINE, RESEARCH &amp; EXPERIMENTAL(SCIE)</v>
      </c>
      <c r="N672" s="7" t="str">
        <v>两份公开汇编一致</v>
      </c>
      <c r="O672" s="7" t="str"/>
      <c r="P672" s="15" t="str">
        <v>JIF来源</v>
      </c>
      <c r="Q672" s="15" t="str">
        <v>分区来源</v>
      </c>
      <c r="R672" s="15" t="str"/>
      <c r="S672" s="14" t="str">
        <v>https://www.embopress.org/journal/17574684</v>
      </c>
      <c r="T672" s="7" t="str">
        <v>ISSN匹配公开元数据；未逐站复核</v>
      </c>
      <c r="U672" s="2" t="str">
        <v>官网来源</v>
      </c>
      <c r="V672" s="2" t="n">
        <v>2026</v>
      </c>
    </row>
    <row r="673" ht="34" customHeight="1">
      <c r="A673" s="7" t="str">
        <v>Molecular Systems Biology</v>
      </c>
      <c r="B673" s="7" t="str">
        <v>细胞分子发育与生理</v>
      </c>
      <c r="C673" s="11" t="n">
        <v>1</v>
      </c>
      <c r="D673" s="12" t="n">
        <v>6.7</v>
      </c>
      <c r="E673" s="13" t="n">
        <v>2025</v>
      </c>
      <c r="F673" s="7" t="str">
        <v>其他</v>
      </c>
      <c r="G673" s="7" t="str">
        <v>领域期刊/新兴刊</v>
      </c>
      <c r="H673" s="7" t="str">
        <v>研究/方法/综合</v>
      </c>
      <c r="I673" s="10" t="n">
        <v>2025</v>
      </c>
      <c r="J673" s="2" t="str">
        <v>是</v>
      </c>
      <c r="K673" s="2" t="str">
        <v>1744-4292</v>
      </c>
      <c r="L673" s="2" t="str">
        <v>1744-4292</v>
      </c>
      <c r="M673" s="7" t="str">
        <v>BIOCHEMISTRY &amp; MOLECULAR BIOLOGY(SCIE)</v>
      </c>
      <c r="N673" s="7" t="str">
        <v>两份公开汇编一致</v>
      </c>
      <c r="O673" s="7" t="str"/>
      <c r="P673" s="15" t="str">
        <v>JIF来源</v>
      </c>
      <c r="Q673" s="15" t="str">
        <v>分区来源</v>
      </c>
      <c r="R673" s="15" t="str"/>
      <c r="S673" s="14" t="str">
        <v>http://msb.embopress.org/</v>
      </c>
      <c r="T673" s="7" t="str">
        <v>ISSN匹配公开元数据；未逐站复核</v>
      </c>
      <c r="U673" s="2" t="str">
        <v>官网来源</v>
      </c>
      <c r="V673" s="2" t="n">
        <v>2026</v>
      </c>
    </row>
    <row r="674" ht="34" customHeight="1">
      <c r="A674" s="7" t="str">
        <v>CURRENT BIOLOGY</v>
      </c>
      <c r="B674" s="7" t="str">
        <v>细胞分子发育与生理</v>
      </c>
      <c r="C674" s="11" t="n">
        <v>1</v>
      </c>
      <c r="D674" s="12" t="n">
        <v>7.7</v>
      </c>
      <c r="E674" s="13" t="n">
        <v>2025</v>
      </c>
      <c r="F674" s="7" t="str">
        <v>Cell Press（含合作刊）</v>
      </c>
      <c r="G674" s="7" t="str">
        <v>领域期刊/新兴刊</v>
      </c>
      <c r="H674" s="7" t="str">
        <v>研究/方法/综合</v>
      </c>
      <c r="I674" s="10" t="n">
        <v>2025</v>
      </c>
      <c r="J674" s="2" t="str">
        <v>是</v>
      </c>
      <c r="K674" s="2" t="str">
        <v>0960-9822</v>
      </c>
      <c r="L674" s="2" t="str">
        <v>1879-0445</v>
      </c>
      <c r="M674" s="7" t="str">
        <v>BIOCHEMISTRY &amp; MOLECULAR BIOLOGY(SCIE);BIOLOGY(SCIE);CELL BIOLOGY(SCIE)</v>
      </c>
      <c r="N674" s="7" t="str">
        <v>两份公开汇编一致</v>
      </c>
      <c r="O674" s="7" t="str"/>
      <c r="P674" s="15" t="str">
        <v>JIF来源</v>
      </c>
      <c r="Q674" s="15" t="str">
        <v>分区来源</v>
      </c>
      <c r="R674" s="15" t="str"/>
      <c r="S674" s="14" t="str">
        <v>https://www.sciencedirect.com/journal/current-biology</v>
      </c>
      <c r="T674" s="7" t="str">
        <v>ISSN匹配公开元数据；未逐站复核</v>
      </c>
      <c r="U674" s="2" t="str">
        <v>官网来源</v>
      </c>
      <c r="V674" s="2" t="n">
        <v>2026</v>
      </c>
    </row>
    <row r="675" ht="34" customHeight="1">
      <c r="A675" s="7" t="str">
        <v>Cell Chemical Biology</v>
      </c>
      <c r="B675" s="7" t="str">
        <v>细胞分子发育与生理</v>
      </c>
      <c r="C675" s="11" t="n">
        <v>1</v>
      </c>
      <c r="D675" s="12" t="n">
        <v>9</v>
      </c>
      <c r="E675" s="13" t="n">
        <v>2025</v>
      </c>
      <c r="F675" s="7" t="str">
        <v>Cell Press（含合作刊）</v>
      </c>
      <c r="G675" s="7" t="str">
        <v>领域期刊/新兴刊</v>
      </c>
      <c r="H675" s="7" t="str">
        <v>研究/方法/综合</v>
      </c>
      <c r="I675" s="10" t="n">
        <v>2025</v>
      </c>
      <c r="J675" s="2" t="str">
        <v>是</v>
      </c>
      <c r="K675" s="2" t="str">
        <v>2451-9456</v>
      </c>
      <c r="L675" s="2" t="str">
        <v>2451-9448</v>
      </c>
      <c r="M675" s="7" t="str">
        <v>BIOCHEMISTRY &amp; MOLECULAR BIOLOGY(SCIE)</v>
      </c>
      <c r="N675" s="7" t="str">
        <v>两份公开汇编一致</v>
      </c>
      <c r="O675" s="7" t="str"/>
      <c r="P675" s="15" t="str">
        <v>JIF来源</v>
      </c>
      <c r="Q675" s="15" t="str">
        <v>分区来源</v>
      </c>
      <c r="R675" s="15" t="str"/>
      <c r="S675" s="14" t="str">
        <v>https://www.cell.com/cell-chemical-biology/home</v>
      </c>
      <c r="T675" s="7" t="str">
        <v>ISSN匹配公开元数据；未逐站复核</v>
      </c>
      <c r="U675" s="2" t="str">
        <v>官网来源</v>
      </c>
      <c r="V675" s="2" t="n">
        <v>2026</v>
      </c>
    </row>
    <row r="676" ht="34" customHeight="1">
      <c r="A676" s="7" t="str">
        <v>Cell Reports</v>
      </c>
      <c r="B676" s="7" t="str">
        <v>细胞分子发育与生理</v>
      </c>
      <c r="C676" s="11" t="n">
        <v>1</v>
      </c>
      <c r="D676" s="12" t="n">
        <v>7.7</v>
      </c>
      <c r="E676" s="13" t="n">
        <v>2025</v>
      </c>
      <c r="F676" s="7" t="str">
        <v>Cell Press（含合作刊）</v>
      </c>
      <c r="G676" s="7" t="str">
        <v>领域期刊/新兴刊</v>
      </c>
      <c r="H676" s="7" t="str">
        <v>研究/方法/综合</v>
      </c>
      <c r="I676" s="10" t="n">
        <v>2025</v>
      </c>
      <c r="J676" s="2" t="str">
        <v>是</v>
      </c>
      <c r="K676" s="2" t="str">
        <v>2211-1247</v>
      </c>
      <c r="L676" s="2" t="str">
        <v>2211-1247</v>
      </c>
      <c r="M676" s="7" t="str">
        <v>CELL BIOLOGY(SCIE)</v>
      </c>
      <c r="N676" s="7" t="str">
        <v>两份公开汇编一致</v>
      </c>
      <c r="O676" s="7" t="str"/>
      <c r="P676" s="15" t="str">
        <v>JIF来源</v>
      </c>
      <c r="Q676" s="15" t="str">
        <v>分区来源</v>
      </c>
      <c r="R676" s="15" t="str"/>
      <c r="S676" s="14" t="str">
        <v>https://www.sciencedirect.com/journal/cell-reports</v>
      </c>
      <c r="T676" s="7" t="str">
        <v>ISSN匹配公开元数据；未逐站复核</v>
      </c>
      <c r="U676" s="2" t="str">
        <v>官网来源</v>
      </c>
      <c r="V676" s="2" t="n">
        <v>2026</v>
      </c>
    </row>
    <row r="677" ht="34" customHeight="1">
      <c r="A677" s="7" t="str">
        <v>Science Signaling</v>
      </c>
      <c r="B677" s="7" t="str">
        <v>细胞分子发育与生理</v>
      </c>
      <c r="C677" s="11" t="n">
        <v>1</v>
      </c>
      <c r="D677" s="12" t="n">
        <v>7</v>
      </c>
      <c r="E677" s="13" t="n">
        <v>2025</v>
      </c>
      <c r="F677" s="7" t="str">
        <v>Science / AAAS</v>
      </c>
      <c r="G677" s="7" t="str">
        <v>领域期刊/新兴刊</v>
      </c>
      <c r="H677" s="7" t="str">
        <v>研究/方法/综合</v>
      </c>
      <c r="I677" s="10" t="n">
        <v>2025</v>
      </c>
      <c r="J677" s="2" t="str">
        <v>是</v>
      </c>
      <c r="K677" s="2" t="str">
        <v>1945-0877</v>
      </c>
      <c r="L677" s="2" t="str">
        <v>1937-9145</v>
      </c>
      <c r="M677" s="7" t="str">
        <v>BIOCHEMISTRY &amp; MOLECULAR BIOLOGY(SCIE);CELL BIOLOGY(SCIE)</v>
      </c>
      <c r="N677" s="7" t="str">
        <v>两份公开汇编一致</v>
      </c>
      <c r="O677" s="7" t="str"/>
      <c r="P677" s="15" t="str">
        <v>JIF来源</v>
      </c>
      <c r="Q677" s="15" t="str">
        <v>分区来源</v>
      </c>
      <c r="R677" s="15" t="str"/>
      <c r="S677" s="14" t="str">
        <v>http://stke.sciencemag.org/index.dtl</v>
      </c>
      <c r="T677" s="7" t="str">
        <v>ISSN匹配公开元数据；未逐站复核</v>
      </c>
      <c r="U677" s="2" t="str">
        <v>官网来源</v>
      </c>
      <c r="V677" s="2" t="n">
        <v>2026</v>
      </c>
    </row>
    <row r="678" ht="34" customHeight="1">
      <c r="A678" s="7" t="str">
        <v>JOURNAL OF CELL BIOLOGY</v>
      </c>
      <c r="B678" s="7" t="str">
        <v>细胞分子发育与生理</v>
      </c>
      <c r="C678" s="11" t="n">
        <v>1</v>
      </c>
      <c r="D678" s="12" t="n">
        <v>6.1</v>
      </c>
      <c r="E678" s="13" t="n">
        <v>2025</v>
      </c>
      <c r="F678" s="7" t="str">
        <v>其他</v>
      </c>
      <c r="G678" s="7" t="str">
        <v>经典专业刊</v>
      </c>
      <c r="H678" s="7" t="str">
        <v>研究/方法/综合</v>
      </c>
      <c r="I678" s="10" t="n">
        <v>2025</v>
      </c>
      <c r="J678" s="2" t="str">
        <v>是</v>
      </c>
      <c r="K678" s="2" t="str">
        <v>0021-9525</v>
      </c>
      <c r="L678" s="2" t="str">
        <v>1540-8140</v>
      </c>
      <c r="M678" s="7" t="str">
        <v>CELL BIOLOGY(SCIE)</v>
      </c>
      <c r="N678" s="7" t="str">
        <v>两份公开汇编一致</v>
      </c>
      <c r="O678" s="7" t="str"/>
      <c r="P678" s="15" t="str">
        <v>JIF来源</v>
      </c>
      <c r="Q678" s="15" t="str">
        <v>分区来源</v>
      </c>
      <c r="R678" s="15" t="str"/>
      <c r="S678" s="14" t="str">
        <v>http://www.jcb.org/</v>
      </c>
      <c r="T678" s="7" t="str">
        <v>ISSN匹配公开元数据；未逐站复核</v>
      </c>
      <c r="U678" s="2" t="str">
        <v>官网来源</v>
      </c>
      <c r="V678" s="2" t="n">
        <v>2026</v>
      </c>
    </row>
    <row r="679" ht="34" customHeight="1">
      <c r="A679" s="7" t="str">
        <v>EMBO REPORTS</v>
      </c>
      <c r="B679" s="7" t="str">
        <v>细胞分子发育与生理</v>
      </c>
      <c r="C679" s="11" t="n">
        <v>1</v>
      </c>
      <c r="D679" s="12" t="n">
        <v>6</v>
      </c>
      <c r="E679" s="13" t="n">
        <v>2025</v>
      </c>
      <c r="F679" s="7" t="str">
        <v>其他</v>
      </c>
      <c r="G679" s="7" t="str">
        <v>领域期刊/新兴刊</v>
      </c>
      <c r="H679" s="7" t="str">
        <v>研究/方法/综合</v>
      </c>
      <c r="I679" s="10" t="n">
        <v>2025</v>
      </c>
      <c r="J679" s="2" t="str">
        <v>是</v>
      </c>
      <c r="K679" s="2" t="str">
        <v>1469-221X</v>
      </c>
      <c r="L679" s="2" t="str">
        <v>1469-3178</v>
      </c>
      <c r="M679" s="7" t="str">
        <v>BIOCHEMISTRY &amp; MOLECULAR BIOLOGY(SCIE);CELL BIOLOGY(SCIE)</v>
      </c>
      <c r="N679" s="7" t="str">
        <v>两份公开汇编一致</v>
      </c>
      <c r="O679" s="7" t="str"/>
      <c r="P679" s="15" t="str">
        <v>JIF来源</v>
      </c>
      <c r="Q679" s="15" t="str">
        <v>分区来源</v>
      </c>
      <c r="R679" s="15" t="str"/>
      <c r="S679" s="14" t="str">
        <v>http://embor.embopress.org/</v>
      </c>
      <c r="T679" s="7" t="str">
        <v>ISSN匹配公开元数据；未逐站复核</v>
      </c>
      <c r="U679" s="2" t="str">
        <v>官网来源</v>
      </c>
      <c r="V679" s="2" t="n">
        <v>2026</v>
      </c>
    </row>
    <row r="680" ht="34" customHeight="1">
      <c r="A680" s="7" t="str">
        <v>Communications Biology</v>
      </c>
      <c r="B680" s="7" t="str">
        <v>细胞分子发育与生理</v>
      </c>
      <c r="C680" s="11" t="n">
        <v>1</v>
      </c>
      <c r="D680" s="12" t="n">
        <v>5.8</v>
      </c>
      <c r="E680" s="13" t="n">
        <v>2025</v>
      </c>
      <c r="F680" s="7" t="str">
        <v>Nature Portfolio（含合作刊）</v>
      </c>
      <c r="G680" s="7" t="str">
        <v>领域期刊/新兴刊</v>
      </c>
      <c r="H680" s="7" t="str">
        <v>研究/方法/综合</v>
      </c>
      <c r="I680" s="10" t="n">
        <v>2025</v>
      </c>
      <c r="J680" s="2" t="str">
        <v>是</v>
      </c>
      <c r="K680" s="2" t="str"/>
      <c r="L680" s="2" t="str">
        <v>2399-3642</v>
      </c>
      <c r="M680" s="7" t="str">
        <v>BIOLOGY(SCIE)</v>
      </c>
      <c r="N680" s="7" t="str">
        <v>两份公开汇编一致</v>
      </c>
      <c r="O680" s="7" t="str"/>
      <c r="P680" s="15" t="str">
        <v>JIF来源</v>
      </c>
      <c r="Q680" s="15" t="str">
        <v>分区来源</v>
      </c>
      <c r="R680" s="15" t="str"/>
      <c r="S680" s="14" t="str">
        <v>https://www.nature.com/commsbio/</v>
      </c>
      <c r="T680" s="7" t="str">
        <v>ISSN匹配公开元数据；未逐站复核</v>
      </c>
      <c r="U680" s="2" t="str">
        <v>官网来源</v>
      </c>
      <c r="V680" s="2" t="n">
        <v>2026</v>
      </c>
    </row>
    <row r="681" ht="34" customHeight="1">
      <c r="A681" s="7" t="str">
        <v>Stem Cell Reports</v>
      </c>
      <c r="B681" s="7" t="str">
        <v>细胞分子发育与生理</v>
      </c>
      <c r="C681" s="11" t="n">
        <v>1</v>
      </c>
      <c r="D681" s="12" t="n">
        <v>5.6</v>
      </c>
      <c r="E681" s="13" t="n">
        <v>2025</v>
      </c>
      <c r="F681" s="7" t="str">
        <v>Cell Press（含合作刊）</v>
      </c>
      <c r="G681" s="7" t="str">
        <v>领域期刊/新兴刊</v>
      </c>
      <c r="H681" s="7" t="str">
        <v>研究/方法/综合</v>
      </c>
      <c r="I681" s="10" t="n">
        <v>2025</v>
      </c>
      <c r="J681" s="2" t="str">
        <v>是</v>
      </c>
      <c r="K681" s="2" t="str">
        <v>2213-6711</v>
      </c>
      <c r="L681" s="2" t="str">
        <v>2213-6711</v>
      </c>
      <c r="M681" s="7" t="str">
        <v>CELL &amp; TISSUE ENGINEERING(SCIE);CELL BIOLOGY(SCIE)</v>
      </c>
      <c r="N681" s="7" t="str">
        <v>两份公开汇编一致</v>
      </c>
      <c r="O681" s="7" t="str"/>
      <c r="P681" s="15" t="str">
        <v>JIF来源</v>
      </c>
      <c r="Q681" s="15" t="str">
        <v>分区来源</v>
      </c>
      <c r="R681" s="15" t="str"/>
      <c r="S681" s="14" t="str">
        <v>https://www.journals.elsevier.com/stem-cell-reports</v>
      </c>
      <c r="T681" s="7" t="str">
        <v>ISSN匹配公开元数据；未逐站复核</v>
      </c>
      <c r="U681" s="2" t="str">
        <v>官网来源</v>
      </c>
      <c r="V681" s="2" t="n">
        <v>2026</v>
      </c>
    </row>
    <row r="682" ht="34" customHeight="1">
      <c r="A682" s="7" t="str">
        <v>ZOOLOGICAL RESEARCH</v>
      </c>
      <c r="B682" s="7" t="str">
        <v>细胞分子发育与生理</v>
      </c>
      <c r="C682" s="11" t="n">
        <v>1</v>
      </c>
      <c r="D682" s="12" t="n">
        <v>5.6</v>
      </c>
      <c r="E682" s="13" t="n">
        <v>2025</v>
      </c>
      <c r="F682" s="7" t="str">
        <v>其他</v>
      </c>
      <c r="G682" s="7" t="str">
        <v>领域期刊/新兴刊</v>
      </c>
      <c r="H682" s="7" t="str">
        <v>研究/方法/综合</v>
      </c>
      <c r="I682" s="10" t="n">
        <v>2025</v>
      </c>
      <c r="J682" s="2" t="str">
        <v>是</v>
      </c>
      <c r="K682" s="2" t="str">
        <v>2095-8137</v>
      </c>
      <c r="L682" s="2" t="str">
        <v>2095-8137</v>
      </c>
      <c r="M682" s="7" t="str">
        <v>ZOOLOGY(SCIE)</v>
      </c>
      <c r="N682" s="7" t="str">
        <v>两份公开汇编一致</v>
      </c>
      <c r="O682" s="7" t="str"/>
      <c r="P682" s="15" t="str">
        <v>JIF来源</v>
      </c>
      <c r="Q682" s="15" t="str">
        <v>分区来源</v>
      </c>
      <c r="R682" s="15" t="str"/>
      <c r="S682" s="14" t="str">
        <v>http://www.zoores.ac.cn/EN/2095-8137/home.shtml</v>
      </c>
      <c r="T682" s="7" t="str">
        <v>ISSN匹配公开元数据；未逐站复核</v>
      </c>
      <c r="U682" s="2" t="str">
        <v>官网来源</v>
      </c>
      <c r="V682" s="2" t="n">
        <v>2026</v>
      </c>
    </row>
    <row r="683" ht="34" customHeight="1">
      <c r="A683" s="7" t="str">
        <v>Integrative Zoology</v>
      </c>
      <c r="B683" s="7" t="str">
        <v>细胞分子发育与生理</v>
      </c>
      <c r="C683" s="11" t="n">
        <v>1</v>
      </c>
      <c r="D683" s="12" t="n">
        <v>3.7</v>
      </c>
      <c r="E683" s="13" t="n">
        <v>2025</v>
      </c>
      <c r="F683" s="7" t="str">
        <v>其他</v>
      </c>
      <c r="G683" s="7" t="str">
        <v>领域期刊/新兴刊</v>
      </c>
      <c r="H683" s="7" t="str">
        <v>研究/方法/综合</v>
      </c>
      <c r="I683" s="10" t="n">
        <v>2025</v>
      </c>
      <c r="J683" s="2" t="str">
        <v>是</v>
      </c>
      <c r="K683" s="2" t="str">
        <v>1749-4877</v>
      </c>
      <c r="L683" s="2" t="str">
        <v>1749-4869</v>
      </c>
      <c r="M683" s="7" t="str">
        <v>ZOOLOGY(SCIE)</v>
      </c>
      <c r="N683" s="7" t="str">
        <v>两份公开汇编一致</v>
      </c>
      <c r="O683" s="7" t="str"/>
      <c r="P683" s="15" t="str">
        <v>JIF来源</v>
      </c>
      <c r="Q683" s="15" t="str">
        <v>分区来源</v>
      </c>
      <c r="R683" s="15" t="str"/>
      <c r="S683" s="14" t="str">
        <v>https://onlinelibrary.wiley.com/journal/17494877</v>
      </c>
      <c r="T683" s="7" t="str">
        <v>ISSN匹配公开元数据；未逐站复核</v>
      </c>
      <c r="U683" s="2" t="str">
        <v>官网来源</v>
      </c>
      <c r="V683" s="2" t="n">
        <v>2026</v>
      </c>
    </row>
    <row r="684" ht="34" customHeight="1">
      <c r="A684" s="7" t="str">
        <v>TRENDS IN IMMUNOLOGY</v>
      </c>
      <c r="B684" s="7" t="str">
        <v>细胞分子发育与生理</v>
      </c>
      <c r="C684" s="11" t="n">
        <v>2</v>
      </c>
      <c r="D684" s="12" t="n">
        <v>13.1</v>
      </c>
      <c r="E684" s="13" t="n">
        <v>2025</v>
      </c>
      <c r="F684" s="7" t="str">
        <v>Cell Press（含合作刊）</v>
      </c>
      <c r="G684" s="7" t="str">
        <v>领域期刊/新兴刊</v>
      </c>
      <c r="H684" s="7" t="str">
        <v>综述为主</v>
      </c>
      <c r="I684" s="10" t="n">
        <v>2025</v>
      </c>
      <c r="J684" s="2" t="str">
        <v>否</v>
      </c>
      <c r="K684" s="2" t="str">
        <v>1471-4906</v>
      </c>
      <c r="L684" s="2" t="str">
        <v>1471-4981</v>
      </c>
      <c r="M684" s="7" t="str">
        <v>IMMUNOLOGY(SCIE)</v>
      </c>
      <c r="N684" s="7" t="str">
        <v>两份公开汇编一致</v>
      </c>
      <c r="O684" s="7" t="str"/>
      <c r="P684" s="15" t="str">
        <v>JIF来源</v>
      </c>
      <c r="Q684" s="15" t="str">
        <v>分区来源</v>
      </c>
      <c r="R684" s="15" t="str"/>
      <c r="S684" s="14" t="str">
        <v>https://www.journals.elsevier.com/trends-in-immunology</v>
      </c>
      <c r="T684" s="7" t="str">
        <v>ISSN匹配公开元数据；未逐站复核</v>
      </c>
      <c r="U684" s="2" t="str">
        <v>官网来源</v>
      </c>
      <c r="V684" s="2" t="n">
        <v>2026</v>
      </c>
    </row>
    <row r="685" ht="34" customHeight="1">
      <c r="A685" s="7" t="str">
        <v>Cell Communication and Signaling</v>
      </c>
      <c r="B685" s="7" t="str">
        <v>细胞分子发育与生理</v>
      </c>
      <c r="C685" s="11" t="n">
        <v>2</v>
      </c>
      <c r="D685" s="12" t="n">
        <v>11.6</v>
      </c>
      <c r="E685" s="13" t="n">
        <v>2025</v>
      </c>
      <c r="F685" s="7" t="str">
        <v>其他</v>
      </c>
      <c r="G685" s="7" t="str">
        <v>领域期刊/新兴刊</v>
      </c>
      <c r="H685" s="7" t="str">
        <v>研究/方法/综合</v>
      </c>
      <c r="I685" s="10" t="n">
        <v>2025</v>
      </c>
      <c r="J685" s="2" t="str">
        <v>是</v>
      </c>
      <c r="K685" s="2" t="str"/>
      <c r="L685" s="2" t="str">
        <v>1478-811X</v>
      </c>
      <c r="M685" s="7" t="str">
        <v>CELL BIOLOGY(SCIE)</v>
      </c>
      <c r="N685" s="7" t="str">
        <v>两份公开汇编一致</v>
      </c>
      <c r="O685" s="7" t="str"/>
      <c r="P685" s="15" t="str">
        <v>JIF来源</v>
      </c>
      <c r="Q685" s="15" t="str">
        <v>分区来源</v>
      </c>
      <c r="R685" s="15" t="str"/>
      <c r="S685" s="14" t="str">
        <v>https://biosignaling.biomedcentral.com/</v>
      </c>
      <c r="T685" s="7" t="str">
        <v>ISSN匹配公开元数据；未逐站复核</v>
      </c>
      <c r="U685" s="2" t="str">
        <v>官网来源</v>
      </c>
      <c r="V685" s="2" t="n">
        <v>2026</v>
      </c>
    </row>
    <row r="686" ht="34" customHeight="1">
      <c r="A686" s="7" t="str">
        <v>International Journal of Biological Macromolecules</v>
      </c>
      <c r="B686" s="7" t="str">
        <v>细胞分子发育与生理</v>
      </c>
      <c r="C686" s="11" t="n">
        <v>2</v>
      </c>
      <c r="D686" s="12" t="n">
        <v>8.7</v>
      </c>
      <c r="E686" s="13" t="n">
        <v>2025</v>
      </c>
      <c r="F686" s="7" t="str">
        <v>其他</v>
      </c>
      <c r="G686" s="7" t="str">
        <v>领域期刊/新兴刊</v>
      </c>
      <c r="H686" s="7" t="str">
        <v>研究/方法/综合</v>
      </c>
      <c r="I686" s="10" t="n">
        <v>2025</v>
      </c>
      <c r="J686" s="2" t="str">
        <v>是</v>
      </c>
      <c r="K686" s="2" t="str">
        <v>0141-8130</v>
      </c>
      <c r="L686" s="2" t="str">
        <v>1879-0003</v>
      </c>
      <c r="M686" s="7" t="str">
        <v>BIOCHEMISTRY &amp; MOLECULAR BIOLOGY(SCIE);CHEMISTRY, APPLIED(SCIE);POLYMER SCIENCE(SCIE)</v>
      </c>
      <c r="N686" s="7" t="str">
        <v>两份公开汇编一致</v>
      </c>
      <c r="O686" s="7" t="str"/>
      <c r="P686" s="15" t="str">
        <v>JIF来源</v>
      </c>
      <c r="Q686" s="15" t="str">
        <v>分区来源</v>
      </c>
      <c r="R686" s="15" t="str"/>
      <c r="S686" s="14" t="str">
        <v>http://www.journals.elsevier.com/international-journal-of-biological-macromolecules/</v>
      </c>
      <c r="T686" s="7" t="str">
        <v>ISSN匹配公开元数据；未逐站复核</v>
      </c>
      <c r="U686" s="2" t="str">
        <v>官网来源</v>
      </c>
      <c r="V686" s="2" t="n">
        <v>2026</v>
      </c>
    </row>
    <row r="687" ht="34" customHeight="1">
      <c r="A687" s="7" t="str">
        <v>Cell Reports Physical Science</v>
      </c>
      <c r="B687" s="7" t="str">
        <v>细胞分子发育与生理</v>
      </c>
      <c r="C687" s="11" t="n">
        <v>2</v>
      </c>
      <c r="D687" s="12" t="n">
        <v>6.9</v>
      </c>
      <c r="E687" s="13" t="n">
        <v>2025</v>
      </c>
      <c r="F687" s="7" t="str">
        <v>Cell Press（含合作刊）</v>
      </c>
      <c r="G687" s="7" t="str">
        <v>领域期刊/新兴刊</v>
      </c>
      <c r="H687" s="7" t="str">
        <v>研究/方法/综合</v>
      </c>
      <c r="I687" s="10" t="n">
        <v>2025</v>
      </c>
      <c r="J687" s="2" t="str">
        <v>否</v>
      </c>
      <c r="K687" s="2" t="str"/>
      <c r="L687" s="2" t="str">
        <v>2666-3864</v>
      </c>
      <c r="M687" s="7" t="str">
        <v>CHEMISTRY, MULTIDISCIPLINARY(SCIE);ENERGY &amp; FUELS(SCIE);MATERIALS SCIENCE, MULTIDISCIPLINARY(SCIE);PHYSICS, MULTIDISCIPLINARY(SCIE)</v>
      </c>
      <c r="N687" s="7" t="str">
        <v>两份公开汇编一致</v>
      </c>
      <c r="O687" s="7" t="str"/>
      <c r="P687" s="15" t="str">
        <v>JIF来源</v>
      </c>
      <c r="Q687" s="15" t="str">
        <v>分区来源</v>
      </c>
      <c r="R687" s="15" t="str"/>
      <c r="S687" s="14" t="str">
        <v>https://www.journals.elsevier.com/filtration-industry-analyst</v>
      </c>
      <c r="T687" s="7" t="str">
        <v>ISSN匹配公开元数据；未逐站复核</v>
      </c>
      <c r="U687" s="2" t="str">
        <v>官网来源</v>
      </c>
      <c r="V687" s="2" t="n">
        <v>2026</v>
      </c>
    </row>
    <row r="688" ht="34" customHeight="1">
      <c r="A688" s="7" t="str">
        <v>npj Vaccines</v>
      </c>
      <c r="B688" s="7" t="str">
        <v>细胞分子发育与生理</v>
      </c>
      <c r="C688" s="11" t="n">
        <v>2</v>
      </c>
      <c r="D688" s="12" t="n">
        <v>7.2</v>
      </c>
      <c r="E688" s="13" t="n">
        <v>2025</v>
      </c>
      <c r="F688" s="7" t="str">
        <v>Nature Portfolio（含合作刊）</v>
      </c>
      <c r="G688" s="7" t="str">
        <v>领域期刊/新兴刊</v>
      </c>
      <c r="H688" s="7" t="str">
        <v>研究/方法/综合</v>
      </c>
      <c r="I688" s="10" t="n">
        <v>2025</v>
      </c>
      <c r="J688" s="2" t="str">
        <v>是</v>
      </c>
      <c r="K688" s="2" t="str"/>
      <c r="L688" s="2" t="str">
        <v>2059-0105</v>
      </c>
      <c r="M688" s="7" t="str">
        <v>IMMUNOLOGY(SCIE);MEDICINE, RESEARCH &amp; EXPERIMENTAL(SCIE)</v>
      </c>
      <c r="N688" s="7" t="str">
        <v>两份公开汇编一致</v>
      </c>
      <c r="O688" s="7" t="str"/>
      <c r="P688" s="15" t="str">
        <v>JIF来源</v>
      </c>
      <c r="Q688" s="15" t="str">
        <v>分区来源</v>
      </c>
      <c r="R688" s="15" t="str"/>
      <c r="S688" s="14" t="str">
        <v>https://www.nature.com/npjvaccines/</v>
      </c>
      <c r="T688" s="7" t="str">
        <v>ISSN匹配公开元数据；未逐站复核</v>
      </c>
      <c r="U688" s="2" t="str">
        <v>官网来源</v>
      </c>
      <c r="V688" s="2" t="n">
        <v>2026</v>
      </c>
    </row>
    <row r="689" ht="34" customHeight="1">
      <c r="A689" s="7" t="str">
        <v>Communications Medicine</v>
      </c>
      <c r="B689" s="7" t="str">
        <v>细胞分子发育与生理</v>
      </c>
      <c r="C689" s="11" t="n">
        <v>2</v>
      </c>
      <c r="D689" s="12" t="n">
        <v>7.4</v>
      </c>
      <c r="E689" s="13" t="n">
        <v>2025</v>
      </c>
      <c r="F689" s="7" t="str">
        <v>Nature Portfolio（含合作刊）</v>
      </c>
      <c r="G689" s="7" t="str">
        <v>领域期刊/新兴刊</v>
      </c>
      <c r="H689" s="7" t="str">
        <v>研究/方法/综合</v>
      </c>
      <c r="I689" s="10" t="n">
        <v>2025</v>
      </c>
      <c r="J689" s="2" t="str">
        <v>否</v>
      </c>
      <c r="K689" s="2" t="str">
        <v>2730-664X</v>
      </c>
      <c r="L689" s="2" t="str">
        <v>2730-664X</v>
      </c>
      <c r="M689" s="7" t="str">
        <v>MEDICINE, RESEARCH &amp; EXPERIMENTAL(ESCI)</v>
      </c>
      <c r="N689" s="7" t="str">
        <v>两份公开汇编一致</v>
      </c>
      <c r="O689" s="7" t="str"/>
      <c r="P689" s="15" t="str">
        <v>JIF来源</v>
      </c>
      <c r="Q689" s="15" t="str">
        <v>分区来源</v>
      </c>
      <c r="R689" s="15" t="str"/>
      <c r="S689" s="14" t="str">
        <v>https://www.nature.com/commsmed/</v>
      </c>
      <c r="T689" s="7" t="str">
        <v>ISSN匹配公开元数据；未逐站复核</v>
      </c>
      <c r="U689" s="2" t="str">
        <v>官网来源</v>
      </c>
      <c r="V689" s="2" t="n">
        <v>2026</v>
      </c>
    </row>
    <row r="690" ht="34" customHeight="1">
      <c r="A690" s="7" t="str">
        <v>CELLULAR AND MOLECULAR LIFE SCIENCES</v>
      </c>
      <c r="B690" s="7" t="str">
        <v>细胞分子发育与生理</v>
      </c>
      <c r="C690" s="11" t="n">
        <v>2</v>
      </c>
      <c r="D690" s="12" t="n">
        <v>6.5</v>
      </c>
      <c r="E690" s="13" t="n">
        <v>2025</v>
      </c>
      <c r="F690" s="7" t="str">
        <v>其他</v>
      </c>
      <c r="G690" s="7" t="str">
        <v>领域期刊/新兴刊</v>
      </c>
      <c r="H690" s="7" t="str">
        <v>研究/方法/综合</v>
      </c>
      <c r="I690" s="10" t="n">
        <v>2025</v>
      </c>
      <c r="J690" s="2" t="str">
        <v>是</v>
      </c>
      <c r="K690" s="2" t="str">
        <v>1420-682X</v>
      </c>
      <c r="L690" s="2" t="str">
        <v>1420-9071</v>
      </c>
      <c r="M690" s="7" t="str">
        <v>BIOCHEMISTRY &amp; MOLECULAR BIOLOGY(SCIE);CELL BIOLOGY(SCIE)</v>
      </c>
      <c r="N690" s="7" t="str">
        <v>两份公开汇编一致</v>
      </c>
      <c r="O690" s="7" t="str"/>
      <c r="P690" s="15" t="str">
        <v>JIF来源</v>
      </c>
      <c r="Q690" s="15" t="str">
        <v>分区来源</v>
      </c>
      <c r="R690" s="15" t="str"/>
      <c r="S690" s="14" t="str">
        <v>http://www.springer.com/life+sciences/cell+biology/journal/18</v>
      </c>
      <c r="T690" s="7" t="str">
        <v>ISSN匹配公开元数据；未逐站复核</v>
      </c>
      <c r="U690" s="2" t="str">
        <v>官网来源</v>
      </c>
      <c r="V690" s="2" t="n">
        <v>2026</v>
      </c>
    </row>
    <row r="691" ht="34" customHeight="1">
      <c r="A691" s="7" t="str">
        <v>npj Aging</v>
      </c>
      <c r="B691" s="7" t="str">
        <v>细胞分子发育与生理</v>
      </c>
      <c r="C691" s="11" t="n">
        <v>2</v>
      </c>
      <c r="D691" s="12" t="n">
        <v>13</v>
      </c>
      <c r="E691" s="13" t="n">
        <v>2025</v>
      </c>
      <c r="F691" s="7" t="str">
        <v>Nature Portfolio（含合作刊）</v>
      </c>
      <c r="G691" s="7" t="str">
        <v>领域期刊/新兴刊</v>
      </c>
      <c r="H691" s="7" t="str">
        <v>研究/方法/综合</v>
      </c>
      <c r="I691" s="10" t="n">
        <v>2025</v>
      </c>
      <c r="J691" s="2" t="str">
        <v>否</v>
      </c>
      <c r="K691" s="2" t="str"/>
      <c r="L691" s="2" t="str">
        <v>2731-6068</v>
      </c>
      <c r="M691" s="7" t="str">
        <v>GERIATRICS &amp; GERONTOLOGY(ESCI)</v>
      </c>
      <c r="N691" s="7" t="str">
        <v>两份公开汇编一致</v>
      </c>
      <c r="O691" s="7" t="str"/>
      <c r="P691" s="15" t="str">
        <v>JIF来源</v>
      </c>
      <c r="Q691" s="15" t="str">
        <v>分区来源</v>
      </c>
      <c r="R691" s="15" t="str"/>
      <c r="S691" s="14" t="str">
        <v>https://www.nature.com/npjaging/</v>
      </c>
      <c r="T691" s="7" t="str">
        <v>出版社/期刊主页匹配</v>
      </c>
      <c r="U691" s="2" t="str">
        <v>官网来源</v>
      </c>
      <c r="V691" s="2" t="n">
        <v>2026</v>
      </c>
    </row>
    <row r="692" ht="34" customHeight="1">
      <c r="A692" s="7" t="str">
        <v>JOURNAL OF MOLECULAR BIOLOGY</v>
      </c>
      <c r="B692" s="7" t="str">
        <v>细胞分子发育与生理</v>
      </c>
      <c r="C692" s="11" t="n">
        <v>2</v>
      </c>
      <c r="D692" s="12" t="n">
        <v>4.7</v>
      </c>
      <c r="E692" s="13" t="n">
        <v>2025</v>
      </c>
      <c r="F692" s="7" t="str">
        <v>其他</v>
      </c>
      <c r="G692" s="7" t="str">
        <v>经典专业刊</v>
      </c>
      <c r="H692" s="7" t="str">
        <v>研究/方法/综合</v>
      </c>
      <c r="I692" s="10" t="n">
        <v>2025</v>
      </c>
      <c r="J692" s="2" t="str">
        <v>否</v>
      </c>
      <c r="K692" s="2" t="str">
        <v>0022-2836</v>
      </c>
      <c r="L692" s="2" t="str">
        <v>1089-8638</v>
      </c>
      <c r="M692" s="7" t="str">
        <v>BIOCHEMISTRY &amp; MOLECULAR BIOLOGY(SCIE)</v>
      </c>
      <c r="N692" s="7" t="str">
        <v>两份公开汇编一致</v>
      </c>
      <c r="O692" s="7" t="str"/>
      <c r="P692" s="15" t="str">
        <v>JIF来源</v>
      </c>
      <c r="Q692" s="15" t="str">
        <v>分区来源</v>
      </c>
      <c r="R692" s="15" t="str"/>
      <c r="S692" s="14" t="str">
        <v>http://www.elsevier.com/locate/issn/0022-2836</v>
      </c>
      <c r="T692" s="7" t="str">
        <v>ISSN匹配公开元数据；未逐站复核</v>
      </c>
      <c r="U692" s="2" t="str">
        <v>官网来源</v>
      </c>
      <c r="V692" s="2" t="n">
        <v>2026</v>
      </c>
    </row>
    <row r="693" ht="34" customHeight="1">
      <c r="A693" s="7" t="str">
        <v>MAMMAL REVIEW</v>
      </c>
      <c r="B693" s="7" t="str">
        <v>细胞分子发育与生理</v>
      </c>
      <c r="C693" s="11" t="n">
        <v>2</v>
      </c>
      <c r="D693" s="12" t="n">
        <v>3.3</v>
      </c>
      <c r="E693" s="13" t="n">
        <v>2025</v>
      </c>
      <c r="F693" s="7" t="str">
        <v>其他</v>
      </c>
      <c r="G693" s="7" t="str">
        <v>领域期刊/新兴刊</v>
      </c>
      <c r="H693" s="7" t="str">
        <v>研究/方法/综合</v>
      </c>
      <c r="I693" s="10" t="n">
        <v>2025</v>
      </c>
      <c r="J693" s="2" t="str">
        <v>否</v>
      </c>
      <c r="K693" s="2" t="str"/>
      <c r="L693" s="2" t="str">
        <v>1365-2907</v>
      </c>
      <c r="M693" s="7" t="str">
        <v>ECOLOGY(SCIE);ZOOLOGY(SCIE)</v>
      </c>
      <c r="N693" s="7" t="str">
        <v>两份公开汇编一致</v>
      </c>
      <c r="O693" s="7" t="str"/>
      <c r="P693" s="15" t="str">
        <v>JIF来源</v>
      </c>
      <c r="Q693" s="15" t="str">
        <v>分区来源</v>
      </c>
      <c r="R693" s="15" t="str"/>
      <c r="S693" s="14" t="str">
        <v>http://onlinelibrary.wiley.com/journal/10.1111/(ISSN)1365-2907</v>
      </c>
      <c r="T693" s="7" t="str">
        <v>ISSN匹配公开元数据；未逐站复核</v>
      </c>
      <c r="U693" s="2" t="str">
        <v>官网来源</v>
      </c>
      <c r="V693" s="2" t="n">
        <v>2026</v>
      </c>
    </row>
    <row r="694" ht="34" customHeight="1">
      <c r="A694" s="7" t="str">
        <v>STRUCTURE</v>
      </c>
      <c r="B694" s="7" t="str">
        <v>细胞分子发育与生理</v>
      </c>
      <c r="C694" s="11" t="n">
        <v>2</v>
      </c>
      <c r="D694" s="12" t="n">
        <v>4.6</v>
      </c>
      <c r="E694" s="13" t="n">
        <v>2025</v>
      </c>
      <c r="F694" s="7" t="str">
        <v>Cell Press（含合作刊）</v>
      </c>
      <c r="G694" s="7" t="str">
        <v>领域期刊/新兴刊</v>
      </c>
      <c r="H694" s="7" t="str">
        <v>研究/方法/综合</v>
      </c>
      <c r="I694" s="10" t="n">
        <v>2025</v>
      </c>
      <c r="J694" s="2" t="str">
        <v>是</v>
      </c>
      <c r="K694" s="2" t="str">
        <v>0969-2126</v>
      </c>
      <c r="L694" s="2" t="str">
        <v>1878-4186</v>
      </c>
      <c r="M694" s="7" t="str">
        <v>BIOCHEMISTRY &amp; MOLECULAR BIOLOGY(SCIE);BIOPHYSICS(SCIE);CELL BIOLOGY(SCIE)</v>
      </c>
      <c r="N694" s="7" t="str">
        <v>两份公开汇编一致</v>
      </c>
      <c r="O694" s="7" t="str"/>
      <c r="P694" s="15" t="str">
        <v>JIF来源</v>
      </c>
      <c r="Q694" s="15" t="str">
        <v>分区来源</v>
      </c>
      <c r="R694" s="15" t="str"/>
      <c r="S694" s="14" t="str">
        <v>https://www.sciencedirect.com/journal/structure</v>
      </c>
      <c r="T694" s="7" t="str">
        <v>ISSN匹配公开元数据；未逐站复核</v>
      </c>
      <c r="U694" s="2" t="str">
        <v>官网来源</v>
      </c>
      <c r="V694" s="2" t="n">
        <v>2026</v>
      </c>
    </row>
    <row r="695" ht="34" customHeight="1">
      <c r="A695" s="7" t="str">
        <v>FASEB JOURNAL</v>
      </c>
      <c r="B695" s="7" t="str">
        <v>细胞分子发育与生理</v>
      </c>
      <c r="C695" s="11" t="n">
        <v>2</v>
      </c>
      <c r="D695" s="12" t="n">
        <v>4.3</v>
      </c>
      <c r="E695" s="13" t="n">
        <v>2025</v>
      </c>
      <c r="F695" s="7" t="str">
        <v>其他</v>
      </c>
      <c r="G695" s="7" t="str">
        <v>领域期刊/新兴刊</v>
      </c>
      <c r="H695" s="7" t="str">
        <v>研究/方法/综合</v>
      </c>
      <c r="I695" s="10" t="n">
        <v>2025</v>
      </c>
      <c r="J695" s="2" t="str">
        <v>否</v>
      </c>
      <c r="K695" s="2" t="str">
        <v>0892-6638</v>
      </c>
      <c r="L695" s="2" t="str">
        <v>1530-6860</v>
      </c>
      <c r="M695" s="7" t="str">
        <v>BIOCHEMISTRY &amp; MOLECULAR BIOLOGY(SCIE);BIOLOGY(SCIE);CELL BIOLOGY(SCIE)</v>
      </c>
      <c r="N695" s="7" t="str">
        <v>两份公开汇编一致</v>
      </c>
      <c r="O695" s="7" t="str"/>
      <c r="P695" s="15" t="str">
        <v>JIF来源</v>
      </c>
      <c r="Q695" s="15" t="str">
        <v>分区来源</v>
      </c>
      <c r="R695" s="15" t="str"/>
      <c r="S695" s="14" t="str">
        <v>http://www.fasebj.org/</v>
      </c>
      <c r="T695" s="7" t="str">
        <v>ISSN匹配公开元数据；未逐站复核</v>
      </c>
      <c r="U695" s="2" t="str">
        <v>官网来源</v>
      </c>
      <c r="V695" s="2" t="n">
        <v>2026</v>
      </c>
    </row>
    <row r="696" ht="34" customHeight="1">
      <c r="A696" s="7" t="str">
        <v>FEBS Journal</v>
      </c>
      <c r="B696" s="7" t="str">
        <v>细胞分子发育与生理</v>
      </c>
      <c r="C696" s="11" t="n">
        <v>2</v>
      </c>
      <c r="D696" s="12" t="n">
        <v>4.2</v>
      </c>
      <c r="E696" s="13" t="n">
        <v>2025</v>
      </c>
      <c r="F696" s="7" t="str">
        <v>其他</v>
      </c>
      <c r="G696" s="7" t="str">
        <v>领域期刊/新兴刊</v>
      </c>
      <c r="H696" s="7" t="str">
        <v>研究/方法/综合</v>
      </c>
      <c r="I696" s="10" t="n">
        <v>2025</v>
      </c>
      <c r="J696" s="2" t="str">
        <v>否</v>
      </c>
      <c r="K696" s="2" t="str">
        <v>1742-464X</v>
      </c>
      <c r="L696" s="2" t="str">
        <v>1742-4658</v>
      </c>
      <c r="M696" s="7" t="str">
        <v>BIOCHEMISTRY &amp; MOLECULAR BIOLOGY(SCIE)</v>
      </c>
      <c r="N696" s="7" t="str">
        <v>两份公开汇编一致</v>
      </c>
      <c r="O696" s="7" t="str"/>
      <c r="P696" s="15" t="str">
        <v>JIF来源</v>
      </c>
      <c r="Q696" s="15" t="str">
        <v>分区来源</v>
      </c>
      <c r="R696" s="15" t="str"/>
      <c r="S696" s="14" t="str">
        <v>http://febs.onlinelibrary.wiley.com/hub/journal/10.1111/(ISSN)1742-4658/</v>
      </c>
      <c r="T696" s="7" t="str">
        <v>ISSN匹配公开元数据；未逐站复核</v>
      </c>
      <c r="U696" s="2" t="str">
        <v>官网来源</v>
      </c>
      <c r="V696" s="2" t="n">
        <v>2026</v>
      </c>
    </row>
    <row r="697" ht="34" customHeight="1">
      <c r="A697" s="7" t="str">
        <v>JOURNAL OF BIOLOGICAL CHEMISTRY</v>
      </c>
      <c r="B697" s="7" t="str">
        <v>细胞分子发育与生理</v>
      </c>
      <c r="C697" s="11" t="n">
        <v>2</v>
      </c>
      <c r="D697" s="12" t="n">
        <v>4.1</v>
      </c>
      <c r="E697" s="13" t="n">
        <v>2025</v>
      </c>
      <c r="F697" s="7" t="str">
        <v>其他</v>
      </c>
      <c r="G697" s="7" t="str">
        <v>经典专业刊</v>
      </c>
      <c r="H697" s="7" t="str">
        <v>研究/方法/综合</v>
      </c>
      <c r="I697" s="10" t="n">
        <v>2025</v>
      </c>
      <c r="J697" s="2" t="str">
        <v>否</v>
      </c>
      <c r="K697" s="2" t="str"/>
      <c r="L697" s="2" t="str">
        <v>1083-351X</v>
      </c>
      <c r="M697" s="7" t="str">
        <v>BIOCHEMISTRY &amp; MOLECULAR BIOLOGY(SCIE)</v>
      </c>
      <c r="N697" s="7" t="str">
        <v>两份公开汇编一致</v>
      </c>
      <c r="O697" s="7" t="str"/>
      <c r="P697" s="15" t="str">
        <v>JIF来源</v>
      </c>
      <c r="Q697" s="15" t="str">
        <v>分区来源</v>
      </c>
      <c r="R697" s="15" t="str"/>
      <c r="S697" s="14" t="str">
        <v>https://www.sciencedirect.com/journal/journal-of-biological-chemistry</v>
      </c>
      <c r="T697" s="7" t="str">
        <v>ISSN匹配公开元数据；未逐站复核</v>
      </c>
      <c r="U697" s="2" t="str">
        <v>官网来源</v>
      </c>
      <c r="V697" s="2" t="n">
        <v>2026</v>
      </c>
    </row>
    <row r="698" ht="34" customHeight="1">
      <c r="A698" s="7" t="str">
        <v>DEVELOPMENT</v>
      </c>
      <c r="B698" s="7" t="str">
        <v>细胞分子发育与生理</v>
      </c>
      <c r="C698" s="11" t="n">
        <v>2</v>
      </c>
      <c r="D698" s="12" t="n">
        <v>4</v>
      </c>
      <c r="E698" s="13" t="n">
        <v>2025</v>
      </c>
      <c r="F698" s="7" t="str">
        <v>其他</v>
      </c>
      <c r="G698" s="7" t="str">
        <v>经典专业刊</v>
      </c>
      <c r="H698" s="7" t="str">
        <v>研究/方法/综合</v>
      </c>
      <c r="I698" s="10" t="n">
        <v>2025</v>
      </c>
      <c r="J698" s="2" t="str">
        <v>否</v>
      </c>
      <c r="K698" s="2" t="str">
        <v>0950-1991</v>
      </c>
      <c r="L698" s="2" t="str">
        <v>1477-9129</v>
      </c>
      <c r="M698" s="7" t="str">
        <v>DEVELOPMENTAL BIOLOGY(SCIE)</v>
      </c>
      <c r="N698" s="7" t="str">
        <v>两份公开汇编一致</v>
      </c>
      <c r="O698" s="7" t="str"/>
      <c r="P698" s="15" t="str">
        <v>JIF来源</v>
      </c>
      <c r="Q698" s="15" t="str">
        <v>分区来源</v>
      </c>
      <c r="R698" s="15" t="str"/>
      <c r="S698" s="14" t="str">
        <v>http://dev.biologists.org/</v>
      </c>
      <c r="T698" s="7" t="str">
        <v>ISSN匹配公开元数据；未逐站复核</v>
      </c>
      <c r="U698" s="2" t="str">
        <v>官网来源</v>
      </c>
      <c r="V698" s="2" t="n">
        <v>2026</v>
      </c>
    </row>
    <row r="699" ht="34" customHeight="1">
      <c r="A699" s="7" t="str">
        <v>ZOOLOGICAL JOURNAL OF THE LINNEAN SOCIETY</v>
      </c>
      <c r="B699" s="7" t="str">
        <v>细胞分子发育与生理</v>
      </c>
      <c r="C699" s="11" t="n">
        <v>2</v>
      </c>
      <c r="D699" s="12" t="n">
        <v>3</v>
      </c>
      <c r="E699" s="13" t="n">
        <v>2025</v>
      </c>
      <c r="F699" s="7" t="str">
        <v>其他</v>
      </c>
      <c r="G699" s="7" t="str">
        <v>领域期刊/新兴刊</v>
      </c>
      <c r="H699" s="7" t="str">
        <v>研究/方法/综合</v>
      </c>
      <c r="I699" s="10" t="n">
        <v>2025</v>
      </c>
      <c r="J699" s="2" t="str">
        <v>是</v>
      </c>
      <c r="K699" s="2" t="str">
        <v>0024-4082</v>
      </c>
      <c r="L699" s="2" t="str">
        <v>1096-3642</v>
      </c>
      <c r="M699" s="7" t="str">
        <v>ZOOLOGY(SCIE)</v>
      </c>
      <c r="N699" s="7" t="str">
        <v>两份公开汇编一致</v>
      </c>
      <c r="O699" s="7" t="str"/>
      <c r="P699" s="15" t="str">
        <v>JIF来源</v>
      </c>
      <c r="Q699" s="15" t="str">
        <v>分区来源</v>
      </c>
      <c r="R699" s="15" t="str"/>
      <c r="S699" s="14" t="str">
        <v>https://academic.oup.com/zoolinnean</v>
      </c>
      <c r="T699" s="7" t="str">
        <v>ISSN匹配公开元数据；未逐站复核</v>
      </c>
      <c r="U699" s="2" t="str">
        <v>官网来源</v>
      </c>
      <c r="V699" s="2" t="n">
        <v>2026</v>
      </c>
    </row>
    <row r="700" ht="34" customHeight="1">
      <c r="A700" s="7" t="str">
        <v>MOLECULAR BIOLOGY OF THE CELL</v>
      </c>
      <c r="B700" s="7" t="str">
        <v>细胞分子发育与生理</v>
      </c>
      <c r="C700" s="11" t="n">
        <v>2</v>
      </c>
      <c r="D700" s="12" t="n">
        <v>3</v>
      </c>
      <c r="E700" s="13" t="n">
        <v>2025</v>
      </c>
      <c r="F700" s="7" t="str">
        <v>其他</v>
      </c>
      <c r="G700" s="7" t="str">
        <v>领域期刊/新兴刊</v>
      </c>
      <c r="H700" s="7" t="str">
        <v>研究/方法/综合</v>
      </c>
      <c r="I700" s="10" t="n">
        <v>2025</v>
      </c>
      <c r="J700" s="2" t="str">
        <v>否</v>
      </c>
      <c r="K700" s="2" t="str">
        <v>1059-1524</v>
      </c>
      <c r="L700" s="2" t="str">
        <v>1939-4586</v>
      </c>
      <c r="M700" s="7" t="str">
        <v>CELL BIOLOGY(SCIE)</v>
      </c>
      <c r="N700" s="7" t="str">
        <v>公开汇编已匹配</v>
      </c>
      <c r="O700" s="7" t="str"/>
      <c r="P700" s="15" t="str">
        <v>JIF来源</v>
      </c>
      <c r="Q700" s="15" t="str">
        <v>分区来源</v>
      </c>
      <c r="R700" s="15" t="str"/>
      <c r="S700" s="14" t="str">
        <v>http://www.molbiolcell.org/</v>
      </c>
      <c r="T700" s="7" t="str">
        <v>ISSN匹配公开元数据；未逐站复核</v>
      </c>
      <c r="U700" s="2" t="str">
        <v>官网来源</v>
      </c>
      <c r="V700" s="2" t="n">
        <v>2026</v>
      </c>
    </row>
    <row r="701" ht="34" customHeight="1">
      <c r="A701" s="7" t="str">
        <v>JOURNAL OF EXPERIMENTAL BIOLOGY</v>
      </c>
      <c r="B701" s="7" t="str">
        <v>细胞分子发育与生理</v>
      </c>
      <c r="C701" s="11" t="n">
        <v>2</v>
      </c>
      <c r="D701" s="12" t="n">
        <v>3</v>
      </c>
      <c r="E701" s="13" t="n">
        <v>2025</v>
      </c>
      <c r="F701" s="7" t="str">
        <v>其他</v>
      </c>
      <c r="G701" s="7" t="str">
        <v>经典专业刊</v>
      </c>
      <c r="H701" s="7" t="str">
        <v>研究/方法/综合</v>
      </c>
      <c r="I701" s="10" t="n">
        <v>2025</v>
      </c>
      <c r="J701" s="2" t="str">
        <v>否</v>
      </c>
      <c r="K701" s="2" t="str">
        <v>0022-0949</v>
      </c>
      <c r="L701" s="2" t="str">
        <v>1477-9145</v>
      </c>
      <c r="M701" s="7" t="str">
        <v>ZOOLOGY(SCIE)</v>
      </c>
      <c r="N701" s="7" t="str">
        <v>两份公开汇编一致</v>
      </c>
      <c r="O701" s="7" t="str"/>
      <c r="P701" s="15" t="str">
        <v>JIF来源</v>
      </c>
      <c r="Q701" s="15" t="str">
        <v>分区来源</v>
      </c>
      <c r="R701" s="15" t="str"/>
      <c r="S701" s="14" t="str">
        <v>http://jeb.biologists.org/</v>
      </c>
      <c r="T701" s="7" t="str">
        <v>ISSN匹配公开元数据；未逐站复核</v>
      </c>
      <c r="U701" s="2" t="str">
        <v>官网来源</v>
      </c>
      <c r="V701" s="2" t="n">
        <v>2026</v>
      </c>
    </row>
    <row r="702" ht="34" customHeight="1">
      <c r="A702" s="7" t="str">
        <v>BEHAVIORAL ECOLOGY</v>
      </c>
      <c r="B702" s="7" t="str">
        <v>细胞分子发育与生理</v>
      </c>
      <c r="C702" s="11" t="n">
        <v>2</v>
      </c>
      <c r="D702" s="12" t="n">
        <v>2.2</v>
      </c>
      <c r="E702" s="13" t="n">
        <v>2025</v>
      </c>
      <c r="F702" s="7" t="str">
        <v>其他</v>
      </c>
      <c r="G702" s="7" t="str">
        <v>领域期刊/新兴刊</v>
      </c>
      <c r="H702" s="7" t="str">
        <v>研究/方法/综合</v>
      </c>
      <c r="I702" s="10" t="n">
        <v>2025</v>
      </c>
      <c r="J702" s="2" t="str">
        <v>否</v>
      </c>
      <c r="K702" s="2" t="str">
        <v>1045-2249</v>
      </c>
      <c r="L702" s="2" t="str">
        <v>1465-7279</v>
      </c>
      <c r="M702" s="7" t="str">
        <v>BEHAVIORAL SCIENCES(SCIE);ECOLOGY(SCIE);ZOOLOGY(SCIE)</v>
      </c>
      <c r="N702" s="7" t="str">
        <v>两份公开汇编一致</v>
      </c>
      <c r="O702" s="7" t="str"/>
      <c r="P702" s="15" t="str">
        <v>JIF来源</v>
      </c>
      <c r="Q702" s="15" t="str">
        <v>分区来源</v>
      </c>
      <c r="R702" s="15" t="str"/>
      <c r="S702" s="14" t="str">
        <v>http://beheco.oxfordjournals.org/</v>
      </c>
      <c r="T702" s="7" t="str">
        <v>ISSN匹配公开元数据；未逐站复核</v>
      </c>
      <c r="U702" s="2" t="str">
        <v>官网来源</v>
      </c>
      <c r="V702" s="2" t="n">
        <v>2026</v>
      </c>
    </row>
    <row r="703" ht="34" customHeight="1">
      <c r="A703" s="7" t="str">
        <v>ANIMAL BEHAVIOUR</v>
      </c>
      <c r="B703" s="7" t="str">
        <v>细胞分子发育与生理</v>
      </c>
      <c r="C703" s="11" t="n">
        <v>2</v>
      </c>
      <c r="D703" s="12" t="n">
        <v>2.3</v>
      </c>
      <c r="E703" s="13" t="n">
        <v>2025</v>
      </c>
      <c r="F703" s="7" t="str">
        <v>其他</v>
      </c>
      <c r="G703" s="7" t="str">
        <v>经典专业刊</v>
      </c>
      <c r="H703" s="7" t="str">
        <v>研究/方法/综合</v>
      </c>
      <c r="I703" s="10" t="n">
        <v>2025</v>
      </c>
      <c r="J703" s="2" t="str">
        <v>否</v>
      </c>
      <c r="K703" s="2" t="str">
        <v>0003-3472</v>
      </c>
      <c r="L703" s="2" t="str">
        <v>1095-8282</v>
      </c>
      <c r="M703" s="7" t="str">
        <v>BEHAVIORAL SCIENCES(SCIE);ZOOLOGY(SCIE)</v>
      </c>
      <c r="N703" s="7" t="str">
        <v>两份公开汇编一致</v>
      </c>
      <c r="O703" s="7" t="str"/>
      <c r="P703" s="15" t="str">
        <v>JIF来源</v>
      </c>
      <c r="Q703" s="15" t="str">
        <v>分区来源</v>
      </c>
      <c r="R703" s="15" t="str"/>
      <c r="S703" s="14" t="str">
        <v>http://www.elsevier.com/wps/find/journaldescription.cws_home/622782/description#description</v>
      </c>
      <c r="T703" s="7" t="str">
        <v>ISSN匹配公开元数据；未逐站复核</v>
      </c>
      <c r="U703" s="2" t="str">
        <v>官网来源</v>
      </c>
      <c r="V703" s="2" t="n">
        <v>2026</v>
      </c>
    </row>
    <row r="704" ht="34" customHeight="1">
      <c r="A704" s="7" t="str">
        <v>ZOOLOGICA SCRIPTA</v>
      </c>
      <c r="B704" s="7" t="str">
        <v>细胞分子发育与生理</v>
      </c>
      <c r="C704" s="11" t="n">
        <v>2</v>
      </c>
      <c r="D704" s="12" t="n">
        <v>2</v>
      </c>
      <c r="E704" s="13" t="n">
        <v>2025</v>
      </c>
      <c r="F704" s="7" t="str">
        <v>其他</v>
      </c>
      <c r="G704" s="7" t="str">
        <v>领域期刊/新兴刊</v>
      </c>
      <c r="H704" s="7" t="str">
        <v>研究/方法/综合</v>
      </c>
      <c r="I704" s="10" t="n">
        <v>2025</v>
      </c>
      <c r="J704" s="2" t="str">
        <v>否</v>
      </c>
      <c r="K704" s="2" t="str">
        <v>0300-3256</v>
      </c>
      <c r="L704" s="2" t="str">
        <v>1463-6409</v>
      </c>
      <c r="M704" s="7" t="str">
        <v>EVOLUTIONARY BIOLOGY(SCIE);ZOOLOGY(SCIE)</v>
      </c>
      <c r="N704" s="7" t="str">
        <v>两份公开汇编一致</v>
      </c>
      <c r="O704" s="7" t="str"/>
      <c r="P704" s="15" t="str">
        <v>JIF来源</v>
      </c>
      <c r="Q704" s="15" t="str">
        <v>分区来源</v>
      </c>
      <c r="R704" s="15" t="str"/>
      <c r="S704" s="14" t="str">
        <v>https://onlinelibrary.wiley.com/journal/14636409</v>
      </c>
      <c r="T704" s="7" t="str">
        <v>ISSN匹配公开元数据；未逐站复核</v>
      </c>
      <c r="U704" s="2" t="str">
        <v>官网来源</v>
      </c>
      <c r="V704" s="2" t="n">
        <v>2026</v>
      </c>
    </row>
    <row r="705" ht="34" customHeight="1">
      <c r="A705" s="7" t="str">
        <v>BEHAVIORAL ECOLOGY AND SOCIOBIOLOGY</v>
      </c>
      <c r="B705" s="7" t="str">
        <v>细胞分子发育与生理</v>
      </c>
      <c r="C705" s="11" t="n">
        <v>2</v>
      </c>
      <c r="D705" s="12" t="n">
        <v>2</v>
      </c>
      <c r="E705" s="13" t="n">
        <v>2025</v>
      </c>
      <c r="F705" s="7" t="str">
        <v>其他</v>
      </c>
      <c r="G705" s="7" t="str">
        <v>领域期刊/新兴刊</v>
      </c>
      <c r="H705" s="7" t="str">
        <v>研究/方法/综合</v>
      </c>
      <c r="I705" s="10" t="n">
        <v>2025</v>
      </c>
      <c r="J705" s="2" t="str">
        <v>否</v>
      </c>
      <c r="K705" s="2" t="str">
        <v>0340-5443</v>
      </c>
      <c r="L705" s="2" t="str">
        <v>1432-0762</v>
      </c>
      <c r="M705" s="7" t="str">
        <v>BEHAVIORAL SCIENCES(SCIE);ECOLOGY(SCIE);ZOOLOGY(SCIE)</v>
      </c>
      <c r="N705" s="7" t="str">
        <v>两份公开汇编一致</v>
      </c>
      <c r="O705" s="7" t="str"/>
      <c r="P705" s="15" t="str">
        <v>JIF来源</v>
      </c>
      <c r="Q705" s="15" t="str">
        <v>分区来源</v>
      </c>
      <c r="R705" s="15" t="str"/>
      <c r="S705" s="14" t="str">
        <v>http://www.springer.com/life+sciences/behavioural/journal/265</v>
      </c>
      <c r="T705" s="7" t="str">
        <v>ISSN匹配公开元数据；未逐站复核</v>
      </c>
      <c r="U705" s="2" t="str">
        <v>官网来源</v>
      </c>
      <c r="V705" s="2" t="n">
        <v>2026</v>
      </c>
    </row>
    <row r="706" ht="34" customHeight="1">
      <c r="A706" s="7" t="str">
        <v>INTERNATIONAL JOURNAL OF MOLECULAR SCIENCES</v>
      </c>
      <c r="B706" s="7" t="str">
        <v>细胞分子发育与生理</v>
      </c>
      <c r="C706" s="11" t="n">
        <v>3</v>
      </c>
      <c r="D706" s="12" t="n">
        <v>5.6</v>
      </c>
      <c r="E706" s="13" t="n">
        <v>2025</v>
      </c>
      <c r="F706" s="7" t="str">
        <v>其他</v>
      </c>
      <c r="G706" s="7" t="str">
        <v>领域期刊/新兴刊</v>
      </c>
      <c r="H706" s="7" t="str">
        <v>研究/方法/综合</v>
      </c>
      <c r="I706" s="10" t="n">
        <v>2025</v>
      </c>
      <c r="J706" s="2" t="str">
        <v>否</v>
      </c>
      <c r="K706" s="2" t="str">
        <v>1661-6596</v>
      </c>
      <c r="L706" s="2" t="str">
        <v>1422-0067</v>
      </c>
      <c r="M706" s="7" t="str">
        <v>BIOCHEMISTRY &amp; MOLECULAR BIOLOGY(SCIE);CHEMISTRY, MULTIDISCIPLINARY(SCIE)</v>
      </c>
      <c r="N706" s="7" t="str">
        <v>两份公开汇编一致</v>
      </c>
      <c r="O706" s="7" t="str"/>
      <c r="P706" s="15" t="str">
        <v>JIF来源</v>
      </c>
      <c r="Q706" s="15" t="str">
        <v>分区来源</v>
      </c>
      <c r="R706" s="15" t="str"/>
      <c r="S706" s="14" t="str">
        <v>http://www.mdpi.com/journal/ijms/</v>
      </c>
      <c r="T706" s="7" t="str">
        <v>ISSN匹配公开元数据；未逐站复核</v>
      </c>
      <c r="U706" s="2" t="str">
        <v>官网来源</v>
      </c>
      <c r="V706" s="2" t="n">
        <v>2026</v>
      </c>
    </row>
    <row r="707" ht="34" customHeight="1">
      <c r="A707" s="7" t="str">
        <v>Cell Reports Methods</v>
      </c>
      <c r="B707" s="7" t="str">
        <v>细胞分子发育与生理</v>
      </c>
      <c r="C707" s="11" t="n">
        <v>3</v>
      </c>
      <c r="D707" s="12" t="n">
        <v>5.8</v>
      </c>
      <c r="E707" s="13" t="n">
        <v>2025</v>
      </c>
      <c r="F707" s="7" t="str">
        <v>Cell Press（含合作刊）</v>
      </c>
      <c r="G707" s="7" t="str">
        <v>领域期刊/新兴刊</v>
      </c>
      <c r="H707" s="7" t="str">
        <v>研究/方法/综合</v>
      </c>
      <c r="I707" s="10" t="n">
        <v>2025</v>
      </c>
      <c r="J707" s="2" t="str">
        <v>否</v>
      </c>
      <c r="K707" s="2" t="str">
        <v>2667-2375</v>
      </c>
      <c r="L707" s="2" t="str">
        <v>2667-2375</v>
      </c>
      <c r="M707" s="7" t="str">
        <v>BIOCHEMICAL RESEARCH METHODS(ESCI);CELL BIOLOGY(ESCI)</v>
      </c>
      <c r="N707" s="7" t="str">
        <v>两份公开汇编一致</v>
      </c>
      <c r="O707" s="7" t="str"/>
      <c r="P707" s="15" t="str">
        <v>JIF来源</v>
      </c>
      <c r="Q707" s="15" t="str">
        <v>分区来源</v>
      </c>
      <c r="R707" s="15" t="str"/>
      <c r="S707" s="14" t="str">
        <v>https://www.journals.elsevier.com/cell-reports-methods</v>
      </c>
      <c r="T707" s="7" t="str">
        <v>ISSN匹配公开元数据；未逐站复核</v>
      </c>
      <c r="U707" s="2" t="str">
        <v>官网来源</v>
      </c>
      <c r="V707" s="2" t="n">
        <v>2026</v>
      </c>
    </row>
    <row r="708" ht="34" customHeight="1">
      <c r="A708" s="7" t="str">
        <v>BIOCHEMICAL JOURNAL</v>
      </c>
      <c r="B708" s="7" t="str">
        <v>细胞分子发育与生理</v>
      </c>
      <c r="C708" s="11" t="n">
        <v>3</v>
      </c>
      <c r="D708" s="12" t="n">
        <v>3.9</v>
      </c>
      <c r="E708" s="13" t="n">
        <v>2025</v>
      </c>
      <c r="F708" s="7" t="str">
        <v>其他</v>
      </c>
      <c r="G708" s="7" t="str">
        <v>经典专业刊</v>
      </c>
      <c r="H708" s="7" t="str">
        <v>研究/方法/综合</v>
      </c>
      <c r="I708" s="10" t="n">
        <v>2025</v>
      </c>
      <c r="J708" s="2" t="str">
        <v>否</v>
      </c>
      <c r="K708" s="2" t="str">
        <v>0264-6021</v>
      </c>
      <c r="L708" s="2" t="str">
        <v>1470-8728</v>
      </c>
      <c r="M708" s="7" t="str">
        <v>BIOCHEMISTRY &amp; MOLECULAR BIOLOGY(SCIE)</v>
      </c>
      <c r="N708" s="7" t="str">
        <v>公开汇编已匹配</v>
      </c>
      <c r="O708" s="7" t="str"/>
      <c r="P708" s="15" t="str">
        <v>JIF来源</v>
      </c>
      <c r="Q708" s="15" t="str">
        <v>分区来源</v>
      </c>
      <c r="R708" s="15" t="str"/>
      <c r="S708" s="14" t="str">
        <v>http://www.biochemj.org/</v>
      </c>
      <c r="T708" s="7" t="str">
        <v>ISSN匹配公开元数据；未逐站复核</v>
      </c>
      <c r="U708" s="2" t="str">
        <v>官网来源</v>
      </c>
      <c r="V708" s="2" t="n">
        <v>2026</v>
      </c>
    </row>
    <row r="709" ht="34" customHeight="1">
      <c r="A709" s="7" t="str">
        <v>COMPARATIVE BIOCHEMISTRY AND PHYSIOLOGY C-TOXICOLOGY &amp; PHARMACOLOGY</v>
      </c>
      <c r="B709" s="7" t="str">
        <v>细胞分子发育与生理</v>
      </c>
      <c r="C709" s="11" t="n">
        <v>3</v>
      </c>
      <c r="D709" s="12" t="n">
        <v>4.4</v>
      </c>
      <c r="E709" s="13" t="n">
        <v>2025</v>
      </c>
      <c r="F709" s="7" t="str">
        <v>其他</v>
      </c>
      <c r="G709" s="7" t="str">
        <v>领域期刊/新兴刊</v>
      </c>
      <c r="H709" s="7" t="str">
        <v>研究/方法/综合</v>
      </c>
      <c r="I709" s="10" t="n">
        <v>2025</v>
      </c>
      <c r="J709" s="2" t="str">
        <v>否</v>
      </c>
      <c r="K709" s="2" t="str">
        <v>1532-0456</v>
      </c>
      <c r="L709" s="2" t="str">
        <v>1878-1659</v>
      </c>
      <c r="M709" s="7" t="str">
        <v>BIOCHEMISTRY &amp; MOLECULAR BIOLOGY(SCIE);ENDOCRINOLOGY &amp; METABOLISM(SCIE);TOXICOLOGY(SCIE);ZOOLOGY(SCIE)</v>
      </c>
      <c r="N709" s="7" t="str">
        <v>两份公开汇编一致</v>
      </c>
      <c r="O709" s="7" t="str"/>
      <c r="P709" s="15" t="str">
        <v>JIF来源</v>
      </c>
      <c r="Q709" s="15" t="str">
        <v>分区来源</v>
      </c>
      <c r="R709" s="15" t="str"/>
      <c r="S709" s="14" t="str">
        <v>https://www.journals.elsevier.com/comparative-biochemistry-and-physiology-part-c-toxicology-and-pharmacology</v>
      </c>
      <c r="T709" s="7" t="str">
        <v>ISSN匹配公开元数据；未逐站复核</v>
      </c>
      <c r="U709" s="2" t="str">
        <v>官网来源</v>
      </c>
      <c r="V709" s="2" t="n">
        <v>2026</v>
      </c>
    </row>
    <row r="710" ht="34" customHeight="1">
      <c r="A710" s="7" t="str">
        <v>BIOCHIMICA ET BIOPHYSICA ACTA-MOLECULAR CELL RESEARCH</v>
      </c>
      <c r="B710" s="7" t="str">
        <v>细胞分子发育与生理</v>
      </c>
      <c r="C710" s="11" t="n">
        <v>3</v>
      </c>
      <c r="D710" s="12" t="n">
        <v>4.3</v>
      </c>
      <c r="E710" s="13" t="n">
        <v>2025</v>
      </c>
      <c r="F710" s="7" t="str">
        <v>其他</v>
      </c>
      <c r="G710" s="7" t="str">
        <v>领域期刊/新兴刊</v>
      </c>
      <c r="H710" s="7" t="str">
        <v>研究/方法/综合</v>
      </c>
      <c r="I710" s="10" t="n">
        <v>2025</v>
      </c>
      <c r="J710" s="2" t="str">
        <v>否</v>
      </c>
      <c r="K710" s="2" t="str">
        <v>0167-4889</v>
      </c>
      <c r="L710" s="2" t="str">
        <v>1879-2596</v>
      </c>
      <c r="M710" s="7" t="str">
        <v>BIOCHEMISTRY &amp; MOLECULAR BIOLOGY(SCIE);CELL BIOLOGY(SCIE)</v>
      </c>
      <c r="N710" s="7" t="str">
        <v>两份公开汇编一致</v>
      </c>
      <c r="O710" s="7" t="str"/>
      <c r="P710" s="15" t="str">
        <v>JIF来源</v>
      </c>
      <c r="Q710" s="15" t="str">
        <v>分区来源</v>
      </c>
      <c r="R710" s="15" t="str"/>
      <c r="S710" s="14" t="str">
        <v>https://www.journals.elsevier.com/biochimica-et-biophysica-acta-molecular-cell-research</v>
      </c>
      <c r="T710" s="7" t="str">
        <v>ISSN匹配公开元数据；未逐站复核</v>
      </c>
      <c r="U710" s="2" t="str">
        <v>官网来源</v>
      </c>
      <c r="V710" s="2" t="n">
        <v>2026</v>
      </c>
    </row>
    <row r="711" ht="34" customHeight="1">
      <c r="A711" s="7" t="str">
        <v>JOURNAL OF CELL SCIENCE</v>
      </c>
      <c r="B711" s="7" t="str">
        <v>细胞分子发育与生理</v>
      </c>
      <c r="C711" s="11" t="n">
        <v>3</v>
      </c>
      <c r="D711" s="12" t="n">
        <v>3.9</v>
      </c>
      <c r="E711" s="13" t="n">
        <v>2025</v>
      </c>
      <c r="F711" s="7" t="str">
        <v>其他</v>
      </c>
      <c r="G711" s="7" t="str">
        <v>经典专业刊</v>
      </c>
      <c r="H711" s="7" t="str">
        <v>研究/方法/综合</v>
      </c>
      <c r="I711" s="10" t="n">
        <v>2025</v>
      </c>
      <c r="J711" s="2" t="str">
        <v>否</v>
      </c>
      <c r="K711" s="2" t="str">
        <v>0021-9533</v>
      </c>
      <c r="L711" s="2" t="str">
        <v>1477-9137</v>
      </c>
      <c r="M711" s="7" t="str">
        <v>CELL BIOLOGY(SCIE)</v>
      </c>
      <c r="N711" s="7" t="str">
        <v>公开汇编已匹配</v>
      </c>
      <c r="O711" s="7" t="str"/>
      <c r="P711" s="15" t="str">
        <v>JIF来源</v>
      </c>
      <c r="Q711" s="15" t="str">
        <v>分区来源</v>
      </c>
      <c r="R711" s="15" t="str"/>
      <c r="S711" s="14" t="str">
        <v>http://jcs.biologists.org/</v>
      </c>
      <c r="T711" s="7" t="str">
        <v>ISSN匹配公开元数据；未逐站复核</v>
      </c>
      <c r="U711" s="2" t="str">
        <v>官网来源</v>
      </c>
      <c r="V711" s="2" t="n">
        <v>2026</v>
      </c>
    </row>
    <row r="712" ht="34" customHeight="1">
      <c r="A712" s="7" t="str">
        <v>BIOPHYSICAL JOURNAL</v>
      </c>
      <c r="B712" s="7" t="str">
        <v>细胞分子发育与生理</v>
      </c>
      <c r="C712" s="11" t="n">
        <v>3</v>
      </c>
      <c r="D712" s="12" t="n">
        <v>3.7</v>
      </c>
      <c r="E712" s="13" t="n">
        <v>2025</v>
      </c>
      <c r="F712" s="7" t="str">
        <v>Cell Press（含合作刊）</v>
      </c>
      <c r="G712" s="7" t="str">
        <v>经典专业刊</v>
      </c>
      <c r="H712" s="7" t="str">
        <v>研究/方法/综合</v>
      </c>
      <c r="I712" s="10" t="n">
        <v>2025</v>
      </c>
      <c r="J712" s="2" t="str">
        <v>否</v>
      </c>
      <c r="K712" s="2" t="str">
        <v>0006-3495</v>
      </c>
      <c r="L712" s="2" t="str">
        <v>1542-0086</v>
      </c>
      <c r="M712" s="7" t="str">
        <v>BIOPHYSICS(SCIE)</v>
      </c>
      <c r="N712" s="7" t="str">
        <v>两份公开汇编一致</v>
      </c>
      <c r="O712" s="7" t="str"/>
      <c r="P712" s="15" t="str">
        <v>JIF来源</v>
      </c>
      <c r="Q712" s="15" t="str">
        <v>分区来源</v>
      </c>
      <c r="R712" s="15" t="str"/>
      <c r="S712" s="14" t="str">
        <v>https://www.sciencedirect.com/journal/biophysical-journal</v>
      </c>
      <c r="T712" s="7" t="str">
        <v>ISSN匹配公开元数据；未逐站复核</v>
      </c>
      <c r="U712" s="2" t="str">
        <v>官网来源</v>
      </c>
      <c r="V712" s="2" t="n">
        <v>2026</v>
      </c>
    </row>
    <row r="713" ht="34" customHeight="1">
      <c r="A713" s="7" t="str">
        <v>ARCHIVES OF BIOCHEMISTRY AND BIOPHYSICS</v>
      </c>
      <c r="B713" s="7" t="str">
        <v>细胞分子发育与生理</v>
      </c>
      <c r="C713" s="11" t="n">
        <v>3</v>
      </c>
      <c r="D713" s="12" t="n">
        <v>3.5</v>
      </c>
      <c r="E713" s="13" t="n">
        <v>2025</v>
      </c>
      <c r="F713" s="7" t="str">
        <v>其他</v>
      </c>
      <c r="G713" s="7" t="str">
        <v>领域期刊/新兴刊</v>
      </c>
      <c r="H713" s="7" t="str">
        <v>研究/方法/综合</v>
      </c>
      <c r="I713" s="10" t="n">
        <v>2025</v>
      </c>
      <c r="J713" s="2" t="str">
        <v>否</v>
      </c>
      <c r="K713" s="2" t="str">
        <v>0003-9861</v>
      </c>
      <c r="L713" s="2" t="str">
        <v>1096-0384</v>
      </c>
      <c r="M713" s="7" t="str">
        <v>BIOCHEMISTRY &amp; MOLECULAR BIOLOGY(SCIE);BIOPHYSICS(SCIE)</v>
      </c>
      <c r="N713" s="7" t="str">
        <v>两份公开汇编一致</v>
      </c>
      <c r="O713" s="7" t="str"/>
      <c r="P713" s="15" t="str">
        <v>JIF来源</v>
      </c>
      <c r="Q713" s="15" t="str">
        <v>分区来源</v>
      </c>
      <c r="R713" s="15" t="str"/>
      <c r="S713" s="14" t="str">
        <v>http://www.elsevier.com/locate/yabbi</v>
      </c>
      <c r="T713" s="7" t="str">
        <v>ISSN匹配公开元数据；未逐站复核</v>
      </c>
      <c r="U713" s="2" t="str">
        <v>官网来源</v>
      </c>
      <c r="V713" s="2" t="n">
        <v>2026</v>
      </c>
    </row>
    <row r="714" ht="34" customHeight="1">
      <c r="A714" s="7" t="str">
        <v>BIOCHEMISTRY</v>
      </c>
      <c r="B714" s="7" t="str">
        <v>细胞分子发育与生理</v>
      </c>
      <c r="C714" s="11" t="n">
        <v>3</v>
      </c>
      <c r="D714" s="12" t="n">
        <v>2.7</v>
      </c>
      <c r="E714" s="13" t="n">
        <v>2025</v>
      </c>
      <c r="F714" s="7" t="str">
        <v>其他</v>
      </c>
      <c r="G714" s="7" t="str">
        <v>经典专业刊</v>
      </c>
      <c r="H714" s="7" t="str">
        <v>研究/方法/综合</v>
      </c>
      <c r="I714" s="10" t="n">
        <v>2025</v>
      </c>
      <c r="J714" s="2" t="str">
        <v>否</v>
      </c>
      <c r="K714" s="2" t="str">
        <v>0006-2960</v>
      </c>
      <c r="L714" s="2" t="str">
        <v>1520-4995</v>
      </c>
      <c r="M714" s="7" t="str">
        <v>BIOCHEMISTRY &amp; MOLECULAR BIOLOGY(SCIE)</v>
      </c>
      <c r="N714" s="7" t="str">
        <v>公开汇编已匹配</v>
      </c>
      <c r="O714" s="7" t="str"/>
      <c r="P714" s="15" t="str">
        <v>JIF来源</v>
      </c>
      <c r="Q714" s="15" t="str">
        <v>分区来源</v>
      </c>
      <c r="R714" s="15" t="str"/>
      <c r="S714" s="14" t="str">
        <v>http://pubs.acs.org/journal/bichaw</v>
      </c>
      <c r="T714" s="7" t="str">
        <v>ISSN匹配公开元数据；未逐站复核</v>
      </c>
      <c r="U714" s="2" t="str">
        <v>官网来源</v>
      </c>
      <c r="V714" s="2" t="n">
        <v>2026</v>
      </c>
    </row>
    <row r="715" ht="34" customHeight="1">
      <c r="A715" s="7" t="str">
        <v>Life Science Alliance</v>
      </c>
      <c r="B715" s="7" t="str">
        <v>细胞分子发育与生理</v>
      </c>
      <c r="C715" s="11" t="n">
        <v>3</v>
      </c>
      <c r="D715" s="12" t="n">
        <v>3.1</v>
      </c>
      <c r="E715" s="13" t="n">
        <v>2025</v>
      </c>
      <c r="F715" s="7" t="str">
        <v>其他</v>
      </c>
      <c r="G715" s="7" t="str">
        <v>领域期刊/新兴刊</v>
      </c>
      <c r="H715" s="7" t="str">
        <v>研究/方法/综合</v>
      </c>
      <c r="I715" s="10" t="n">
        <v>2025</v>
      </c>
      <c r="J715" s="2" t="str">
        <v>否</v>
      </c>
      <c r="K715" s="2" t="str"/>
      <c r="L715" s="2" t="str">
        <v>2575-1077</v>
      </c>
      <c r="M715" s="7" t="str">
        <v>BIOLOGY(SCIE)</v>
      </c>
      <c r="N715" s="7" t="str">
        <v>两份公开汇编一致</v>
      </c>
      <c r="O715" s="7" t="str"/>
      <c r="P715" s="15" t="str">
        <v>JIF来源</v>
      </c>
      <c r="Q715" s="15" t="str">
        <v>分区来源</v>
      </c>
      <c r="R715" s="15" t="str"/>
      <c r="S715" s="14" t="str">
        <v>http://www.life-science-alliance.org/</v>
      </c>
      <c r="T715" s="7" t="str">
        <v>ISSN匹配公开元数据；未逐站复核</v>
      </c>
      <c r="U715" s="2" t="str">
        <v>官网来源</v>
      </c>
      <c r="V715" s="2" t="n">
        <v>2026</v>
      </c>
    </row>
    <row r="716" ht="34" customHeight="1">
      <c r="A716" s="7" t="str">
        <v>BIOCHIMICA ET BIOPHYSICA ACTA-GENERAL SUBJECTS</v>
      </c>
      <c r="B716" s="7" t="str">
        <v>细胞分子发育与生理</v>
      </c>
      <c r="C716" s="11" t="n">
        <v>3</v>
      </c>
      <c r="D716" s="12" t="n">
        <v>2.9</v>
      </c>
      <c r="E716" s="13" t="n">
        <v>2025</v>
      </c>
      <c r="F716" s="7" t="str">
        <v>其他</v>
      </c>
      <c r="G716" s="7" t="str">
        <v>领域期刊/新兴刊</v>
      </c>
      <c r="H716" s="7" t="str">
        <v>研究/方法/综合</v>
      </c>
      <c r="I716" s="10" t="n">
        <v>2025</v>
      </c>
      <c r="J716" s="2" t="str">
        <v>否</v>
      </c>
      <c r="K716" s="2" t="str">
        <v>0304-4165</v>
      </c>
      <c r="L716" s="2" t="str">
        <v>1872-8006</v>
      </c>
      <c r="M716" s="7" t="str">
        <v>BIOCHEMISTRY &amp; MOLECULAR BIOLOGY(SCIE);BIOPHYSICS(SCIE)</v>
      </c>
      <c r="N716" s="7" t="str">
        <v>两份公开汇编一致</v>
      </c>
      <c r="O716" s="7" t="str"/>
      <c r="P716" s="15" t="str">
        <v>JIF来源</v>
      </c>
      <c r="Q716" s="15" t="str">
        <v>分区来源</v>
      </c>
      <c r="R716" s="15" t="str"/>
      <c r="S716" s="14" t="str">
        <v>https://www.journals.elsevier.com/biochimica-et-biophysica-acta-general-subjects</v>
      </c>
      <c r="T716" s="7" t="str">
        <v>ISSN匹配公开元数据；未逐站复核</v>
      </c>
      <c r="U716" s="2" t="str">
        <v>官网来源</v>
      </c>
      <c r="V716" s="2" t="n">
        <v>2026</v>
      </c>
    </row>
    <row r="717" ht="34" customHeight="1">
      <c r="A717" s="7" t="str">
        <v>BIOPHYSICAL CHEMISTRY</v>
      </c>
      <c r="B717" s="7" t="str">
        <v>细胞分子发育与生理</v>
      </c>
      <c r="C717" s="11" t="n">
        <v>3</v>
      </c>
      <c r="D717" s="12" t="n">
        <v>2.3</v>
      </c>
      <c r="E717" s="13" t="n">
        <v>2025</v>
      </c>
      <c r="F717" s="7" t="str">
        <v>其他</v>
      </c>
      <c r="G717" s="7" t="str">
        <v>领域期刊/新兴刊</v>
      </c>
      <c r="H717" s="7" t="str">
        <v>研究/方法/综合</v>
      </c>
      <c r="I717" s="10" t="n">
        <v>2025</v>
      </c>
      <c r="J717" s="2" t="str">
        <v>否</v>
      </c>
      <c r="K717" s="2" t="str">
        <v>0301-4622</v>
      </c>
      <c r="L717" s="2" t="str">
        <v>1873-4200</v>
      </c>
      <c r="M717" s="7" t="str">
        <v>BIOCHEMISTRY &amp; MOLECULAR BIOLOGY(SCIE);BIOPHYSICS(SCIE);CHEMISTRY, PHYSICAL(SCIE)</v>
      </c>
      <c r="N717" s="7" t="str">
        <v>公开汇编已匹配</v>
      </c>
      <c r="O717" s="7" t="str"/>
      <c r="P717" s="15" t="str">
        <v>JIF来源</v>
      </c>
      <c r="Q717" s="15" t="str">
        <v>分区来源</v>
      </c>
      <c r="R717" s="15" t="str"/>
      <c r="S717" s="14" t="str">
        <v>https://www.journals.elsevier.com/biophysical-chemistry</v>
      </c>
      <c r="T717" s="7" t="str">
        <v>ISSN匹配公开元数据；未逐站复核</v>
      </c>
      <c r="U717" s="2" t="str">
        <v>官网来源</v>
      </c>
      <c r="V717" s="2" t="n">
        <v>2026</v>
      </c>
    </row>
    <row r="718" ht="34" customHeight="1">
      <c r="A718" s="7" t="str">
        <v>COMPARATIVE BIOCHEMISTRY AND PHYSIOLOGY A-MOLECULAR &amp; INTEGRATIVE PHYSIOLOGY</v>
      </c>
      <c r="B718" s="7" t="str">
        <v>细胞分子发育与生理</v>
      </c>
      <c r="C718" s="11" t="n">
        <v>3</v>
      </c>
      <c r="D718" s="12" t="n">
        <v>2.4</v>
      </c>
      <c r="E718" s="13" t="n">
        <v>2025</v>
      </c>
      <c r="F718" s="7" t="str">
        <v>其他</v>
      </c>
      <c r="G718" s="7" t="str">
        <v>领域期刊/新兴刊</v>
      </c>
      <c r="H718" s="7" t="str">
        <v>研究/方法/综合</v>
      </c>
      <c r="I718" s="10" t="n">
        <v>2025</v>
      </c>
      <c r="J718" s="2" t="str">
        <v>否</v>
      </c>
      <c r="K718" s="2" t="str">
        <v>1095-6433</v>
      </c>
      <c r="L718" s="2" t="str">
        <v>1531-4332</v>
      </c>
      <c r="M718" s="7" t="str">
        <v>BIOCHEMISTRY &amp; MOLECULAR BIOLOGY(SCIE);PHYSIOLOGY(SCIE);ZOOLOGY(SCIE)</v>
      </c>
      <c r="N718" s="7" t="str">
        <v>两份公开汇编一致</v>
      </c>
      <c r="O718" s="7" t="str"/>
      <c r="P718" s="15" t="str">
        <v>JIF来源</v>
      </c>
      <c r="Q718" s="15" t="str">
        <v>分区来源</v>
      </c>
      <c r="R718" s="15" t="str"/>
      <c r="S718" s="14" t="str">
        <v>https://www.journals.elsevier.com/comparative-biochemistry-and-physiology-part-a-molecular-and-integrative-physiology</v>
      </c>
      <c r="T718" s="7" t="str">
        <v>ISSN匹配公开元数据；未逐站复核</v>
      </c>
      <c r="U718" s="2" t="str">
        <v>官网来源</v>
      </c>
      <c r="V718" s="2" t="n">
        <v>2026</v>
      </c>
    </row>
    <row r="719" ht="34" customHeight="1">
      <c r="A719" s="7" t="str">
        <v>DEVELOPMENTAL BIOLOGY</v>
      </c>
      <c r="B719" s="7" t="str">
        <v>细胞分子发育与生理</v>
      </c>
      <c r="C719" s="11" t="n">
        <v>3</v>
      </c>
      <c r="D719" s="12" t="n">
        <v>2.1</v>
      </c>
      <c r="E719" s="13" t="n">
        <v>2025</v>
      </c>
      <c r="F719" s="7" t="str">
        <v>其他</v>
      </c>
      <c r="G719" s="7" t="str">
        <v>经典专业刊</v>
      </c>
      <c r="H719" s="7" t="str">
        <v>研究/方法/综合</v>
      </c>
      <c r="I719" s="10" t="n">
        <v>2025</v>
      </c>
      <c r="J719" s="2" t="str">
        <v>否</v>
      </c>
      <c r="K719" s="2" t="str">
        <v>0012-1606</v>
      </c>
      <c r="L719" s="2" t="str">
        <v>1095-564X</v>
      </c>
      <c r="M719" s="7" t="str">
        <v>DEVELOPMENTAL BIOLOGY(SCIE)</v>
      </c>
      <c r="N719" s="7" t="str">
        <v>两份公开汇编一致</v>
      </c>
      <c r="O719" s="7" t="str"/>
      <c r="P719" s="15" t="str">
        <v>JIF来源</v>
      </c>
      <c r="Q719" s="15" t="str">
        <v>分区来源</v>
      </c>
      <c r="R719" s="15" t="str"/>
      <c r="S719" s="14" t="str">
        <v>http://www.elsevier.com/wps/find/journaldescription.cws_home/622816/description#description</v>
      </c>
      <c r="T719" s="7" t="str">
        <v>ISSN匹配公开元数据；未逐站复核</v>
      </c>
      <c r="U719" s="2" t="str">
        <v>官网来源</v>
      </c>
      <c r="V719" s="2" t="n">
        <v>2026</v>
      </c>
    </row>
    <row r="720" ht="34" customHeight="1">
      <c r="A720" s="7" t="str">
        <v>Zoological Letters</v>
      </c>
      <c r="B720" s="7" t="str">
        <v>细胞分子发育与生理</v>
      </c>
      <c r="C720" s="11" t="n">
        <v>3</v>
      </c>
      <c r="D720" s="12" t="n">
        <v>2.8</v>
      </c>
      <c r="E720" s="13" t="n">
        <v>2025</v>
      </c>
      <c r="F720" s="7" t="str">
        <v>其他</v>
      </c>
      <c r="G720" s="7" t="str">
        <v>领域期刊/新兴刊</v>
      </c>
      <c r="H720" s="7" t="str">
        <v>研究/方法/综合</v>
      </c>
      <c r="I720" s="10" t="n">
        <v>2025</v>
      </c>
      <c r="J720" s="2" t="str">
        <v>否</v>
      </c>
      <c r="K720" s="2" t="str">
        <v>2056-306X</v>
      </c>
      <c r="L720" s="2" t="str">
        <v>2056-306X</v>
      </c>
      <c r="M720" s="7" t="str">
        <v>ZOOLOGY(SCIE)</v>
      </c>
      <c r="N720" s="7" t="str">
        <v>两份公开汇编一致</v>
      </c>
      <c r="O720" s="7" t="str"/>
      <c r="P720" s="15" t="str">
        <v>JIF来源</v>
      </c>
      <c r="Q720" s="15" t="str">
        <v>分区来源</v>
      </c>
      <c r="R720" s="15" t="str"/>
      <c r="S720" s="14" t="str">
        <v>https://link.springer.com/journal/40851</v>
      </c>
      <c r="T720" s="7" t="str">
        <v>ISSN匹配公开元数据；未逐站复核</v>
      </c>
      <c r="U720" s="2" t="str">
        <v>官网来源</v>
      </c>
      <c r="V720" s="2" t="n">
        <v>2026</v>
      </c>
    </row>
    <row r="721" ht="34" customHeight="1">
      <c r="A721" s="7" t="str">
        <v>PHYSIOLOGICAL AND BIOCHEMICAL ZOOLOGY</v>
      </c>
      <c r="B721" s="7" t="str">
        <v>细胞分子发育与生理</v>
      </c>
      <c r="C721" s="11" t="n">
        <v>3</v>
      </c>
      <c r="D721" s="12" t="n">
        <v>1.4</v>
      </c>
      <c r="E721" s="13" t="n">
        <v>2025</v>
      </c>
      <c r="F721" s="7" t="str">
        <v>其他</v>
      </c>
      <c r="G721" s="7" t="str">
        <v>领域期刊/新兴刊</v>
      </c>
      <c r="H721" s="7" t="str">
        <v>研究/方法/综合</v>
      </c>
      <c r="I721" s="10" t="n">
        <v>2025</v>
      </c>
      <c r="J721" s="2" t="str">
        <v>否</v>
      </c>
      <c r="K721" s="2" t="str">
        <v>1522-2152</v>
      </c>
      <c r="L721" s="2" t="str">
        <v>1537-5293</v>
      </c>
      <c r="M721" s="7" t="str">
        <v>PHYSIOLOGY(SCIE);ZOOLOGY(SCIE)</v>
      </c>
      <c r="N721" s="7" t="str">
        <v>两份公开汇编一致</v>
      </c>
      <c r="O721" s="7" t="str"/>
      <c r="P721" s="15" t="str">
        <v>JIF来源</v>
      </c>
      <c r="Q721" s="15" t="str">
        <v>分区来源</v>
      </c>
      <c r="R721" s="15" t="str"/>
      <c r="S721" s="14" t="str">
        <v>http://www.journals.uchicago.edu/pbz</v>
      </c>
      <c r="T721" s="7" t="str">
        <v>ISSN匹配公开元数据；未逐站复核</v>
      </c>
      <c r="U721" s="2" t="str">
        <v>官网来源</v>
      </c>
      <c r="V721" s="2" t="n">
        <v>2026</v>
      </c>
    </row>
    <row r="722" ht="34" customHeight="1">
      <c r="A722" s="7" t="str">
        <v>JOURNAL OF MAMMALOGY</v>
      </c>
      <c r="B722" s="7" t="str">
        <v>细胞分子发育与生理</v>
      </c>
      <c r="C722" s="11" t="n">
        <v>3</v>
      </c>
      <c r="D722" s="12" t="n">
        <v>1.7</v>
      </c>
      <c r="E722" s="13" t="n">
        <v>2025</v>
      </c>
      <c r="F722" s="7" t="str">
        <v>其他</v>
      </c>
      <c r="G722" s="7" t="str">
        <v>领域期刊/新兴刊</v>
      </c>
      <c r="H722" s="7" t="str">
        <v>研究/方法/综合</v>
      </c>
      <c r="I722" s="10" t="n">
        <v>2025</v>
      </c>
      <c r="J722" s="2" t="str">
        <v>否</v>
      </c>
      <c r="K722" s="2" t="str">
        <v>0022-2372</v>
      </c>
      <c r="L722" s="2" t="str">
        <v>1545-1542</v>
      </c>
      <c r="M722" s="7" t="str">
        <v>ZOOLOGY(SCIE)</v>
      </c>
      <c r="N722" s="7" t="str">
        <v>两份公开汇编一致</v>
      </c>
      <c r="O722" s="7" t="str"/>
      <c r="P722" s="15" t="str">
        <v>JIF来源</v>
      </c>
      <c r="Q722" s="15" t="str">
        <v>分区来源</v>
      </c>
      <c r="R722" s="15" t="str"/>
      <c r="S722" s="14" t="str">
        <v>http://www.asmjournals.org/</v>
      </c>
      <c r="T722" s="7" t="str">
        <v>ISSN匹配公开元数据；未逐站复核</v>
      </c>
      <c r="U722" s="2" t="str">
        <v>官网来源</v>
      </c>
      <c r="V722" s="2" t="n">
        <v>2026</v>
      </c>
    </row>
    <row r="723" ht="34" customHeight="1">
      <c r="A723" s="7" t="str">
        <v>JOURNAL OF ZOOLOGY</v>
      </c>
      <c r="B723" s="7" t="str">
        <v>细胞分子发育与生理</v>
      </c>
      <c r="C723" s="11" t="n">
        <v>3</v>
      </c>
      <c r="D723" s="12" t="n">
        <v>2</v>
      </c>
      <c r="E723" s="13" t="n">
        <v>2025</v>
      </c>
      <c r="F723" s="7" t="str">
        <v>其他</v>
      </c>
      <c r="G723" s="7" t="str">
        <v>经典专业刊</v>
      </c>
      <c r="H723" s="7" t="str">
        <v>研究/方法/综合</v>
      </c>
      <c r="I723" s="10" t="n">
        <v>2025</v>
      </c>
      <c r="J723" s="2" t="str">
        <v>否</v>
      </c>
      <c r="K723" s="2" t="str">
        <v>0952-8369</v>
      </c>
      <c r="L723" s="2" t="str">
        <v>1469-7998</v>
      </c>
      <c r="M723" s="7" t="str">
        <v>ZOOLOGY(SCIE)</v>
      </c>
      <c r="N723" s="7" t="str">
        <v>两份公开汇编一致</v>
      </c>
      <c r="O723" s="7" t="str"/>
      <c r="P723" s="15" t="str">
        <v>JIF来源</v>
      </c>
      <c r="Q723" s="15" t="str">
        <v>分区来源</v>
      </c>
      <c r="R723" s="15" t="str"/>
      <c r="S723" s="14" t="str">
        <v>http://www.blackwellpublishing.com/jzo</v>
      </c>
      <c r="T723" s="7" t="str">
        <v>ISSN匹配公开元数据；未逐站复核</v>
      </c>
      <c r="U723" s="2" t="str">
        <v>官网来源</v>
      </c>
      <c r="V723" s="2" t="n">
        <v>2026</v>
      </c>
    </row>
    <row r="724" ht="34" customHeight="1">
      <c r="A724" s="7" t="str">
        <v>Journal of Comparative Physiology B-Biochemical Systems and Environmental Physiology</v>
      </c>
      <c r="B724" s="7" t="str">
        <v>细胞分子发育与生理</v>
      </c>
      <c r="C724" s="11" t="n">
        <v>3</v>
      </c>
      <c r="D724" s="12" t="n">
        <v>2</v>
      </c>
      <c r="E724" s="13" t="n">
        <v>2025</v>
      </c>
      <c r="F724" s="7" t="str">
        <v>其他</v>
      </c>
      <c r="G724" s="7" t="str">
        <v>领域期刊/新兴刊</v>
      </c>
      <c r="H724" s="7" t="str">
        <v>研究/方法/综合</v>
      </c>
      <c r="I724" s="10" t="n">
        <v>2025</v>
      </c>
      <c r="J724" s="2" t="str">
        <v>否</v>
      </c>
      <c r="K724" s="2" t="str">
        <v>0174-1578</v>
      </c>
      <c r="L724" s="2" t="str">
        <v>1432-136X</v>
      </c>
      <c r="M724" s="7" t="str">
        <v>PHYSIOLOGY(SCIE);ZOOLOGY(SCIE)</v>
      </c>
      <c r="N724" s="7" t="str">
        <v>两份公开汇编一致</v>
      </c>
      <c r="O724" s="7" t="str"/>
      <c r="P724" s="15" t="str">
        <v>JIF来源</v>
      </c>
      <c r="Q724" s="15" t="str">
        <v>分区来源</v>
      </c>
      <c r="R724" s="15" t="str"/>
      <c r="S724" s="14" t="str">
        <v>https://link.springer.com/journal/360</v>
      </c>
      <c r="T724" s="7" t="str">
        <v>ISSN匹配公开元数据；未逐站复核</v>
      </c>
      <c r="U724" s="2" t="str">
        <v>官网来源</v>
      </c>
      <c r="V724" s="2" t="n">
        <v>2026</v>
      </c>
    </row>
    <row r="725" ht="34" customHeight="1">
      <c r="A725" s="7" t="str">
        <v>ZooKeys</v>
      </c>
      <c r="B725" s="7" t="str">
        <v>细胞分子发育与生理</v>
      </c>
      <c r="C725" s="11" t="n">
        <v>3</v>
      </c>
      <c r="D725" s="12" t="n">
        <v>1.5</v>
      </c>
      <c r="E725" s="13" t="n">
        <v>2025</v>
      </c>
      <c r="F725" s="7" t="str">
        <v>其他</v>
      </c>
      <c r="G725" s="7" t="str">
        <v>领域期刊/新兴刊</v>
      </c>
      <c r="H725" s="7" t="str">
        <v>研究/方法/综合</v>
      </c>
      <c r="I725" s="10" t="n">
        <v>2025</v>
      </c>
      <c r="J725" s="2" t="str">
        <v>否</v>
      </c>
      <c r="K725" s="2" t="str">
        <v>1313-2989</v>
      </c>
      <c r="L725" s="2" t="str">
        <v>1313-2970</v>
      </c>
      <c r="M725" s="7" t="str">
        <v>ZOOLOGY(SCIE)</v>
      </c>
      <c r="N725" s="7" t="str">
        <v>两份公开汇编一致</v>
      </c>
      <c r="O725" s="7" t="str"/>
      <c r="P725" s="15" t="str">
        <v>JIF来源</v>
      </c>
      <c r="Q725" s="15" t="str">
        <v>分区来源</v>
      </c>
      <c r="R725" s="15" t="str"/>
      <c r="S725" s="14" t="str">
        <v>http://zookeys.pensoft.net/</v>
      </c>
      <c r="T725" s="7" t="str">
        <v>ISSN匹配公开元数据；未逐站复核</v>
      </c>
      <c r="U725" s="2" t="str">
        <v>官网来源</v>
      </c>
      <c r="V725" s="2" t="n">
        <v>2026</v>
      </c>
    </row>
    <row r="726" ht="34" customHeight="1">
      <c r="A726" s="7" t="str">
        <v>FEBS LETTERS</v>
      </c>
      <c r="B726" s="7" t="str">
        <v>细胞分子发育与生理</v>
      </c>
      <c r="C726" s="11" t="n">
        <v>4</v>
      </c>
      <c r="D726" s="12" t="n">
        <v>3.1</v>
      </c>
      <c r="E726" s="13" t="n">
        <v>2025</v>
      </c>
      <c r="F726" s="7" t="str">
        <v>其他</v>
      </c>
      <c r="G726" s="7" t="str">
        <v>经典专业刊</v>
      </c>
      <c r="H726" s="7" t="str">
        <v>研究/方法/综合</v>
      </c>
      <c r="I726" s="10" t="n">
        <v>2025</v>
      </c>
      <c r="J726" s="2" t="str">
        <v>否</v>
      </c>
      <c r="K726" s="2" t="str">
        <v>0014-5793</v>
      </c>
      <c r="L726" s="2" t="str">
        <v>1873-3468</v>
      </c>
      <c r="M726" s="7" t="str">
        <v>BIOCHEMISTRY &amp; MOLECULAR BIOLOGY(SCIE);BIOPHYSICS(SCIE);CELL BIOLOGY(SCIE)</v>
      </c>
      <c r="N726" s="7" t="str">
        <v>公开汇编已匹配</v>
      </c>
      <c r="O726" s="7" t="str"/>
      <c r="P726" s="15" t="str">
        <v>JIF来源</v>
      </c>
      <c r="Q726" s="15" t="str">
        <v>分区来源</v>
      </c>
      <c r="R726" s="15" t="str"/>
      <c r="S726" s="14" t="str">
        <v>http://onlinelibrary.wiley.com/journal/10.1002/(ISSN)1873-3468</v>
      </c>
      <c r="T726" s="7" t="str">
        <v>ISSN匹配公开元数据；未逐站复核</v>
      </c>
      <c r="U726" s="2" t="str">
        <v>官网来源</v>
      </c>
      <c r="V726" s="2" t="n">
        <v>2026</v>
      </c>
    </row>
    <row r="727" ht="34" customHeight="1">
      <c r="A727" s="7" t="str">
        <v>BIOCHEMICAL AND BIOPHYSICAL RESEARCH COMMUNICATIONS</v>
      </c>
      <c r="B727" s="7" t="str">
        <v>细胞分子发育与生理</v>
      </c>
      <c r="C727" s="11" t="n">
        <v>4</v>
      </c>
      <c r="D727" s="12" t="n">
        <v>2.5</v>
      </c>
      <c r="E727" s="13" t="n">
        <v>2025</v>
      </c>
      <c r="F727" s="7" t="str">
        <v>其他</v>
      </c>
      <c r="G727" s="7" t="str">
        <v>领域期刊/新兴刊</v>
      </c>
      <c r="H727" s="7" t="str">
        <v>研究/方法/综合</v>
      </c>
      <c r="I727" s="10" t="n">
        <v>2025</v>
      </c>
      <c r="J727" s="2" t="str">
        <v>否</v>
      </c>
      <c r="K727" s="2" t="str">
        <v>0006-291X</v>
      </c>
      <c r="L727" s="2" t="str">
        <v>1090-2104</v>
      </c>
      <c r="M727" s="7" t="str">
        <v>BIOCHEMISTRY &amp; MOLECULAR BIOLOGY(SCIE);BIOPHYSICS(SCIE)</v>
      </c>
      <c r="N727" s="7" t="str">
        <v>公开汇编已匹配</v>
      </c>
      <c r="O727" s="7" t="str"/>
      <c r="P727" s="15" t="str">
        <v>JIF来源</v>
      </c>
      <c r="Q727" s="15" t="str">
        <v>分区来源</v>
      </c>
      <c r="R727" s="15" t="str"/>
      <c r="S727" s="14" t="str">
        <v>http://www.elsevier.com/wps/find/journaldescription.cws_home/622790/description</v>
      </c>
      <c r="T727" s="7" t="str">
        <v>ISSN匹配公开元数据；未逐站复核</v>
      </c>
      <c r="U727" s="2" t="str">
        <v>官网来源</v>
      </c>
      <c r="V727" s="2" t="n">
        <v>2026</v>
      </c>
    </row>
    <row r="728" ht="34" customHeight="1">
      <c r="A728" s="7" t="str">
        <v>COMPARATIVE BIOCHEMISTRY AND PHYSIOLOGY B-BIOCHEMISTRY &amp; MOLECULAR BIOLOGY</v>
      </c>
      <c r="B728" s="7" t="str">
        <v>细胞分子发育与生理</v>
      </c>
      <c r="C728" s="11" t="n">
        <v>4</v>
      </c>
      <c r="D728" s="12" t="n">
        <v>2.5</v>
      </c>
      <c r="E728" s="13" t="n">
        <v>2025</v>
      </c>
      <c r="F728" s="7" t="str">
        <v>其他</v>
      </c>
      <c r="G728" s="7" t="str">
        <v>领域期刊/新兴刊</v>
      </c>
      <c r="H728" s="7" t="str">
        <v>研究/方法/综合</v>
      </c>
      <c r="I728" s="10" t="n">
        <v>2025</v>
      </c>
      <c r="J728" s="2" t="str">
        <v>否</v>
      </c>
      <c r="K728" s="2" t="str">
        <v>1096-4959</v>
      </c>
      <c r="L728" s="2" t="str">
        <v>1879-1107</v>
      </c>
      <c r="M728" s="7" t="str">
        <v>BIOCHEMISTRY &amp; MOLECULAR BIOLOGY(SCIE);ZOOLOGY(SCIE)</v>
      </c>
      <c r="N728" s="7" t="str">
        <v>两份公开汇编一致</v>
      </c>
      <c r="O728" s="7" t="str"/>
      <c r="P728" s="15" t="str">
        <v>JIF来源</v>
      </c>
      <c r="Q728" s="15" t="str">
        <v>分区来源</v>
      </c>
      <c r="R728" s="15" t="str"/>
      <c r="S728" s="14" t="str">
        <v>http://www.journals.elsevier.com/comparative-biochemistry-and-physiology-part-b-biochemistry-and-molecular-biology/</v>
      </c>
      <c r="T728" s="7" t="str">
        <v>ISSN匹配公开元数据；未逐站复核</v>
      </c>
      <c r="U728" s="2" t="str">
        <v>官网来源</v>
      </c>
      <c r="V728" s="2" t="n">
        <v>2026</v>
      </c>
    </row>
    <row r="729" ht="34" customHeight="1">
      <c r="A729" s="7" t="str">
        <v>DEVELOPMENTAL DYNAMICS</v>
      </c>
      <c r="B729" s="7" t="str">
        <v>细胞分子发育与生理</v>
      </c>
      <c r="C729" s="11" t="n">
        <v>4</v>
      </c>
      <c r="D729" s="12" t="n">
        <v>1.5</v>
      </c>
      <c r="E729" s="13" t="n">
        <v>2025</v>
      </c>
      <c r="F729" s="7" t="str">
        <v>其他</v>
      </c>
      <c r="G729" s="7" t="str">
        <v>领域期刊/新兴刊</v>
      </c>
      <c r="H729" s="7" t="str">
        <v>研究/方法/综合</v>
      </c>
      <c r="I729" s="10" t="n">
        <v>2025</v>
      </c>
      <c r="J729" s="2" t="str">
        <v>否</v>
      </c>
      <c r="K729" s="2" t="str">
        <v>1058-8388</v>
      </c>
      <c r="L729" s="2" t="str">
        <v>1097-0177</v>
      </c>
      <c r="M729" s="7" t="str">
        <v>ANATOMY &amp; MORPHOLOGY(SCIE);DEVELOPMENTAL BIOLOGY(SCIE)</v>
      </c>
      <c r="N729" s="7" t="str">
        <v>两份公开汇编一致</v>
      </c>
      <c r="O729" s="7" t="str"/>
      <c r="P729" s="15" t="str">
        <v>JIF来源</v>
      </c>
      <c r="Q729" s="15" t="str">
        <v>分区来源</v>
      </c>
      <c r="R729" s="15" t="str"/>
      <c r="S729" s="14" t="str">
        <v>http://onlinelibrary.wiley.com/journal/10.1002/(ISSN)1097-0177</v>
      </c>
      <c r="T729" s="7" t="str">
        <v>ISSN匹配公开元数据；未逐站复核</v>
      </c>
      <c r="U729" s="2" t="str">
        <v>官网来源</v>
      </c>
      <c r="V729" s="2" t="n">
        <v>2026</v>
      </c>
    </row>
    <row r="730" ht="34" customHeight="1">
      <c r="A730" s="7" t="str">
        <v>ETHOLOGY</v>
      </c>
      <c r="B730" s="7" t="str">
        <v>细胞分子发育与生理</v>
      </c>
      <c r="C730" s="11" t="n">
        <v>4</v>
      </c>
      <c r="D730" s="12" t="n">
        <v>1.3</v>
      </c>
      <c r="E730" s="13" t="n">
        <v>2025</v>
      </c>
      <c r="F730" s="7" t="str">
        <v>其他</v>
      </c>
      <c r="G730" s="7" t="str">
        <v>领域期刊/新兴刊</v>
      </c>
      <c r="H730" s="7" t="str">
        <v>研究/方法/综合</v>
      </c>
      <c r="I730" s="10" t="n">
        <v>2025</v>
      </c>
      <c r="J730" s="2" t="str">
        <v>否</v>
      </c>
      <c r="K730" s="2" t="str">
        <v>0179-1613</v>
      </c>
      <c r="L730" s="2" t="str">
        <v>1439-0310</v>
      </c>
      <c r="M730" s="7" t="str">
        <v>BEHAVIORAL SCIENCES(SCIE);ZOOLOGY(SCIE)</v>
      </c>
      <c r="N730" s="7" t="str">
        <v>公开汇编已匹配</v>
      </c>
      <c r="O730" s="7" t="str"/>
      <c r="P730" s="15" t="str">
        <v>JIF来源</v>
      </c>
      <c r="Q730" s="15" t="str">
        <v>分区来源</v>
      </c>
      <c r="R730" s="15" t="str"/>
      <c r="S730" s="14" t="str">
        <v>https://onlinelibrary.wiley.com/journal/14390310</v>
      </c>
      <c r="T730" s="7" t="str">
        <v>ISSN匹配公开元数据；未逐站复核</v>
      </c>
      <c r="U730" s="2" t="str">
        <v>官网来源</v>
      </c>
      <c r="V730" s="2" t="n">
        <v>2026</v>
      </c>
    </row>
    <row r="731" ht="34" customHeight="1">
      <c r="A731" s="7" t="str">
        <v>Zootaxa</v>
      </c>
      <c r="B731" s="7" t="str">
        <v>细胞分子发育与生理</v>
      </c>
      <c r="C731" s="11" t="n">
        <v>4</v>
      </c>
      <c r="D731" s="12" t="n">
        <v>0.9</v>
      </c>
      <c r="E731" s="13" t="n">
        <v>2025</v>
      </c>
      <c r="F731" s="7" t="str">
        <v>其他</v>
      </c>
      <c r="G731" s="7" t="str">
        <v>领域期刊/新兴刊</v>
      </c>
      <c r="H731" s="7" t="str">
        <v>研究/方法/综合</v>
      </c>
      <c r="I731" s="10" t="n">
        <v>2025</v>
      </c>
      <c r="J731" s="2" t="str">
        <v>否</v>
      </c>
      <c r="K731" s="2" t="str">
        <v>1175-5326</v>
      </c>
      <c r="L731" s="2" t="str">
        <v>1175-5334</v>
      </c>
      <c r="M731" s="7" t="str">
        <v>ZOOLOGY(SCIE)</v>
      </c>
      <c r="N731" s="7" t="str">
        <v>公开汇编已匹配</v>
      </c>
      <c r="O731" s="7" t="str"/>
      <c r="P731" s="15" t="str">
        <v>JIF来源</v>
      </c>
      <c r="Q731" s="15" t="str">
        <v>分区来源</v>
      </c>
      <c r="R731" s="15" t="str"/>
      <c r="S731" s="14" t="str">
        <v>http://www.mapress.com/zootaxa/</v>
      </c>
      <c r="T731" s="7" t="str">
        <v>ISSN匹配公开元数据；未逐站复核</v>
      </c>
      <c r="U731" s="2" t="str">
        <v>官网来源</v>
      </c>
      <c r="V731" s="2" t="n">
        <v>2026</v>
      </c>
    </row>
    <row r="732" ht="34" customHeight="1">
      <c r="A732" s="7" t="str">
        <v>Nature Mental Health</v>
      </c>
      <c r="B732" s="7" t="str">
        <v>细胞分子发育与生理</v>
      </c>
      <c r="C732" s="11"/>
      <c r="D732" s="12" t="n">
        <v>9.3</v>
      </c>
      <c r="E732" s="13" t="n">
        <v>2025</v>
      </c>
      <c r="F732" s="7" t="str">
        <v>Nature Portfolio（含合作刊）</v>
      </c>
      <c r="G732" s="7" t="str">
        <v>领域期刊/新兴刊</v>
      </c>
      <c r="H732" s="7" t="str">
        <v>研究/方法/综合</v>
      </c>
      <c r="I732" s="10" t="n">
        <v>2025</v>
      </c>
      <c r="J732" s="2" t="str">
        <v>未检得</v>
      </c>
      <c r="K732" s="2" t="str"/>
      <c r="L732" s="2" t="str">
        <v>2731-6076</v>
      </c>
      <c r="M732" s="7" t="str">
        <v>PSYCHIATRY(ESCI)</v>
      </c>
      <c r="N732" s="7" t="str">
        <v>两份公开汇编一致</v>
      </c>
      <c r="O732" s="7" t="str"/>
      <c r="P732" s="15" t="str">
        <v>JIF来源</v>
      </c>
      <c r="Q732" s="15" t="str"/>
      <c r="R732" s="15" t="str"/>
      <c r="S732" s="14" t="str">
        <v>https://www.nature.com/natmentalhealth/</v>
      </c>
      <c r="T732" s="7" t="str">
        <v>出版社/期刊主页匹配</v>
      </c>
      <c r="U732" s="2" t="str">
        <v>官网来源</v>
      </c>
      <c r="V732" s="2" t="n">
        <v>2026</v>
      </c>
    </row>
    <row r="733" ht="34" customHeight="1">
      <c r="A733" s="7" t="str">
        <v>Device</v>
      </c>
      <c r="B733" s="7" t="str">
        <v>细胞分子发育与生理</v>
      </c>
      <c r="C733" s="11"/>
      <c r="D733" s="12" t="n">
        <v>8.7</v>
      </c>
      <c r="E733" s="13" t="n">
        <v>2025</v>
      </c>
      <c r="F733" s="7" t="str">
        <v>Cell Press（含合作刊）</v>
      </c>
      <c r="G733" s="7" t="str">
        <v>领域期刊/新兴刊</v>
      </c>
      <c r="H733" s="7" t="str">
        <v>研究/方法/综合</v>
      </c>
      <c r="I733" s="10" t="n">
        <v>2025</v>
      </c>
      <c r="J733" s="2" t="str">
        <v>未检得</v>
      </c>
      <c r="K733" s="2" t="str"/>
      <c r="L733" s="2" t="str">
        <v>2666-9986</v>
      </c>
      <c r="M733" s="7" t="str">
        <v>MATERIALS SCIENCE, MULTIDISCIPLINARY(ESCI)</v>
      </c>
      <c r="N733" s="7" t="str">
        <v>两份公开汇编一致</v>
      </c>
      <c r="O733" s="7" t="str"/>
      <c r="P733" s="15" t="str">
        <v>JIF来源</v>
      </c>
      <c r="Q733" s="15" t="str"/>
      <c r="R733" s="15" t="str"/>
      <c r="S733" s="14" t="str">
        <v>https://www.cell.com/device/home</v>
      </c>
      <c r="T733" s="7" t="str">
        <v>出版社/期刊主页匹配</v>
      </c>
      <c r="U733" s="2" t="str">
        <v>官网来源</v>
      </c>
      <c r="V733" s="2" t="n">
        <v>2026</v>
      </c>
    </row>
    <row r="734" ht="34" customHeight="1">
      <c r="A734" s="7" t="str">
        <v>Cell Biomaterials</v>
      </c>
      <c r="B734" s="7" t="str">
        <v>细胞分子发育与生理</v>
      </c>
      <c r="C734" s="11"/>
      <c r="D734" s="12"/>
      <c r="E734" s="13" t="n">
        <v>2025</v>
      </c>
      <c r="F734" s="7" t="str">
        <v>Cell Press（含合作刊）</v>
      </c>
      <c r="G734" s="7" t="str">
        <v>领域期刊/新兴刊</v>
      </c>
      <c r="H734" s="7" t="str">
        <v>研究/方法/综合</v>
      </c>
      <c r="I734" s="10" t="n">
        <v>2025</v>
      </c>
      <c r="J734" s="2" t="str">
        <v>未检得</v>
      </c>
      <c r="K734" s="2" t="str"/>
      <c r="L734" s="2" t="str"/>
      <c r="M734" s="7" t="str"/>
      <c r="N734" s="7" t="str">
        <v>2025 JIF未检得/未给值</v>
      </c>
      <c r="O734" s="7" t="str">
        <v>所用2026发布来源未检得2025 JIF数值；未沿用往年指标。</v>
      </c>
      <c r="P734" s="15" t="str">
        <v>JIF来源</v>
      </c>
      <c r="Q734" s="15" t="str"/>
      <c r="R734" s="15" t="str"/>
      <c r="S734" s="14" t="str">
        <v>https://www.cell.com/cell-biomaterials/home</v>
      </c>
      <c r="T734" s="7" t="str">
        <v>出版社/期刊主页匹配</v>
      </c>
      <c r="U734" s="2" t="str">
        <v>官网来源</v>
      </c>
      <c r="V734" s="2" t="n">
        <v>2026</v>
      </c>
    </row>
    <row r="735" ht="34" customHeight="1">
      <c r="A735" s="7" t="str">
        <v>National Science Open</v>
      </c>
      <c r="B735" s="7" t="str">
        <v>细胞分子发育与生理</v>
      </c>
      <c r="C735" s="11"/>
      <c r="D735" s="12"/>
      <c r="E735" s="13" t="n">
        <v>2025</v>
      </c>
      <c r="F735" s="7" t="str">
        <v>其他</v>
      </c>
      <c r="G735" s="7" t="str">
        <v>领域期刊/新兴刊</v>
      </c>
      <c r="H735" s="7" t="str">
        <v>研究/方法/综合</v>
      </c>
      <c r="I735" s="10" t="n">
        <v>2025</v>
      </c>
      <c r="J735" s="2" t="str">
        <v>未检得</v>
      </c>
      <c r="K735" s="2" t="str"/>
      <c r="L735" s="2" t="str"/>
      <c r="M735" s="7" t="str"/>
      <c r="N735" s="7" t="str">
        <v>2025 JIF未检得/未给值</v>
      </c>
      <c r="O735" s="7" t="str">
        <v>所用2026发布来源未检得2025 JIF数值；未沿用往年指标。</v>
      </c>
      <c r="P735" s="15" t="str">
        <v>JIF来源</v>
      </c>
      <c r="Q735" s="15" t="str"/>
      <c r="R735" s="15" t="str"/>
      <c r="S735" s="14" t="str">
        <v>https://www.sciengine.com/NSO/home</v>
      </c>
      <c r="T735" s="7" t="str">
        <v>出版社/期刊主页匹配</v>
      </c>
      <c r="U735" s="2" t="str">
        <v>官网来源</v>
      </c>
      <c r="V735" s="2" t="n">
        <v>2026</v>
      </c>
    </row>
    <row r="736" ht="34" customHeight="1">
      <c r="A736" s="7" t="str">
        <v>Nature Food</v>
      </c>
      <c r="B736" s="7" t="str">
        <v>食品营养与安全</v>
      </c>
      <c r="C736" s="11" t="n">
        <v>1</v>
      </c>
      <c r="D736" s="12" t="n">
        <v>24.7</v>
      </c>
      <c r="E736" s="13" t="n">
        <v>2025</v>
      </c>
      <c r="F736" s="7" t="str">
        <v>Nature Portfolio（含合作刊）</v>
      </c>
      <c r="G736" s="7" t="str">
        <v>领域期刊/新兴刊</v>
      </c>
      <c r="H736" s="7" t="str">
        <v>研究/方法/综合</v>
      </c>
      <c r="I736" s="10" t="n">
        <v>2025</v>
      </c>
      <c r="J736" s="2" t="str">
        <v>是</v>
      </c>
      <c r="K736" s="2" t="str"/>
      <c r="L736" s="2" t="str">
        <v>2662-1355</v>
      </c>
      <c r="M736" s="7" t="str">
        <v>FOOD SCIENCE &amp; TECHNOLOGY(SCIE)</v>
      </c>
      <c r="N736" s="7" t="str">
        <v>两份公开汇编一致</v>
      </c>
      <c r="O736" s="7" t="str"/>
      <c r="P736" s="15" t="str">
        <v>JIF来源</v>
      </c>
      <c r="Q736" s="15" t="str">
        <v>分区来源</v>
      </c>
      <c r="R736" s="15" t="str"/>
      <c r="S736" s="14" t="str">
        <v>https://www.nature.com/natfood/</v>
      </c>
      <c r="T736" s="7" t="str">
        <v>ISSN匹配公开元数据；未逐站复核</v>
      </c>
      <c r="U736" s="2" t="str">
        <v>官网来源</v>
      </c>
      <c r="V736" s="2" t="n">
        <v>2026</v>
      </c>
    </row>
    <row r="737" ht="34" customHeight="1">
      <c r="A737" s="7" t="str">
        <v>TRENDS IN FOOD SCIENCE &amp; TECHNOLOGY</v>
      </c>
      <c r="B737" s="7" t="str">
        <v>食品营养与安全</v>
      </c>
      <c r="C737" s="11" t="n">
        <v>1</v>
      </c>
      <c r="D737" s="12" t="n">
        <v>17.4</v>
      </c>
      <c r="E737" s="13" t="n">
        <v>2025</v>
      </c>
      <c r="F737" s="7" t="str">
        <v>其他</v>
      </c>
      <c r="G737" s="7" t="str">
        <v>领域期刊/新兴刊</v>
      </c>
      <c r="H737" s="7" t="str">
        <v>综述为主</v>
      </c>
      <c r="I737" s="10" t="n">
        <v>2025</v>
      </c>
      <c r="J737" s="2" t="str">
        <v>是</v>
      </c>
      <c r="K737" s="2" t="str">
        <v>0924-2244</v>
      </c>
      <c r="L737" s="2" t="str">
        <v>1879-3053</v>
      </c>
      <c r="M737" s="7" t="str">
        <v>FOOD SCIENCE &amp; TECHNOLOGY(SCIE)</v>
      </c>
      <c r="N737" s="7" t="str">
        <v>两份公开汇编一致</v>
      </c>
      <c r="O737" s="7" t="str"/>
      <c r="P737" s="15" t="str">
        <v>JIF来源</v>
      </c>
      <c r="Q737" s="15" t="str">
        <v>分区来源</v>
      </c>
      <c r="R737" s="15" t="str"/>
      <c r="S737" s="14" t="str">
        <v>http://www.elsevier.com/locate/issn/09242244</v>
      </c>
      <c r="T737" s="7" t="str">
        <v>ISSN匹配公开元数据；未逐站复核</v>
      </c>
      <c r="U737" s="2" t="str">
        <v>官网来源</v>
      </c>
      <c r="V737" s="2" t="n">
        <v>2026</v>
      </c>
    </row>
    <row r="738" ht="34" customHeight="1">
      <c r="A738" s="7" t="str">
        <v>COMPREHENSIVE REVIEWS IN FOOD SCIENCE AND FOOD SAFETY</v>
      </c>
      <c r="B738" s="7" t="str">
        <v>食品营养与安全</v>
      </c>
      <c r="C738" s="11" t="n">
        <v>1</v>
      </c>
      <c r="D738" s="12" t="n">
        <v>15.6</v>
      </c>
      <c r="E738" s="13" t="n">
        <v>2025</v>
      </c>
      <c r="F738" s="7" t="str">
        <v>其他</v>
      </c>
      <c r="G738" s="7" t="str">
        <v>领域期刊/新兴刊</v>
      </c>
      <c r="H738" s="7" t="str">
        <v>综述为主</v>
      </c>
      <c r="I738" s="10" t="n">
        <v>2025</v>
      </c>
      <c r="J738" s="2" t="str">
        <v>是</v>
      </c>
      <c r="K738" s="2" t="str">
        <v>1541-4337</v>
      </c>
      <c r="L738" s="2" t="str">
        <v>1541-4337</v>
      </c>
      <c r="M738" s="7" t="str">
        <v>FOOD SCIENCE &amp; TECHNOLOGY(SCIE)</v>
      </c>
      <c r="N738" s="7" t="str">
        <v>两份公开汇编一致</v>
      </c>
      <c r="O738" s="7" t="str"/>
      <c r="P738" s="15" t="str">
        <v>JIF来源</v>
      </c>
      <c r="Q738" s="15" t="str">
        <v>分区来源</v>
      </c>
      <c r="R738" s="15" t="str"/>
      <c r="S738" s="14" t="str">
        <v>http://www.wiley.com/bw/journal.asp?ref=1541-4337&amp;site=1</v>
      </c>
      <c r="T738" s="7" t="str">
        <v>ISSN匹配公开元数据；未逐站复核</v>
      </c>
      <c r="U738" s="2" t="str">
        <v>官网来源</v>
      </c>
      <c r="V738" s="2" t="n">
        <v>2026</v>
      </c>
    </row>
    <row r="739" ht="34" customHeight="1">
      <c r="A739" s="7" t="str">
        <v>Annual Review of Food Science and Technology</v>
      </c>
      <c r="B739" s="7" t="str">
        <v>食品营养与安全</v>
      </c>
      <c r="C739" s="11" t="n">
        <v>1</v>
      </c>
      <c r="D739" s="12" t="n">
        <v>15.4</v>
      </c>
      <c r="E739" s="13" t="n">
        <v>2025</v>
      </c>
      <c r="F739" s="7" t="str">
        <v>其他</v>
      </c>
      <c r="G739" s="7" t="str">
        <v>领域期刊/新兴刊</v>
      </c>
      <c r="H739" s="7" t="str">
        <v>综述为主</v>
      </c>
      <c r="I739" s="10" t="n">
        <v>2025</v>
      </c>
      <c r="J739" s="2" t="str">
        <v>是</v>
      </c>
      <c r="K739" s="2" t="str">
        <v>1941-1413</v>
      </c>
      <c r="L739" s="2" t="str">
        <v>1941-1421</v>
      </c>
      <c r="M739" s="7" t="str">
        <v>FOOD SCIENCE &amp; TECHNOLOGY(SCIE)</v>
      </c>
      <c r="N739" s="7" t="str">
        <v>两份公开汇编一致</v>
      </c>
      <c r="O739" s="7" t="str"/>
      <c r="P739" s="15" t="str">
        <v>JIF来源</v>
      </c>
      <c r="Q739" s="15" t="str">
        <v>分区来源</v>
      </c>
      <c r="R739" s="15" t="str"/>
      <c r="S739" s="14" t="str">
        <v>http://www.annualreviews.org/journal/food</v>
      </c>
      <c r="T739" s="7" t="str">
        <v>ISSN匹配公开元数据；未逐站复核</v>
      </c>
      <c r="U739" s="2" t="str">
        <v>官网来源</v>
      </c>
      <c r="V739" s="2" t="n">
        <v>2026</v>
      </c>
    </row>
    <row r="740" ht="34" customHeight="1">
      <c r="A740" s="7" t="str">
        <v>FOOD HYDROCOLLOIDS</v>
      </c>
      <c r="B740" s="7" t="str">
        <v>食品营养与安全</v>
      </c>
      <c r="C740" s="11" t="n">
        <v>1</v>
      </c>
      <c r="D740" s="12" t="n">
        <v>13.8</v>
      </c>
      <c r="E740" s="13" t="n">
        <v>2025</v>
      </c>
      <c r="F740" s="7" t="str">
        <v>其他</v>
      </c>
      <c r="G740" s="7" t="str">
        <v>领域期刊/新兴刊</v>
      </c>
      <c r="H740" s="7" t="str">
        <v>研究/方法/综合</v>
      </c>
      <c r="I740" s="10" t="n">
        <v>2025</v>
      </c>
      <c r="J740" s="2" t="str">
        <v>是</v>
      </c>
      <c r="K740" s="2" t="str">
        <v>0268-005X</v>
      </c>
      <c r="L740" s="2" t="str">
        <v>1873-7137</v>
      </c>
      <c r="M740" s="7" t="str">
        <v>CHEMISTRY, APPLIED(SCIE);FOOD SCIENCE &amp; TECHNOLOGY(SCIE)</v>
      </c>
      <c r="N740" s="7" t="str">
        <v>两份公开汇编一致</v>
      </c>
      <c r="O740" s="7" t="str"/>
      <c r="P740" s="15" t="str">
        <v>JIF来源</v>
      </c>
      <c r="Q740" s="15" t="str">
        <v>分区来源</v>
      </c>
      <c r="R740" s="15" t="str"/>
      <c r="S740" s="14" t="str">
        <v>https://www.journals.elsevier.com/food-hydrocolloids</v>
      </c>
      <c r="T740" s="7" t="str">
        <v>ISSN匹配公开元数据；未逐站复核</v>
      </c>
      <c r="U740" s="2" t="str">
        <v>官网来源</v>
      </c>
      <c r="V740" s="2" t="n">
        <v>2026</v>
      </c>
    </row>
    <row r="741" ht="34" customHeight="1">
      <c r="A741" s="7" t="str">
        <v>Food Packaging and Shelf Life</v>
      </c>
      <c r="B741" s="7" t="str">
        <v>食品营养与安全</v>
      </c>
      <c r="C741" s="11" t="n">
        <v>1</v>
      </c>
      <c r="D741" s="12" t="n">
        <v>10.8</v>
      </c>
      <c r="E741" s="13" t="n">
        <v>2025</v>
      </c>
      <c r="F741" s="7" t="str">
        <v>其他</v>
      </c>
      <c r="G741" s="7" t="str">
        <v>领域期刊/新兴刊</v>
      </c>
      <c r="H741" s="7" t="str">
        <v>研究/方法/综合</v>
      </c>
      <c r="I741" s="10" t="n">
        <v>2025</v>
      </c>
      <c r="J741" s="2" t="str">
        <v>是</v>
      </c>
      <c r="K741" s="2" t="str">
        <v>2214-2894</v>
      </c>
      <c r="L741" s="2" t="str">
        <v>2214-2894</v>
      </c>
      <c r="M741" s="7" t="str">
        <v>FOOD SCIENCE &amp; TECHNOLOGY(SCIE)</v>
      </c>
      <c r="N741" s="7" t="str">
        <v>两份公开汇编一致</v>
      </c>
      <c r="O741" s="7" t="str"/>
      <c r="P741" s="15" t="str">
        <v>JIF来源</v>
      </c>
      <c r="Q741" s="15" t="str">
        <v>分区来源</v>
      </c>
      <c r="R741" s="15" t="str"/>
      <c r="S741" s="14" t="str">
        <v>https://www.journals.elsevier.com/food-packaging-and-shelf-life</v>
      </c>
      <c r="T741" s="7" t="str">
        <v>ISSN匹配公开元数据；未逐站复核</v>
      </c>
      <c r="U741" s="2" t="str">
        <v>官网来源</v>
      </c>
      <c r="V741" s="2" t="n">
        <v>2026</v>
      </c>
    </row>
    <row r="742" ht="34" customHeight="1">
      <c r="A742" s="7" t="str">
        <v>Food Chemistry</v>
      </c>
      <c r="B742" s="7" t="str">
        <v>食品营养与安全</v>
      </c>
      <c r="C742" s="11" t="n">
        <v>1</v>
      </c>
      <c r="D742" s="12" t="n">
        <v>10.4</v>
      </c>
      <c r="E742" s="13" t="n">
        <v>2025</v>
      </c>
      <c r="F742" s="7" t="str">
        <v>其他</v>
      </c>
      <c r="G742" s="7" t="str">
        <v>经典专业刊</v>
      </c>
      <c r="H742" s="7" t="str">
        <v>研究/方法/综合</v>
      </c>
      <c r="I742" s="10" t="n">
        <v>2025</v>
      </c>
      <c r="J742" s="2" t="str">
        <v>是</v>
      </c>
      <c r="K742" s="2" t="str">
        <v>0308-8146</v>
      </c>
      <c r="L742" s="2" t="str">
        <v>1873-7072</v>
      </c>
      <c r="M742" s="7" t="str">
        <v>CHEMISTRY, APPLIED(SCIE);FOOD SCIENCE &amp; TECHNOLOGY(SCIE);NUTRITION &amp; DIETETICS(SCIE)</v>
      </c>
      <c r="N742" s="7" t="str">
        <v>两份公开汇编一致</v>
      </c>
      <c r="O742" s="7" t="str"/>
      <c r="P742" s="15" t="str">
        <v>JIF来源</v>
      </c>
      <c r="Q742" s="15" t="str">
        <v>分区来源</v>
      </c>
      <c r="R742" s="15" t="str"/>
      <c r="S742" s="14" t="str">
        <v>http://www.elsevier.com/wps/find/journaldescription.cws_home/405857/description#description</v>
      </c>
      <c r="T742" s="7" t="str">
        <v>ISSN匹配公开元数据；未逐站复核</v>
      </c>
      <c r="U742" s="2" t="str">
        <v>官网来源</v>
      </c>
      <c r="V742" s="2" t="n">
        <v>2026</v>
      </c>
    </row>
    <row r="743" ht="34" customHeight="1">
      <c r="A743" s="7" t="str">
        <v>Food Chemistry-X</v>
      </c>
      <c r="B743" s="7" t="str">
        <v>食品营养与安全</v>
      </c>
      <c r="C743" s="11" t="n">
        <v>1</v>
      </c>
      <c r="D743" s="12" t="n">
        <v>9.2</v>
      </c>
      <c r="E743" s="13" t="n">
        <v>2025</v>
      </c>
      <c r="F743" s="7" t="str">
        <v>其他</v>
      </c>
      <c r="G743" s="7" t="str">
        <v>领域期刊/新兴刊</v>
      </c>
      <c r="H743" s="7" t="str">
        <v>研究/方法/综合</v>
      </c>
      <c r="I743" s="10" t="n">
        <v>2025</v>
      </c>
      <c r="J743" s="2" t="str">
        <v>是</v>
      </c>
      <c r="K743" s="2" t="str">
        <v>2590-1575</v>
      </c>
      <c r="L743" s="2" t="str">
        <v>2590-1575</v>
      </c>
      <c r="M743" s="7" t="str">
        <v>CHEMISTRY, APPLIED(SCIE);FOOD SCIENCE &amp; TECHNOLOGY(SCIE)</v>
      </c>
      <c r="N743" s="7" t="str">
        <v>两份公开汇编一致</v>
      </c>
      <c r="O743" s="7" t="str"/>
      <c r="P743" s="15" t="str">
        <v>JIF来源</v>
      </c>
      <c r="Q743" s="15" t="str">
        <v>分区来源</v>
      </c>
      <c r="R743" s="15" t="str"/>
      <c r="S743" s="14" t="str">
        <v>https://www.journals.elsevier.com/food-chemistry-x</v>
      </c>
      <c r="T743" s="7" t="str">
        <v>ISSN匹配公开元数据；未逐站复核</v>
      </c>
      <c r="U743" s="2" t="str">
        <v>官网来源</v>
      </c>
      <c r="V743" s="2" t="n">
        <v>2026</v>
      </c>
    </row>
    <row r="744" ht="34" customHeight="1">
      <c r="A744" s="7" t="str">
        <v>FOOD RESEARCH INTERNATIONAL</v>
      </c>
      <c r="B744" s="7" t="str">
        <v>食品营养与安全</v>
      </c>
      <c r="C744" s="11" t="n">
        <v>1</v>
      </c>
      <c r="D744" s="12" t="n">
        <v>8.8</v>
      </c>
      <c r="E744" s="13" t="n">
        <v>2025</v>
      </c>
      <c r="F744" s="7" t="str">
        <v>其他</v>
      </c>
      <c r="G744" s="7" t="str">
        <v>领域期刊/新兴刊</v>
      </c>
      <c r="H744" s="7" t="str">
        <v>研究/方法/综合</v>
      </c>
      <c r="I744" s="10" t="n">
        <v>2025</v>
      </c>
      <c r="J744" s="2" t="str">
        <v>是</v>
      </c>
      <c r="K744" s="2" t="str">
        <v>0963-9969</v>
      </c>
      <c r="L744" s="2" t="str">
        <v>1873-7145</v>
      </c>
      <c r="M744" s="7" t="str">
        <v>FOOD SCIENCE &amp; TECHNOLOGY(SCIE)</v>
      </c>
      <c r="N744" s="7" t="str">
        <v>两份公开汇编一致</v>
      </c>
      <c r="O744" s="7" t="str"/>
      <c r="P744" s="15" t="str">
        <v>JIF来源</v>
      </c>
      <c r="Q744" s="15" t="str">
        <v>分区来源</v>
      </c>
      <c r="R744" s="15" t="str"/>
      <c r="S744" s="14" t="str">
        <v>https://www.journals.elsevier.com/food-research-international</v>
      </c>
      <c r="T744" s="7" t="str">
        <v>ISSN匹配公开元数据；未逐站复核</v>
      </c>
      <c r="U744" s="2" t="str">
        <v>官网来源</v>
      </c>
      <c r="V744" s="2" t="n">
        <v>2026</v>
      </c>
    </row>
    <row r="745" ht="34" customHeight="1">
      <c r="A745" s="7" t="str">
        <v>npj Science of Food</v>
      </c>
      <c r="B745" s="7" t="str">
        <v>食品营养与安全</v>
      </c>
      <c r="C745" s="11" t="n">
        <v>1</v>
      </c>
      <c r="D745" s="12" t="n">
        <v>9.7</v>
      </c>
      <c r="E745" s="13" t="n">
        <v>2025</v>
      </c>
      <c r="F745" s="7" t="str">
        <v>Nature Portfolio（含合作刊）</v>
      </c>
      <c r="G745" s="7" t="str">
        <v>领域期刊/新兴刊</v>
      </c>
      <c r="H745" s="7" t="str">
        <v>研究/方法/综合</v>
      </c>
      <c r="I745" s="10" t="n">
        <v>2025</v>
      </c>
      <c r="J745" s="2" t="str">
        <v>是</v>
      </c>
      <c r="K745" s="2" t="str"/>
      <c r="L745" s="2" t="str">
        <v>2396-8370</v>
      </c>
      <c r="M745" s="7" t="str">
        <v>FOOD SCIENCE &amp; TECHNOLOGY(SCIE)</v>
      </c>
      <c r="N745" s="7" t="str">
        <v>两份公开汇编一致</v>
      </c>
      <c r="O745" s="7" t="str"/>
      <c r="P745" s="15" t="str">
        <v>JIF来源</v>
      </c>
      <c r="Q745" s="15" t="str">
        <v>分区来源</v>
      </c>
      <c r="R745" s="15" t="str"/>
      <c r="S745" s="14" t="str">
        <v>https://www.nature.com/npjscifood/</v>
      </c>
      <c r="T745" s="7" t="str">
        <v>ISSN匹配公开元数据；未逐站复核</v>
      </c>
      <c r="U745" s="2" t="str">
        <v>官网来源</v>
      </c>
      <c r="V745" s="2" t="n">
        <v>2026</v>
      </c>
    </row>
    <row r="746" ht="34" customHeight="1">
      <c r="A746" s="7" t="str">
        <v>Food Science and Human Wellness</v>
      </c>
      <c r="B746" s="7" t="str">
        <v>食品营养与安全</v>
      </c>
      <c r="C746" s="11" t="n">
        <v>1</v>
      </c>
      <c r="D746" s="12" t="n">
        <v>7.3</v>
      </c>
      <c r="E746" s="13" t="n">
        <v>2025</v>
      </c>
      <c r="F746" s="7" t="str">
        <v>其他</v>
      </c>
      <c r="G746" s="7" t="str">
        <v>领域期刊/新兴刊</v>
      </c>
      <c r="H746" s="7" t="str">
        <v>研究/方法/综合</v>
      </c>
      <c r="I746" s="10" t="n">
        <v>2025</v>
      </c>
      <c r="J746" s="2" t="str">
        <v>是</v>
      </c>
      <c r="K746" s="2" t="str"/>
      <c r="L746" s="2" t="str">
        <v>2213-4530</v>
      </c>
      <c r="M746" s="7" t="str">
        <v>FOOD SCIENCE &amp; TECHNOLOGY(SCIE);NUTRITION &amp; DIETETICS(SCIE)</v>
      </c>
      <c r="N746" s="7" t="str">
        <v>两份公开汇编一致</v>
      </c>
      <c r="O746" s="7" t="str"/>
      <c r="P746" s="15" t="str">
        <v>JIF来源</v>
      </c>
      <c r="Q746" s="15" t="str">
        <v>分区来源</v>
      </c>
      <c r="R746" s="15" t="str"/>
      <c r="S746" s="14" t="str">
        <v>https://www.sciencedirect.com/journal/food-science-and-human-wellness</v>
      </c>
      <c r="T746" s="7" t="str">
        <v>ISSN匹配公开元数据；未逐站复核</v>
      </c>
      <c r="U746" s="2" t="str">
        <v>官网来源</v>
      </c>
      <c r="V746" s="2" t="n">
        <v>2026</v>
      </c>
    </row>
    <row r="747" ht="34" customHeight="1">
      <c r="A747" s="7" t="str">
        <v>AMERICAN JOURNAL OF CLINICAL NUTRITION</v>
      </c>
      <c r="B747" s="7" t="str">
        <v>食品营养与安全</v>
      </c>
      <c r="C747" s="11" t="n">
        <v>1</v>
      </c>
      <c r="D747" s="12" t="n">
        <v>7.1</v>
      </c>
      <c r="E747" s="13" t="n">
        <v>2025</v>
      </c>
      <c r="F747" s="7" t="str">
        <v>其他</v>
      </c>
      <c r="G747" s="7" t="str">
        <v>领域期刊/新兴刊</v>
      </c>
      <c r="H747" s="7" t="str">
        <v>研究/方法/综合</v>
      </c>
      <c r="I747" s="10" t="n">
        <v>2025</v>
      </c>
      <c r="J747" s="2" t="str">
        <v>是</v>
      </c>
      <c r="K747" s="2" t="str">
        <v>0002-9165</v>
      </c>
      <c r="L747" s="2" t="str">
        <v>1938-3207</v>
      </c>
      <c r="M747" s="7" t="str">
        <v>NUTRITION &amp; DIETETICS(SCIE)</v>
      </c>
      <c r="N747" s="7" t="str">
        <v>两份公开汇编一致</v>
      </c>
      <c r="O747" s="7" t="str"/>
      <c r="P747" s="15" t="str">
        <v>JIF来源</v>
      </c>
      <c r="Q747" s="15" t="str">
        <v>分区来源</v>
      </c>
      <c r="R747" s="15" t="str"/>
      <c r="S747" s="14" t="str">
        <v>https://www.sciencedirect.com/journal/the-american-journal-of-clinical-nutrition</v>
      </c>
      <c r="T747" s="7" t="str">
        <v>ISSN匹配公开元数据；未逐站复核</v>
      </c>
      <c r="U747" s="2" t="str">
        <v>官网来源</v>
      </c>
      <c r="V747" s="2" t="n">
        <v>2026</v>
      </c>
    </row>
    <row r="748" ht="34" customHeight="1">
      <c r="A748" s="7" t="str">
        <v>Innovative Food Science &amp; Emerging Technologies</v>
      </c>
      <c r="B748" s="7" t="str">
        <v>食品营养与安全</v>
      </c>
      <c r="C748" s="11" t="n">
        <v>1</v>
      </c>
      <c r="D748" s="12" t="n">
        <v>6.9</v>
      </c>
      <c r="E748" s="13" t="n">
        <v>2025</v>
      </c>
      <c r="F748" s="7" t="str">
        <v>其他</v>
      </c>
      <c r="G748" s="7" t="str">
        <v>领域期刊/新兴刊</v>
      </c>
      <c r="H748" s="7" t="str">
        <v>研究/方法/综合</v>
      </c>
      <c r="I748" s="10" t="n">
        <v>2025</v>
      </c>
      <c r="J748" s="2" t="str">
        <v>是</v>
      </c>
      <c r="K748" s="2" t="str">
        <v>1466-8564</v>
      </c>
      <c r="L748" s="2" t="str">
        <v>1878-5522</v>
      </c>
      <c r="M748" s="7" t="str">
        <v>FOOD SCIENCE &amp; TECHNOLOGY(SCIE)</v>
      </c>
      <c r="N748" s="7" t="str">
        <v>两份公开汇编一致</v>
      </c>
      <c r="O748" s="7" t="str"/>
      <c r="P748" s="15" t="str">
        <v>JIF来源</v>
      </c>
      <c r="Q748" s="15" t="str">
        <v>分区来源</v>
      </c>
      <c r="R748" s="15" t="str"/>
      <c r="S748" s="14" t="str">
        <v>http://www.elsevier.com/wps/find/journaldescription.cws_home/620381/description#description</v>
      </c>
      <c r="T748" s="7" t="str">
        <v>ISSN匹配公开元数据；未逐站复核</v>
      </c>
      <c r="U748" s="2" t="str">
        <v>官网来源</v>
      </c>
      <c r="V748" s="2" t="n">
        <v>2026</v>
      </c>
    </row>
    <row r="749" ht="34" customHeight="1">
      <c r="A749" s="7" t="str">
        <v>LWT-FOOD SCIENCE AND TECHNOLOGY</v>
      </c>
      <c r="B749" s="7" t="str">
        <v>食品营养与安全</v>
      </c>
      <c r="C749" s="11" t="n">
        <v>1</v>
      </c>
      <c r="D749" s="12" t="n">
        <v>7.1</v>
      </c>
      <c r="E749" s="13" t="n">
        <v>2025</v>
      </c>
      <c r="F749" s="7" t="str">
        <v>其他</v>
      </c>
      <c r="G749" s="7" t="str">
        <v>领域期刊/新兴刊</v>
      </c>
      <c r="H749" s="7" t="str">
        <v>研究/方法/综合</v>
      </c>
      <c r="I749" s="10" t="n">
        <v>2025</v>
      </c>
      <c r="J749" s="2" t="str">
        <v>是</v>
      </c>
      <c r="K749" s="2" t="str">
        <v>0023-6438</v>
      </c>
      <c r="L749" s="2" t="str">
        <v>1096-1127</v>
      </c>
      <c r="M749" s="7" t="str">
        <v>FOOD SCIENCE &amp; TECHNOLOGY(SCIE)</v>
      </c>
      <c r="N749" s="7" t="str">
        <v>两份公开汇编一致</v>
      </c>
      <c r="O749" s="7" t="str"/>
      <c r="P749" s="15" t="str">
        <v>JIF来源</v>
      </c>
      <c r="Q749" s="15" t="str">
        <v>分区来源</v>
      </c>
      <c r="R749" s="15" t="str"/>
      <c r="S749" s="14" t="str">
        <v>https://www.sciencedirect.com/journal/lwt</v>
      </c>
      <c r="T749" s="7" t="str">
        <v>ISSN匹配公开元数据；未逐站复核</v>
      </c>
      <c r="U749" s="2" t="str">
        <v>官网来源</v>
      </c>
      <c r="V749" s="2" t="n">
        <v>2026</v>
      </c>
    </row>
    <row r="750" ht="34" customHeight="1">
      <c r="A750" s="7" t="str">
        <v>FOOD CONTROL</v>
      </c>
      <c r="B750" s="7" t="str">
        <v>食品营养与安全</v>
      </c>
      <c r="C750" s="11" t="n">
        <v>1</v>
      </c>
      <c r="D750" s="12" t="n">
        <v>7</v>
      </c>
      <c r="E750" s="13" t="n">
        <v>2025</v>
      </c>
      <c r="F750" s="7" t="str">
        <v>其他</v>
      </c>
      <c r="G750" s="7" t="str">
        <v>领域期刊/新兴刊</v>
      </c>
      <c r="H750" s="7" t="str">
        <v>研究/方法/综合</v>
      </c>
      <c r="I750" s="10" t="n">
        <v>2025</v>
      </c>
      <c r="J750" s="2" t="str">
        <v>是</v>
      </c>
      <c r="K750" s="2" t="str">
        <v>0956-7135</v>
      </c>
      <c r="L750" s="2" t="str">
        <v>1873-7129</v>
      </c>
      <c r="M750" s="7" t="str">
        <v>FOOD SCIENCE &amp; TECHNOLOGY(SCIE)</v>
      </c>
      <c r="N750" s="7" t="str">
        <v>两份公开汇编一致</v>
      </c>
      <c r="O750" s="7" t="str"/>
      <c r="P750" s="15" t="str">
        <v>JIF来源</v>
      </c>
      <c r="Q750" s="15" t="str">
        <v>分区来源</v>
      </c>
      <c r="R750" s="15" t="str"/>
      <c r="S750" s="14" t="str">
        <v>https://www.journals.elsevier.com/food-control</v>
      </c>
      <c r="T750" s="7" t="str">
        <v>ISSN匹配公开元数据；未逐站复核</v>
      </c>
      <c r="U750" s="2" t="str">
        <v>官网来源</v>
      </c>
      <c r="V750" s="2" t="n">
        <v>2026</v>
      </c>
    </row>
    <row r="751" ht="34" customHeight="1">
      <c r="A751" s="7" t="str">
        <v>JOURNAL OF AGRICULTURAL AND FOOD CHEMISTRY</v>
      </c>
      <c r="B751" s="7" t="str">
        <v>食品营养与安全</v>
      </c>
      <c r="C751" s="11" t="n">
        <v>1</v>
      </c>
      <c r="D751" s="12" t="n">
        <v>6.7</v>
      </c>
      <c r="E751" s="13" t="n">
        <v>2025</v>
      </c>
      <c r="F751" s="7" t="str">
        <v>其他</v>
      </c>
      <c r="G751" s="7" t="str">
        <v>经典专业刊</v>
      </c>
      <c r="H751" s="7" t="str">
        <v>研究/方法/综合</v>
      </c>
      <c r="I751" s="10" t="n">
        <v>2025</v>
      </c>
      <c r="J751" s="2" t="str">
        <v>是</v>
      </c>
      <c r="K751" s="2" t="str">
        <v>0021-8561</v>
      </c>
      <c r="L751" s="2" t="str">
        <v>1520-5118</v>
      </c>
      <c r="M751" s="7" t="str">
        <v>AGRICULTURE, MULTIDISCIPLINARY(SCIE);CHEMISTRY, APPLIED(SCIE);FOOD SCIENCE &amp; TECHNOLOGY(SCIE)</v>
      </c>
      <c r="N751" s="7" t="str">
        <v>两份公开汇编一致</v>
      </c>
      <c r="O751" s="7" t="str"/>
      <c r="P751" s="15" t="str">
        <v>JIF来源</v>
      </c>
      <c r="Q751" s="15" t="str">
        <v>分区来源</v>
      </c>
      <c r="R751" s="15" t="str"/>
      <c r="S751" s="14" t="str">
        <v>http://pubs.acs.org/journal/jafcau</v>
      </c>
      <c r="T751" s="7" t="str">
        <v>ISSN匹配公开元数据；未逐站复核</v>
      </c>
      <c r="U751" s="2" t="str">
        <v>官网来源</v>
      </c>
      <c r="V751" s="2" t="n">
        <v>2026</v>
      </c>
    </row>
    <row r="752" ht="34" customHeight="1">
      <c r="A752" s="7" t="str">
        <v>INTERNATIONAL JOURNAL OF FOOD MICROBIOLOGY</v>
      </c>
      <c r="B752" s="7" t="str">
        <v>食品营养与安全</v>
      </c>
      <c r="C752" s="11" t="n">
        <v>1</v>
      </c>
      <c r="D752" s="12" t="n">
        <v>5.7</v>
      </c>
      <c r="E752" s="13" t="n">
        <v>2025</v>
      </c>
      <c r="F752" s="7" t="str">
        <v>其他</v>
      </c>
      <c r="G752" s="7" t="str">
        <v>领域期刊/新兴刊</v>
      </c>
      <c r="H752" s="7" t="str">
        <v>研究/方法/综合</v>
      </c>
      <c r="I752" s="10" t="n">
        <v>2025</v>
      </c>
      <c r="J752" s="2" t="str">
        <v>是</v>
      </c>
      <c r="K752" s="2" t="str">
        <v>0168-1605</v>
      </c>
      <c r="L752" s="2" t="str">
        <v>1879-3460</v>
      </c>
      <c r="M752" s="7" t="str">
        <v>FOOD SCIENCE &amp; TECHNOLOGY(SCIE);MICROBIOLOGY(SCIE)</v>
      </c>
      <c r="N752" s="7" t="str">
        <v>两份公开汇编一致</v>
      </c>
      <c r="O752" s="7" t="str"/>
      <c r="P752" s="15" t="str">
        <v>JIF来源</v>
      </c>
      <c r="Q752" s="15" t="str">
        <v>分区来源</v>
      </c>
      <c r="R752" s="15" t="str"/>
      <c r="S752" s="14" t="str">
        <v>https://www.journals.elsevier.com/international-journal-of-food-microbiology</v>
      </c>
      <c r="T752" s="7" t="str">
        <v>ISSN匹配公开元数据；未逐站复核</v>
      </c>
      <c r="U752" s="2" t="str">
        <v>官网来源</v>
      </c>
      <c r="V752" s="2" t="n">
        <v>2026</v>
      </c>
    </row>
    <row r="753" ht="34" customHeight="1">
      <c r="A753" s="7" t="str">
        <v>Food Quality and Preference</v>
      </c>
      <c r="B753" s="7" t="str">
        <v>食品营养与安全</v>
      </c>
      <c r="C753" s="11" t="n">
        <v>1</v>
      </c>
      <c r="D753" s="12" t="n">
        <v>5.9</v>
      </c>
      <c r="E753" s="13" t="n">
        <v>2025</v>
      </c>
      <c r="F753" s="7" t="str">
        <v>其他</v>
      </c>
      <c r="G753" s="7" t="str">
        <v>领域期刊/新兴刊</v>
      </c>
      <c r="H753" s="7" t="str">
        <v>研究/方法/综合</v>
      </c>
      <c r="I753" s="10" t="n">
        <v>2025</v>
      </c>
      <c r="J753" s="2" t="str">
        <v>是</v>
      </c>
      <c r="K753" s="2" t="str">
        <v>0950-3293</v>
      </c>
      <c r="L753" s="2" t="str">
        <v>1873-6343</v>
      </c>
      <c r="M753" s="7" t="str">
        <v>FOOD SCIENCE &amp; TECHNOLOGY(SCIE)</v>
      </c>
      <c r="N753" s="7" t="str">
        <v>两份公开汇编一致</v>
      </c>
      <c r="O753" s="7" t="str"/>
      <c r="P753" s="15" t="str">
        <v>JIF来源</v>
      </c>
      <c r="Q753" s="15" t="str">
        <v>分区来源</v>
      </c>
      <c r="R753" s="15" t="str"/>
      <c r="S753" s="14" t="str">
        <v>http://www.elsevier.com/wps/find/journaldescription.cws_home/405859/description#description</v>
      </c>
      <c r="T753" s="7" t="str">
        <v>ISSN匹配公开元数据；未逐站复核</v>
      </c>
      <c r="U753" s="2" t="str">
        <v>官网来源</v>
      </c>
      <c r="V753" s="2" t="n">
        <v>2026</v>
      </c>
    </row>
    <row r="754" ht="34" customHeight="1">
      <c r="A754" s="7" t="str">
        <v>FOOD MICROBIOLOGY</v>
      </c>
      <c r="B754" s="7" t="str">
        <v>食品营养与安全</v>
      </c>
      <c r="C754" s="11" t="n">
        <v>1</v>
      </c>
      <c r="D754" s="12" t="n">
        <v>5.4</v>
      </c>
      <c r="E754" s="13" t="n">
        <v>2025</v>
      </c>
      <c r="F754" s="7" t="str">
        <v>其他</v>
      </c>
      <c r="G754" s="7" t="str">
        <v>领域期刊/新兴刊</v>
      </c>
      <c r="H754" s="7" t="str">
        <v>研究/方法/综合</v>
      </c>
      <c r="I754" s="10" t="n">
        <v>2025</v>
      </c>
      <c r="J754" s="2" t="str">
        <v>是</v>
      </c>
      <c r="K754" s="2" t="str">
        <v>0740-0020</v>
      </c>
      <c r="L754" s="2" t="str">
        <v>1095-9998</v>
      </c>
      <c r="M754" s="7" t="str">
        <v>BIOTECHNOLOGY &amp; APPLIED MICROBIOLOGY(SCIE);FOOD SCIENCE &amp; TECHNOLOGY(SCIE);MICROBIOLOGY(SCIE)</v>
      </c>
      <c r="N754" s="7" t="str">
        <v>两份公开汇编一致</v>
      </c>
      <c r="O754" s="7" t="str"/>
      <c r="P754" s="15" t="str">
        <v>JIF来源</v>
      </c>
      <c r="Q754" s="15" t="str">
        <v>分区来源</v>
      </c>
      <c r="R754" s="15" t="str"/>
      <c r="S754" s="14" t="str">
        <v>https://www.journals.elsevier.com/food-microbiology</v>
      </c>
      <c r="T754" s="7" t="str">
        <v>ISSN匹配公开元数据；未逐站复核</v>
      </c>
      <c r="U754" s="2" t="str">
        <v>官网来源</v>
      </c>
      <c r="V754" s="2" t="n">
        <v>2026</v>
      </c>
    </row>
    <row r="755" ht="34" customHeight="1">
      <c r="A755" s="7" t="str">
        <v>Advances in Nutrition</v>
      </c>
      <c r="B755" s="7" t="str">
        <v>食品营养与安全</v>
      </c>
      <c r="C755" s="11" t="n">
        <v>2</v>
      </c>
      <c r="D755" s="12" t="n">
        <v>12.7</v>
      </c>
      <c r="E755" s="13" t="n">
        <v>2025</v>
      </c>
      <c r="F755" s="7" t="str">
        <v>其他</v>
      </c>
      <c r="G755" s="7" t="str">
        <v>领域期刊/新兴刊</v>
      </c>
      <c r="H755" s="7" t="str">
        <v>研究/方法/综合</v>
      </c>
      <c r="I755" s="10" t="n">
        <v>2025</v>
      </c>
      <c r="J755" s="2" t="str">
        <v>是</v>
      </c>
      <c r="K755" s="2" t="str">
        <v>2161-8313</v>
      </c>
      <c r="L755" s="2" t="str">
        <v>2156-5376</v>
      </c>
      <c r="M755" s="7" t="str">
        <v>NUTRITION &amp; DIETETICS(SCIE)</v>
      </c>
      <c r="N755" s="7" t="str">
        <v>两份公开汇编一致</v>
      </c>
      <c r="O755" s="7" t="str"/>
      <c r="P755" s="15" t="str">
        <v>JIF来源</v>
      </c>
      <c r="Q755" s="15" t="str">
        <v>分区来源</v>
      </c>
      <c r="R755" s="15" t="str"/>
      <c r="S755" s="14" t="str">
        <v>https://www.sciencedirect.com/journal/advances-in-nutrition</v>
      </c>
      <c r="T755" s="7" t="str">
        <v>ISSN匹配公开元数据；未逐站复核</v>
      </c>
      <c r="U755" s="2" t="str">
        <v>官网来源</v>
      </c>
      <c r="V755" s="2" t="n">
        <v>2026</v>
      </c>
    </row>
    <row r="756" ht="34" customHeight="1">
      <c r="A756" s="7" t="str">
        <v>CRITICAL REVIEWS IN FOOD SCIENCE AND NUTRITION</v>
      </c>
      <c r="B756" s="7" t="str">
        <v>食品营养与安全</v>
      </c>
      <c r="C756" s="11" t="n">
        <v>2</v>
      </c>
      <c r="D756" s="12" t="n">
        <v>10.6</v>
      </c>
      <c r="E756" s="13" t="n">
        <v>2025</v>
      </c>
      <c r="F756" s="7" t="str">
        <v>其他</v>
      </c>
      <c r="G756" s="7" t="str">
        <v>领域期刊/新兴刊</v>
      </c>
      <c r="H756" s="7" t="str">
        <v>综述为主</v>
      </c>
      <c r="I756" s="10" t="n">
        <v>2025</v>
      </c>
      <c r="J756" s="2" t="str">
        <v>是</v>
      </c>
      <c r="K756" s="2" t="str">
        <v>1040-8398</v>
      </c>
      <c r="L756" s="2" t="str">
        <v>1549-7852</v>
      </c>
      <c r="M756" s="7" t="str">
        <v>FOOD SCIENCE &amp; TECHNOLOGY(SCIE);NUTRITION &amp; DIETETICS(SCIE)</v>
      </c>
      <c r="N756" s="7" t="str">
        <v>两份公开汇编一致</v>
      </c>
      <c r="O756" s="7" t="str"/>
      <c r="P756" s="15" t="str">
        <v>JIF来源</v>
      </c>
      <c r="Q756" s="15" t="str">
        <v>分区来源</v>
      </c>
      <c r="R756" s="15" t="str"/>
      <c r="S756" s="14" t="str">
        <v>http://www.tandfonline.com/toc/bfsn20/current#.UnwKBJSxO3N</v>
      </c>
      <c r="T756" s="7" t="str">
        <v>ISSN匹配公开元数据；未逐站复核</v>
      </c>
      <c r="U756" s="2" t="str">
        <v>官网来源</v>
      </c>
      <c r="V756" s="2" t="n">
        <v>2026</v>
      </c>
    </row>
    <row r="757" ht="34" customHeight="1">
      <c r="A757" s="7" t="str">
        <v>Food Bioscience</v>
      </c>
      <c r="B757" s="7" t="str">
        <v>食品营养与安全</v>
      </c>
      <c r="C757" s="11" t="n">
        <v>2</v>
      </c>
      <c r="D757" s="12" t="n">
        <v>6.2</v>
      </c>
      <c r="E757" s="13" t="n">
        <v>2025</v>
      </c>
      <c r="F757" s="7" t="str">
        <v>其他</v>
      </c>
      <c r="G757" s="7" t="str">
        <v>领域期刊/新兴刊</v>
      </c>
      <c r="H757" s="7" t="str">
        <v>研究/方法/综合</v>
      </c>
      <c r="I757" s="10" t="n">
        <v>2025</v>
      </c>
      <c r="J757" s="2" t="str">
        <v>是</v>
      </c>
      <c r="K757" s="2" t="str">
        <v>2212-4292</v>
      </c>
      <c r="L757" s="2" t="str">
        <v>2212-4306</v>
      </c>
      <c r="M757" s="7" t="str">
        <v>FOOD SCIENCE &amp; TECHNOLOGY(SCIE)</v>
      </c>
      <c r="N757" s="7" t="str">
        <v>两份公开汇编一致</v>
      </c>
      <c r="O757" s="7" t="str"/>
      <c r="P757" s="15" t="str">
        <v>JIF来源</v>
      </c>
      <c r="Q757" s="15" t="str">
        <v>分区来源</v>
      </c>
      <c r="R757" s="15" t="str"/>
      <c r="S757" s="14" t="str">
        <v>https://www.journals.elsevier.com/food-bioscience</v>
      </c>
      <c r="T757" s="7" t="str">
        <v>ISSN匹配公开元数据；未逐站复核</v>
      </c>
      <c r="U757" s="2" t="str">
        <v>官网来源</v>
      </c>
      <c r="V757" s="2" t="n">
        <v>2026</v>
      </c>
    </row>
    <row r="758" ht="34" customHeight="1">
      <c r="A758" s="7" t="str">
        <v>Food and Bioprocess Technology</v>
      </c>
      <c r="B758" s="7" t="str">
        <v>食品营养与安全</v>
      </c>
      <c r="C758" s="11" t="n">
        <v>2</v>
      </c>
      <c r="D758" s="12" t="n">
        <v>5.6</v>
      </c>
      <c r="E758" s="13" t="n">
        <v>2025</v>
      </c>
      <c r="F758" s="7" t="str">
        <v>其他</v>
      </c>
      <c r="G758" s="7" t="str">
        <v>领域期刊/新兴刊</v>
      </c>
      <c r="H758" s="7" t="str">
        <v>研究/方法/综合</v>
      </c>
      <c r="I758" s="10" t="n">
        <v>2025</v>
      </c>
      <c r="J758" s="2" t="str">
        <v>是</v>
      </c>
      <c r="K758" s="2" t="str">
        <v>1935-5130</v>
      </c>
      <c r="L758" s="2" t="str">
        <v>1935-5149</v>
      </c>
      <c r="M758" s="7" t="str">
        <v>FOOD SCIENCE &amp; TECHNOLOGY(SCIE)</v>
      </c>
      <c r="N758" s="7" t="str">
        <v>两份公开汇编一致</v>
      </c>
      <c r="O758" s="7" t="str"/>
      <c r="P758" s="15" t="str">
        <v>JIF来源</v>
      </c>
      <c r="Q758" s="15" t="str">
        <v>分区来源</v>
      </c>
      <c r="R758" s="15" t="str"/>
      <c r="S758" s="14" t="str">
        <v>http://www.springer.com/11947</v>
      </c>
      <c r="T758" s="7" t="str">
        <v>ISSN匹配公开元数据；未逐站复核</v>
      </c>
      <c r="U758" s="2" t="str">
        <v>官网来源</v>
      </c>
      <c r="V758" s="2" t="n">
        <v>2026</v>
      </c>
    </row>
    <row r="759" ht="34" customHeight="1">
      <c r="A759" s="7" t="str">
        <v>JOURNAL OF FOOD ENGINEERING</v>
      </c>
      <c r="B759" s="7" t="str">
        <v>食品营养与安全</v>
      </c>
      <c r="C759" s="11" t="n">
        <v>2</v>
      </c>
      <c r="D759" s="12" t="n">
        <v>5.8</v>
      </c>
      <c r="E759" s="13" t="n">
        <v>2025</v>
      </c>
      <c r="F759" s="7" t="str">
        <v>其他</v>
      </c>
      <c r="G759" s="7" t="str">
        <v>领域期刊/新兴刊</v>
      </c>
      <c r="H759" s="7" t="str">
        <v>研究/方法/综合</v>
      </c>
      <c r="I759" s="10" t="n">
        <v>2025</v>
      </c>
      <c r="J759" s="2" t="str">
        <v>是</v>
      </c>
      <c r="K759" s="2" t="str">
        <v>0260-8774</v>
      </c>
      <c r="L759" s="2" t="str">
        <v>1873-5770</v>
      </c>
      <c r="M759" s="7" t="str">
        <v>ENGINEERING, CHEMICAL(SCIE);FOOD SCIENCE &amp; TECHNOLOGY(SCIE)</v>
      </c>
      <c r="N759" s="7" t="str">
        <v>两份公开汇编一致</v>
      </c>
      <c r="O759" s="7" t="str"/>
      <c r="P759" s="15" t="str">
        <v>JIF来源</v>
      </c>
      <c r="Q759" s="15" t="str">
        <v>分区来源</v>
      </c>
      <c r="R759" s="15" t="str"/>
      <c r="S759" s="14" t="str">
        <v>https://www.journals.elsevier.com/journal-of-food-engineering</v>
      </c>
      <c r="T759" s="7" t="str">
        <v>ISSN匹配公开元数据；未逐站复核</v>
      </c>
      <c r="U759" s="2" t="str">
        <v>官网来源</v>
      </c>
      <c r="V759" s="2" t="n">
        <v>2026</v>
      </c>
    </row>
    <row r="760" ht="34" customHeight="1">
      <c r="A760" s="7" t="str">
        <v>Food &amp; Function</v>
      </c>
      <c r="B760" s="7" t="str">
        <v>食品营养与安全</v>
      </c>
      <c r="C760" s="11" t="n">
        <v>2</v>
      </c>
      <c r="D760" s="12" t="n">
        <v>6.3</v>
      </c>
      <c r="E760" s="13" t="n">
        <v>2025</v>
      </c>
      <c r="F760" s="7" t="str">
        <v>其他</v>
      </c>
      <c r="G760" s="7" t="str">
        <v>领域期刊/新兴刊</v>
      </c>
      <c r="H760" s="7" t="str">
        <v>研究/方法/综合</v>
      </c>
      <c r="I760" s="10" t="n">
        <v>2025</v>
      </c>
      <c r="J760" s="2" t="str">
        <v>是</v>
      </c>
      <c r="K760" s="2" t="str">
        <v>2042-6496</v>
      </c>
      <c r="L760" s="2" t="str">
        <v>2042-650X</v>
      </c>
      <c r="M760" s="7" t="str">
        <v>BIOCHEMISTRY &amp; MOLECULAR BIOLOGY(SCIE);FOOD SCIENCE &amp; TECHNOLOGY(SCIE)</v>
      </c>
      <c r="N760" s="7" t="str">
        <v>两份公开汇编一致</v>
      </c>
      <c r="O760" s="7" t="str"/>
      <c r="P760" s="15" t="str">
        <v>JIF来源</v>
      </c>
      <c r="Q760" s="15" t="str">
        <v>分区来源</v>
      </c>
      <c r="R760" s="15" t="str"/>
      <c r="S760" s="14" t="str">
        <v>https://www.rsc.org/publishing/journals/food-and-function</v>
      </c>
      <c r="T760" s="7" t="str">
        <v>出版社/期刊主页匹配</v>
      </c>
      <c r="U760" s="2" t="str">
        <v>官网来源</v>
      </c>
      <c r="V760" s="2" t="n">
        <v>2026</v>
      </c>
    </row>
    <row r="761" ht="34" customHeight="1">
      <c r="A761" s="7" t="str">
        <v>Foods</v>
      </c>
      <c r="B761" s="7" t="str">
        <v>食品营养与安全</v>
      </c>
      <c r="C761" s="11" t="n">
        <v>2</v>
      </c>
      <c r="D761" s="12" t="n">
        <v>6</v>
      </c>
      <c r="E761" s="13" t="n">
        <v>2025</v>
      </c>
      <c r="F761" s="7" t="str">
        <v>其他</v>
      </c>
      <c r="G761" s="7" t="str">
        <v>领域期刊/新兴刊</v>
      </c>
      <c r="H761" s="7" t="str">
        <v>研究/方法/综合</v>
      </c>
      <c r="I761" s="10" t="n">
        <v>2025</v>
      </c>
      <c r="J761" s="2" t="str">
        <v>否</v>
      </c>
      <c r="K761" s="2" t="str"/>
      <c r="L761" s="2" t="str">
        <v>2304-8158</v>
      </c>
      <c r="M761" s="7" t="str">
        <v>FOOD SCIENCE &amp; TECHNOLOGY(SCIE)</v>
      </c>
      <c r="N761" s="7" t="str">
        <v>两份公开汇编一致</v>
      </c>
      <c r="O761" s="7" t="str"/>
      <c r="P761" s="15" t="str">
        <v>JIF来源</v>
      </c>
      <c r="Q761" s="15" t="str">
        <v>分区来源</v>
      </c>
      <c r="R761" s="15" t="str"/>
      <c r="S761" s="14" t="str">
        <v>http://www.mdpi.com/journal/foods</v>
      </c>
      <c r="T761" s="7" t="str">
        <v>ISSN匹配公开元数据；未逐站复核</v>
      </c>
      <c r="U761" s="2" t="str">
        <v>官网来源</v>
      </c>
      <c r="V761" s="2" t="n">
        <v>2026</v>
      </c>
    </row>
    <row r="762" ht="34" customHeight="1">
      <c r="A762" s="7" t="str">
        <v>Nutrients</v>
      </c>
      <c r="B762" s="7" t="str">
        <v>食品营养与安全</v>
      </c>
      <c r="C762" s="11" t="n">
        <v>2</v>
      </c>
      <c r="D762" s="12" t="n">
        <v>5.8</v>
      </c>
      <c r="E762" s="13" t="n">
        <v>2025</v>
      </c>
      <c r="F762" s="7" t="str">
        <v>其他</v>
      </c>
      <c r="G762" s="7" t="str">
        <v>领域期刊/新兴刊</v>
      </c>
      <c r="H762" s="7" t="str">
        <v>研究/方法/综合</v>
      </c>
      <c r="I762" s="10" t="n">
        <v>2025</v>
      </c>
      <c r="J762" s="2" t="str">
        <v>否</v>
      </c>
      <c r="K762" s="2" t="str"/>
      <c r="L762" s="2" t="str">
        <v>2072-6643</v>
      </c>
      <c r="M762" s="7" t="str">
        <v>NUTRITION &amp; DIETETICS(SCIE)</v>
      </c>
      <c r="N762" s="7" t="str">
        <v>两份公开汇编一致</v>
      </c>
      <c r="O762" s="7" t="str"/>
      <c r="P762" s="15" t="str">
        <v>JIF来源</v>
      </c>
      <c r="Q762" s="15" t="str">
        <v>分区来源</v>
      </c>
      <c r="R762" s="15" t="str"/>
      <c r="S762" s="14" t="str">
        <v>http://www.mdpi.com/journal/nutrients/</v>
      </c>
      <c r="T762" s="7" t="str">
        <v>ISSN匹配公开元数据；未逐站复核</v>
      </c>
      <c r="U762" s="2" t="str">
        <v>官网来源</v>
      </c>
      <c r="V762" s="2" t="n">
        <v>2026</v>
      </c>
    </row>
    <row r="763" ht="34" customHeight="1">
      <c r="A763" s="7" t="str">
        <v>NUTRITION REVIEWS</v>
      </c>
      <c r="B763" s="7" t="str">
        <v>食品营养与安全</v>
      </c>
      <c r="C763" s="11" t="n">
        <v>2</v>
      </c>
      <c r="D763" s="12" t="n">
        <v>6.3</v>
      </c>
      <c r="E763" s="13" t="n">
        <v>2025</v>
      </c>
      <c r="F763" s="7" t="str">
        <v>其他</v>
      </c>
      <c r="G763" s="7" t="str">
        <v>领域期刊/新兴刊</v>
      </c>
      <c r="H763" s="7" t="str">
        <v>综述为主</v>
      </c>
      <c r="I763" s="10" t="n">
        <v>2025</v>
      </c>
      <c r="J763" s="2" t="str">
        <v>是</v>
      </c>
      <c r="K763" s="2" t="str">
        <v>0029-6643</v>
      </c>
      <c r="L763" s="2" t="str">
        <v>1753-4887</v>
      </c>
      <c r="M763" s="7" t="str">
        <v>NUTRITION &amp; DIETETICS(SCIE)</v>
      </c>
      <c r="N763" s="7" t="str">
        <v>两份公开汇编一致</v>
      </c>
      <c r="O763" s="7" t="str"/>
      <c r="P763" s="15" t="str">
        <v>JIF来源</v>
      </c>
      <c r="Q763" s="15" t="str">
        <v>分区来源</v>
      </c>
      <c r="R763" s="15" t="str"/>
      <c r="S763" s="14" t="str">
        <v>http://nutritionreviews.oxfordjournals.org</v>
      </c>
      <c r="T763" s="7" t="str">
        <v>ISSN匹配公开元数据；未逐站复核</v>
      </c>
      <c r="U763" s="2" t="str">
        <v>官网来源</v>
      </c>
      <c r="V763" s="2" t="n">
        <v>2026</v>
      </c>
    </row>
    <row r="764" ht="34" customHeight="1">
      <c r="A764" s="7" t="str">
        <v>JOURNAL OF FOOD COMPOSITION AND ANALYSIS</v>
      </c>
      <c r="B764" s="7" t="str">
        <v>食品营养与安全</v>
      </c>
      <c r="C764" s="11" t="n">
        <v>2</v>
      </c>
      <c r="D764" s="12" t="n">
        <v>5.3</v>
      </c>
      <c r="E764" s="13" t="n">
        <v>2025</v>
      </c>
      <c r="F764" s="7" t="str">
        <v>其他</v>
      </c>
      <c r="G764" s="7" t="str">
        <v>领域期刊/新兴刊</v>
      </c>
      <c r="H764" s="7" t="str">
        <v>研究/方法/综合</v>
      </c>
      <c r="I764" s="10" t="n">
        <v>2025</v>
      </c>
      <c r="J764" s="2" t="str">
        <v>是</v>
      </c>
      <c r="K764" s="2" t="str">
        <v>0889-1575</v>
      </c>
      <c r="L764" s="2" t="str">
        <v>1096-0481</v>
      </c>
      <c r="M764" s="7" t="str">
        <v>CHEMISTRY, APPLIED(SCIE);FOOD SCIENCE &amp; TECHNOLOGY(SCIE)</v>
      </c>
      <c r="N764" s="7" t="str">
        <v>两份公开汇编一致</v>
      </c>
      <c r="O764" s="7" t="str"/>
      <c r="P764" s="15" t="str">
        <v>JIF来源</v>
      </c>
      <c r="Q764" s="15" t="str">
        <v>分区来源</v>
      </c>
      <c r="R764" s="15" t="str"/>
      <c r="S764" s="14" t="str">
        <v>http://www.journals.elsevier.com/journal-of-food-composition-and-analysis/</v>
      </c>
      <c r="T764" s="7" t="str">
        <v>ISSN匹配公开元数据；未逐站复核</v>
      </c>
      <c r="U764" s="2" t="str">
        <v>官网来源</v>
      </c>
      <c r="V764" s="2" t="n">
        <v>2026</v>
      </c>
    </row>
    <row r="765" ht="34" customHeight="1">
      <c r="A765" s="7" t="str">
        <v>Journal of Functional Foods</v>
      </c>
      <c r="B765" s="7" t="str">
        <v>食品营养与安全</v>
      </c>
      <c r="C765" s="11" t="n">
        <v>2</v>
      </c>
      <c r="D765" s="12" t="n">
        <v>3.9</v>
      </c>
      <c r="E765" s="13" t="n">
        <v>2025</v>
      </c>
      <c r="F765" s="7" t="str">
        <v>其他</v>
      </c>
      <c r="G765" s="7" t="str">
        <v>领域期刊/新兴刊</v>
      </c>
      <c r="H765" s="7" t="str">
        <v>研究/方法/综合</v>
      </c>
      <c r="I765" s="10" t="n">
        <v>2025</v>
      </c>
      <c r="J765" s="2" t="str">
        <v>否</v>
      </c>
      <c r="K765" s="2" t="str">
        <v>1756-4646</v>
      </c>
      <c r="L765" s="2" t="str">
        <v>2214-9414</v>
      </c>
      <c r="M765" s="7" t="str">
        <v>FOOD SCIENCE &amp; TECHNOLOGY(SCIE);NUTRITION &amp; DIETETICS(SCIE)</v>
      </c>
      <c r="N765" s="7" t="str">
        <v>两份公开汇编一致</v>
      </c>
      <c r="O765" s="7" t="str"/>
      <c r="P765" s="15" t="str">
        <v>JIF来源</v>
      </c>
      <c r="Q765" s="15" t="str">
        <v>分区来源</v>
      </c>
      <c r="R765" s="15" t="str"/>
      <c r="S765" s="14" t="str">
        <v>https://www.journals.elsevier.com/journal-of-functional-foods</v>
      </c>
      <c r="T765" s="7" t="str">
        <v>ISSN匹配公开元数据；未逐站复核</v>
      </c>
      <c r="U765" s="2" t="str">
        <v>官网来源</v>
      </c>
      <c r="V765" s="2" t="n">
        <v>2026</v>
      </c>
    </row>
    <row r="766" ht="34" customHeight="1">
      <c r="A766" s="7" t="str">
        <v>Food Science &amp; Nutrition</v>
      </c>
      <c r="B766" s="7" t="str">
        <v>食品营养与安全</v>
      </c>
      <c r="C766" s="11" t="n">
        <v>2</v>
      </c>
      <c r="D766" s="12" t="n">
        <v>5</v>
      </c>
      <c r="E766" s="13" t="n">
        <v>2025</v>
      </c>
      <c r="F766" s="7" t="str">
        <v>其他</v>
      </c>
      <c r="G766" s="7" t="str">
        <v>领域期刊/新兴刊</v>
      </c>
      <c r="H766" s="7" t="str">
        <v>研究/方法/综合</v>
      </c>
      <c r="I766" s="10" t="n">
        <v>2025</v>
      </c>
      <c r="J766" s="2" t="str">
        <v>否</v>
      </c>
      <c r="K766" s="2" t="str">
        <v>2048-7177</v>
      </c>
      <c r="L766" s="2" t="str">
        <v>2048-7177</v>
      </c>
      <c r="M766" s="7" t="str">
        <v>FOOD SCIENCE &amp; TECHNOLOGY(SCIE)</v>
      </c>
      <c r="N766" s="7" t="str">
        <v>两份公开汇编一致</v>
      </c>
      <c r="O766" s="7" t="str"/>
      <c r="P766" s="15" t="str">
        <v>JIF来源</v>
      </c>
      <c r="Q766" s="15" t="str">
        <v>分区来源</v>
      </c>
      <c r="R766" s="15" t="str"/>
      <c r="S766" s="14" t="str">
        <v>https://onlinelibrary.wiley.com/journal/20487177</v>
      </c>
      <c r="T766" s="7" t="str">
        <v>ISSN匹配公开元数据；未逐站复核</v>
      </c>
      <c r="U766" s="2" t="str">
        <v>官网来源</v>
      </c>
      <c r="V766" s="2" t="n">
        <v>2026</v>
      </c>
    </row>
    <row r="767" ht="34" customHeight="1">
      <c r="A767" s="7" t="str">
        <v>INTERNATIONAL DAIRY JOURNAL</v>
      </c>
      <c r="B767" s="7" t="str">
        <v>食品营养与安全</v>
      </c>
      <c r="C767" s="11" t="n">
        <v>2</v>
      </c>
      <c r="D767" s="12" t="n">
        <v>3.1</v>
      </c>
      <c r="E767" s="13" t="n">
        <v>2025</v>
      </c>
      <c r="F767" s="7" t="str">
        <v>其他</v>
      </c>
      <c r="G767" s="7" t="str">
        <v>领域期刊/新兴刊</v>
      </c>
      <c r="H767" s="7" t="str">
        <v>研究/方法/综合</v>
      </c>
      <c r="I767" s="10" t="n">
        <v>2025</v>
      </c>
      <c r="J767" s="2" t="str">
        <v>否</v>
      </c>
      <c r="K767" s="2" t="str">
        <v>0958-6946</v>
      </c>
      <c r="L767" s="2" t="str">
        <v>1879-0143</v>
      </c>
      <c r="M767" s="7" t="str">
        <v>FOOD SCIENCE &amp; TECHNOLOGY(SCIE)</v>
      </c>
      <c r="N767" s="7" t="str">
        <v>公开汇编已匹配</v>
      </c>
      <c r="O767" s="7" t="str"/>
      <c r="P767" s="15" t="str">
        <v>JIF来源</v>
      </c>
      <c r="Q767" s="15" t="str">
        <v>分区来源</v>
      </c>
      <c r="R767" s="15" t="str"/>
      <c r="S767" s="14" t="str">
        <v>https://www.journals.elsevier.com/international-dairy-journal</v>
      </c>
      <c r="T767" s="7" t="str">
        <v>ISSN匹配公开元数据；未逐站复核</v>
      </c>
      <c r="U767" s="2" t="str">
        <v>官网来源</v>
      </c>
      <c r="V767" s="2" t="n">
        <v>2026</v>
      </c>
    </row>
    <row r="768" ht="34" customHeight="1">
      <c r="A768" s="7" t="str">
        <v>MOLECULAR NUTRITION &amp; FOOD RESEARCH</v>
      </c>
      <c r="B768" s="7" t="str">
        <v>食品营养与安全</v>
      </c>
      <c r="C768" s="11" t="n">
        <v>3</v>
      </c>
      <c r="D768" s="12" t="n">
        <v>4.5</v>
      </c>
      <c r="E768" s="13" t="n">
        <v>2025</v>
      </c>
      <c r="F768" s="7" t="str">
        <v>其他</v>
      </c>
      <c r="G768" s="7" t="str">
        <v>领域期刊/新兴刊</v>
      </c>
      <c r="H768" s="7" t="str">
        <v>研究/方法/综合</v>
      </c>
      <c r="I768" s="10" t="n">
        <v>2025</v>
      </c>
      <c r="J768" s="2" t="str">
        <v>否</v>
      </c>
      <c r="K768" s="2" t="str">
        <v>1613-4125</v>
      </c>
      <c r="L768" s="2" t="str">
        <v>1613-4133</v>
      </c>
      <c r="M768" s="7" t="str">
        <v>FOOD SCIENCE &amp; TECHNOLOGY(SCIE)</v>
      </c>
      <c r="N768" s="7" t="str">
        <v>两份公开汇编一致</v>
      </c>
      <c r="O768" s="7" t="str"/>
      <c r="P768" s="15" t="str">
        <v>JIF来源</v>
      </c>
      <c r="Q768" s="15" t="str">
        <v>分区来源</v>
      </c>
      <c r="R768" s="15" t="str"/>
      <c r="S768" s="14" t="str">
        <v>https://onlinelibrary.wiley.com/journal/16134133</v>
      </c>
      <c r="T768" s="7" t="str">
        <v>ISSN匹配公开元数据；未逐站复核</v>
      </c>
      <c r="U768" s="2" t="str">
        <v>官网来源</v>
      </c>
      <c r="V768" s="2" t="n">
        <v>2026</v>
      </c>
    </row>
    <row r="769" ht="34" customHeight="1">
      <c r="A769" s="7" t="str">
        <v>Toxins</v>
      </c>
      <c r="B769" s="7" t="str">
        <v>食品营养与安全</v>
      </c>
      <c r="C769" s="11" t="n">
        <v>3</v>
      </c>
      <c r="D769" s="12" t="n">
        <v>4</v>
      </c>
      <c r="E769" s="13" t="n">
        <v>2025</v>
      </c>
      <c r="F769" s="7" t="str">
        <v>其他</v>
      </c>
      <c r="G769" s="7" t="str">
        <v>领域期刊/新兴刊</v>
      </c>
      <c r="H769" s="7" t="str">
        <v>研究/方法/综合</v>
      </c>
      <c r="I769" s="10" t="n">
        <v>2025</v>
      </c>
      <c r="J769" s="2" t="str">
        <v>否</v>
      </c>
      <c r="K769" s="2" t="str"/>
      <c r="L769" s="2" t="str">
        <v>2072-6651</v>
      </c>
      <c r="M769" s="7" t="str">
        <v>FOOD SCIENCE &amp; TECHNOLOGY(SCIE);TOXICOLOGY(SCIE)</v>
      </c>
      <c r="N769" s="7" t="str">
        <v>两份公开汇编一致</v>
      </c>
      <c r="O769" s="7" t="str"/>
      <c r="P769" s="15" t="str">
        <v>JIF来源</v>
      </c>
      <c r="Q769" s="15" t="str">
        <v>分区来源</v>
      </c>
      <c r="R769" s="15" t="str"/>
      <c r="S769" s="14" t="str">
        <v>http://www.mdpi.com/journal/toxins/</v>
      </c>
      <c r="T769" s="7" t="str">
        <v>ISSN匹配公开元数据；未逐站复核</v>
      </c>
      <c r="U769" s="2" t="str">
        <v>官网来源</v>
      </c>
      <c r="V769" s="2" t="n">
        <v>2026</v>
      </c>
    </row>
    <row r="770" ht="34" customHeight="1">
      <c r="A770" s="7" t="str">
        <v>JOURNAL OF NUTRITION</v>
      </c>
      <c r="B770" s="7" t="str">
        <v>食品营养与安全</v>
      </c>
      <c r="C770" s="11" t="n">
        <v>3</v>
      </c>
      <c r="D770" s="12" t="n">
        <v>4.2</v>
      </c>
      <c r="E770" s="13" t="n">
        <v>2025</v>
      </c>
      <c r="F770" s="7" t="str">
        <v>其他</v>
      </c>
      <c r="G770" s="7" t="str">
        <v>经典专业刊</v>
      </c>
      <c r="H770" s="7" t="str">
        <v>研究/方法/综合</v>
      </c>
      <c r="I770" s="10" t="n">
        <v>2025</v>
      </c>
      <c r="J770" s="2" t="str">
        <v>否</v>
      </c>
      <c r="K770" s="2" t="str">
        <v>0022-3166</v>
      </c>
      <c r="L770" s="2" t="str">
        <v>1541-6100</v>
      </c>
      <c r="M770" s="7" t="str">
        <v>NUTRITION &amp; DIETETICS(SCIE)</v>
      </c>
      <c r="N770" s="7" t="str">
        <v>两份公开汇编一致</v>
      </c>
      <c r="O770" s="7" t="str"/>
      <c r="P770" s="15" t="str">
        <v>JIF来源</v>
      </c>
      <c r="Q770" s="15" t="str">
        <v>分区来源</v>
      </c>
      <c r="R770" s="15" t="str"/>
      <c r="S770" s="14" t="str">
        <v>https://www.sciencedirect.com/journal/the-journal-of-nutrition</v>
      </c>
      <c r="T770" s="7" t="str">
        <v>ISSN匹配公开元数据；未逐站复核</v>
      </c>
      <c r="U770" s="2" t="str">
        <v>官网来源</v>
      </c>
      <c r="V770" s="2" t="n">
        <v>2026</v>
      </c>
    </row>
    <row r="771" ht="34" customHeight="1">
      <c r="A771" s="7" t="str">
        <v>JOURNAL OF FOOD SCIENCE</v>
      </c>
      <c r="B771" s="7" t="str">
        <v>食品营养与安全</v>
      </c>
      <c r="C771" s="11" t="n">
        <v>3</v>
      </c>
      <c r="D771" s="12" t="n">
        <v>4.1</v>
      </c>
      <c r="E771" s="13" t="n">
        <v>2025</v>
      </c>
      <c r="F771" s="7" t="str">
        <v>其他</v>
      </c>
      <c r="G771" s="7" t="str">
        <v>经典专业刊</v>
      </c>
      <c r="H771" s="7" t="str">
        <v>研究/方法/综合</v>
      </c>
      <c r="I771" s="10" t="n">
        <v>2025</v>
      </c>
      <c r="J771" s="2" t="str">
        <v>否</v>
      </c>
      <c r="K771" s="2" t="str">
        <v>0022-1147</v>
      </c>
      <c r="L771" s="2" t="str">
        <v>1750-3841</v>
      </c>
      <c r="M771" s="7" t="str">
        <v>FOOD SCIENCE &amp; TECHNOLOGY(SCIE)</v>
      </c>
      <c r="N771" s="7" t="str">
        <v>两份公开汇编一致</v>
      </c>
      <c r="O771" s="7" t="str"/>
      <c r="P771" s="15" t="str">
        <v>JIF来源</v>
      </c>
      <c r="Q771" s="15" t="str">
        <v>分区来源</v>
      </c>
      <c r="R771" s="15" t="str"/>
      <c r="S771" s="14" t="str">
        <v>http://www.wiley.com/bw/journal.asp?ref=0022-1147</v>
      </c>
      <c r="T771" s="7" t="str">
        <v>ISSN匹配公开元数据；未逐站复核</v>
      </c>
      <c r="U771" s="2" t="str">
        <v>官网来源</v>
      </c>
      <c r="V771" s="2" t="n">
        <v>2026</v>
      </c>
    </row>
    <row r="772" ht="34" customHeight="1">
      <c r="A772" s="7" t="str">
        <v>EUROPEAN FOOD RESEARCH AND TECHNOLOGY</v>
      </c>
      <c r="B772" s="7" t="str">
        <v>食品营养与安全</v>
      </c>
      <c r="C772" s="11" t="n">
        <v>3</v>
      </c>
      <c r="D772" s="12" t="n">
        <v>4.2</v>
      </c>
      <c r="E772" s="13" t="n">
        <v>2025</v>
      </c>
      <c r="F772" s="7" t="str">
        <v>其他</v>
      </c>
      <c r="G772" s="7" t="str">
        <v>领域期刊/新兴刊</v>
      </c>
      <c r="H772" s="7" t="str">
        <v>研究/方法/综合</v>
      </c>
      <c r="I772" s="10" t="n">
        <v>2025</v>
      </c>
      <c r="J772" s="2" t="str">
        <v>否</v>
      </c>
      <c r="K772" s="2" t="str">
        <v>1438-2377</v>
      </c>
      <c r="L772" s="2" t="str">
        <v>1438-2385</v>
      </c>
      <c r="M772" s="7" t="str">
        <v>FOOD SCIENCE &amp; TECHNOLOGY(SCIE)</v>
      </c>
      <c r="N772" s="7" t="str">
        <v>两份公开汇编一致</v>
      </c>
      <c r="O772" s="7" t="str"/>
      <c r="P772" s="15" t="str">
        <v>JIF来源</v>
      </c>
      <c r="Q772" s="15" t="str">
        <v>分区来源</v>
      </c>
      <c r="R772" s="15" t="str"/>
      <c r="S772" s="14" t="str">
        <v>https://link.springer.com/journal/217</v>
      </c>
      <c r="T772" s="7" t="str">
        <v>ISSN匹配公开元数据；未逐站复核</v>
      </c>
      <c r="U772" s="2" t="str">
        <v>官网来源</v>
      </c>
      <c r="V772" s="2" t="n">
        <v>2026</v>
      </c>
    </row>
    <row r="773" ht="34" customHeight="1">
      <c r="A773" s="7" t="str">
        <v>BRITISH JOURNAL OF NUTRITION</v>
      </c>
      <c r="B773" s="7" t="str">
        <v>食品营养与安全</v>
      </c>
      <c r="C773" s="11" t="n">
        <v>3</v>
      </c>
      <c r="D773" s="12" t="n">
        <v>3.1</v>
      </c>
      <c r="E773" s="13" t="n">
        <v>2025</v>
      </c>
      <c r="F773" s="7" t="str">
        <v>其他</v>
      </c>
      <c r="G773" s="7" t="str">
        <v>经典专业刊</v>
      </c>
      <c r="H773" s="7" t="str">
        <v>研究/方法/综合</v>
      </c>
      <c r="I773" s="10" t="n">
        <v>2025</v>
      </c>
      <c r="J773" s="2" t="str">
        <v>否</v>
      </c>
      <c r="K773" s="2" t="str">
        <v>0007-1145</v>
      </c>
      <c r="L773" s="2" t="str">
        <v>1475-2662</v>
      </c>
      <c r="M773" s="7" t="str">
        <v>NUTRITION &amp; DIETETICS(SCIE)</v>
      </c>
      <c r="N773" s="7" t="str">
        <v>两份公开汇编一致</v>
      </c>
      <c r="O773" s="7" t="str"/>
      <c r="P773" s="15" t="str">
        <v>JIF来源</v>
      </c>
      <c r="Q773" s="15" t="str">
        <v>分区来源</v>
      </c>
      <c r="R773" s="15" t="str"/>
      <c r="S773" s="14" t="str">
        <v>http://journals.cambridge.org/action/displayJournal?jid=BJN</v>
      </c>
      <c r="T773" s="7" t="str">
        <v>ISSN匹配公开元数据；未逐站复核</v>
      </c>
      <c r="U773" s="2" t="str">
        <v>官网来源</v>
      </c>
      <c r="V773" s="2" t="n">
        <v>2026</v>
      </c>
    </row>
    <row r="774" ht="34" customHeight="1">
      <c r="A774" s="7" t="str">
        <v>Food Analytical Methods</v>
      </c>
      <c r="B774" s="7" t="str">
        <v>食品营养与安全</v>
      </c>
      <c r="C774" s="11" t="n">
        <v>3</v>
      </c>
      <c r="D774" s="12" t="n">
        <v>3</v>
      </c>
      <c r="E774" s="13" t="n">
        <v>2025</v>
      </c>
      <c r="F774" s="7" t="str">
        <v>其他</v>
      </c>
      <c r="G774" s="7" t="str">
        <v>领域期刊/新兴刊</v>
      </c>
      <c r="H774" s="7" t="str">
        <v>研究/方法/综合</v>
      </c>
      <c r="I774" s="10" t="n">
        <v>2025</v>
      </c>
      <c r="J774" s="2" t="str">
        <v>否</v>
      </c>
      <c r="K774" s="2" t="str">
        <v>1936-9751</v>
      </c>
      <c r="L774" s="2" t="str">
        <v>1936-976X</v>
      </c>
      <c r="M774" s="7" t="str">
        <v>FOOD SCIENCE &amp; TECHNOLOGY(SCIE)</v>
      </c>
      <c r="N774" s="7" t="str">
        <v>公开汇编已匹配</v>
      </c>
      <c r="O774" s="7" t="str"/>
      <c r="P774" s="15" t="str">
        <v>JIF来源</v>
      </c>
      <c r="Q774" s="15" t="str">
        <v>分区来源</v>
      </c>
      <c r="R774" s="15" t="str"/>
      <c r="S774" s="14" t="str">
        <v>https://www.springer.com/journal/12161</v>
      </c>
      <c r="T774" s="7" t="str">
        <v>ISSN匹配公开元数据；未逐站复核</v>
      </c>
      <c r="U774" s="2" t="str">
        <v>官网来源</v>
      </c>
      <c r="V774" s="2" t="n">
        <v>2026</v>
      </c>
    </row>
    <row r="775" ht="34" customHeight="1">
      <c r="A775" s="7" t="str">
        <v>INTERNATIONAL JOURNAL OF DAIRY TECHNOLOGY</v>
      </c>
      <c r="B775" s="7" t="str">
        <v>食品营养与安全</v>
      </c>
      <c r="C775" s="11" t="n">
        <v>3</v>
      </c>
      <c r="D775" s="12" t="n">
        <v>2.7</v>
      </c>
      <c r="E775" s="13" t="n">
        <v>2025</v>
      </c>
      <c r="F775" s="7" t="str">
        <v>其他</v>
      </c>
      <c r="G775" s="7" t="str">
        <v>领域期刊/新兴刊</v>
      </c>
      <c r="H775" s="7" t="str">
        <v>研究/方法/综合</v>
      </c>
      <c r="I775" s="10" t="n">
        <v>2025</v>
      </c>
      <c r="J775" s="2" t="str">
        <v>否</v>
      </c>
      <c r="K775" s="2" t="str">
        <v>1364-727X</v>
      </c>
      <c r="L775" s="2" t="str">
        <v>1471-0307</v>
      </c>
      <c r="M775" s="7" t="str">
        <v>FOOD SCIENCE &amp; TECHNOLOGY(SCIE)</v>
      </c>
      <c r="N775" s="7" t="str">
        <v>公开汇编已匹配</v>
      </c>
      <c r="O775" s="7" t="str"/>
      <c r="P775" s="15" t="str">
        <v>JIF来源</v>
      </c>
      <c r="Q775" s="15" t="str">
        <v>分区来源</v>
      </c>
      <c r="R775" s="15" t="str"/>
      <c r="S775" s="14" t="str">
        <v>https://onlinelibrary.wiley.com/journal/14710307</v>
      </c>
      <c r="T775" s="7" t="str">
        <v>ISSN匹配公开元数据；未逐站复核</v>
      </c>
      <c r="U775" s="2" t="str">
        <v>官网来源</v>
      </c>
      <c r="V775" s="2" t="n">
        <v>2026</v>
      </c>
    </row>
    <row r="776" ht="34" customHeight="1">
      <c r="A776" s="7" t="str">
        <v>JOURNAL OF FOOD PROTECTION</v>
      </c>
      <c r="B776" s="7" t="str">
        <v>食品营养与安全</v>
      </c>
      <c r="C776" s="11" t="n">
        <v>3</v>
      </c>
      <c r="D776" s="12" t="n">
        <v>3.7</v>
      </c>
      <c r="E776" s="13" t="n">
        <v>2025</v>
      </c>
      <c r="F776" s="7" t="str">
        <v>其他</v>
      </c>
      <c r="G776" s="7" t="str">
        <v>领域期刊/新兴刊</v>
      </c>
      <c r="H776" s="7" t="str">
        <v>研究/方法/综合</v>
      </c>
      <c r="I776" s="10" t="n">
        <v>2025</v>
      </c>
      <c r="J776" s="2" t="str">
        <v>否</v>
      </c>
      <c r="K776" s="2" t="str">
        <v>0362-028X</v>
      </c>
      <c r="L776" s="2" t="str">
        <v>1944-9097</v>
      </c>
      <c r="M776" s="7" t="str">
        <v>BIOTECHNOLOGY &amp; APPLIED MICROBIOLOGY(SCIE);FOOD SCIENCE &amp; TECHNOLOGY(SCIE)</v>
      </c>
      <c r="N776" s="7" t="str">
        <v>两份公开汇编一致</v>
      </c>
      <c r="O776" s="7" t="str"/>
      <c r="P776" s="15" t="str">
        <v>JIF来源</v>
      </c>
      <c r="Q776" s="15" t="str">
        <v>分区来源</v>
      </c>
      <c r="R776" s="15" t="str"/>
      <c r="S776" s="14" t="str">
        <v>https://www.sciencedirect.com/journal/journal-of-food-protection</v>
      </c>
      <c r="T776" s="7" t="str">
        <v>ISSN匹配公开元数据；未逐站复核</v>
      </c>
      <c r="U776" s="2" t="str">
        <v>官网来源</v>
      </c>
      <c r="V776" s="2" t="n">
        <v>2026</v>
      </c>
    </row>
    <row r="777" ht="34" customHeight="1">
      <c r="A777" s="7" t="str">
        <v>Food Additives and Contaminants Part A-Chemistry Analysis Control Exposure &amp; Risk Assessment</v>
      </c>
      <c r="B777" s="7" t="str">
        <v>食品营养与安全</v>
      </c>
      <c r="C777" s="11" t="n">
        <v>3</v>
      </c>
      <c r="D777" s="12" t="n">
        <v>2.5</v>
      </c>
      <c r="E777" s="13" t="n">
        <v>2025</v>
      </c>
      <c r="F777" s="7" t="str">
        <v>其他</v>
      </c>
      <c r="G777" s="7" t="str">
        <v>领域期刊/新兴刊</v>
      </c>
      <c r="H777" s="7" t="str">
        <v>研究/方法/综合</v>
      </c>
      <c r="I777" s="10" t="n">
        <v>2025</v>
      </c>
      <c r="J777" s="2" t="str">
        <v>否</v>
      </c>
      <c r="K777" s="2" t="str">
        <v>1944-0049</v>
      </c>
      <c r="L777" s="2" t="str">
        <v>1944-0057</v>
      </c>
      <c r="M777" s="7" t="str">
        <v>CHEMISTRY, APPLIED(SCIE);FOOD SCIENCE &amp; TECHNOLOGY(SCIE);TOXICOLOGY(SCIE)</v>
      </c>
      <c r="N777" s="7" t="str">
        <v>公开汇编已匹配</v>
      </c>
      <c r="O777" s="7" t="str"/>
      <c r="P777" s="15" t="str">
        <v>JIF来源</v>
      </c>
      <c r="Q777" s="15" t="str">
        <v>分区来源</v>
      </c>
      <c r="R777" s="15" t="str"/>
      <c r="S777" s="14" t="str">
        <v>https://www.tandfonline.com/toc/tfac20/current</v>
      </c>
      <c r="T777" s="7" t="str">
        <v>ISSN匹配公开元数据；未逐站复核</v>
      </c>
      <c r="U777" s="2" t="str">
        <v>官网来源</v>
      </c>
      <c r="V777" s="2" t="n">
        <v>2026</v>
      </c>
    </row>
    <row r="778" ht="34" customHeight="1">
      <c r="A778" s="7" t="str">
        <v>FOOD AND CHEMICAL TOXICOLOGY</v>
      </c>
      <c r="B778" s="7" t="str">
        <v>食品营养与安全</v>
      </c>
      <c r="C778" s="11" t="n">
        <v>4</v>
      </c>
      <c r="D778" s="12" t="n">
        <v>3.2</v>
      </c>
      <c r="E778" s="13" t="n">
        <v>2025</v>
      </c>
      <c r="F778" s="7" t="str">
        <v>其他</v>
      </c>
      <c r="G778" s="7" t="str">
        <v>领域期刊/新兴刊</v>
      </c>
      <c r="H778" s="7" t="str">
        <v>研究/方法/综合</v>
      </c>
      <c r="I778" s="10" t="n">
        <v>2025</v>
      </c>
      <c r="J778" s="2" t="str">
        <v>否</v>
      </c>
      <c r="K778" s="2" t="str">
        <v>0278-6915</v>
      </c>
      <c r="L778" s="2" t="str">
        <v>1873-6351</v>
      </c>
      <c r="M778" s="7" t="str">
        <v>FOOD SCIENCE &amp; TECHNOLOGY(SCIE);TOXICOLOGY(SCIE)</v>
      </c>
      <c r="N778" s="7" t="str">
        <v>两份公开汇编一致</v>
      </c>
      <c r="O778" s="7" t="str"/>
      <c r="P778" s="15" t="str">
        <v>JIF来源</v>
      </c>
      <c r="Q778" s="15" t="str">
        <v>分区来源</v>
      </c>
      <c r="R778" s="15" t="str"/>
      <c r="S778" s="14" t="str">
        <v>https://www.journals.elsevier.com/food-and-chemical-toxicology</v>
      </c>
      <c r="T778" s="7" t="str">
        <v>ISSN匹配公开元数据；未逐站复核</v>
      </c>
      <c r="U778" s="2" t="str">
        <v>官网来源</v>
      </c>
      <c r="V778" s="2" t="n">
        <v>2026</v>
      </c>
    </row>
    <row r="779" ht="34" customHeight="1">
      <c r="A779" s="7" t="str">
        <v>INTERNATIONAL JOURNAL OF FOOD SCIENCE AND TECHNOLOGY</v>
      </c>
      <c r="B779" s="7" t="str">
        <v>食品营养与安全</v>
      </c>
      <c r="C779" s="11" t="n">
        <v>4</v>
      </c>
      <c r="D779" s="12" t="n">
        <v>3.3</v>
      </c>
      <c r="E779" s="13" t="n">
        <v>2025</v>
      </c>
      <c r="F779" s="7" t="str">
        <v>其他</v>
      </c>
      <c r="G779" s="7" t="str">
        <v>领域期刊/新兴刊</v>
      </c>
      <c r="H779" s="7" t="str">
        <v>研究/方法/综合</v>
      </c>
      <c r="I779" s="10" t="n">
        <v>2025</v>
      </c>
      <c r="J779" s="2" t="str">
        <v>否</v>
      </c>
      <c r="K779" s="2" t="str">
        <v>0950-5423</v>
      </c>
      <c r="L779" s="2" t="str">
        <v>1365-2621</v>
      </c>
      <c r="M779" s="7" t="str">
        <v>FOOD SCIENCE &amp; TECHNOLOGY(SCIE)</v>
      </c>
      <c r="N779" s="7" t="str">
        <v>公开汇编已匹配</v>
      </c>
      <c r="O779" s="7" t="str"/>
      <c r="P779" s="15" t="str">
        <v>JIF来源</v>
      </c>
      <c r="Q779" s="15" t="str">
        <v>分区来源</v>
      </c>
      <c r="R779" s="15" t="str"/>
      <c r="S779" s="14" t="str">
        <v>https://onlinelibrary.wiley.com/journal/13652621</v>
      </c>
      <c r="T779" s="7" t="str">
        <v>ISSN匹配公开元数据；未逐站复核</v>
      </c>
      <c r="U779" s="2" t="str">
        <v>官网来源</v>
      </c>
      <c r="V779" s="2" t="n">
        <v>2026</v>
      </c>
    </row>
    <row r="780" ht="34" customHeight="1">
      <c r="A780" s="7" t="str">
        <v>Mycotoxin Research</v>
      </c>
      <c r="B780" s="7" t="str">
        <v>食品营养与安全</v>
      </c>
      <c r="C780" s="11" t="n">
        <v>4</v>
      </c>
      <c r="D780" s="12" t="n">
        <v>3.5</v>
      </c>
      <c r="E780" s="13" t="n">
        <v>2025</v>
      </c>
      <c r="F780" s="7" t="str">
        <v>其他</v>
      </c>
      <c r="G780" s="7" t="str">
        <v>领域期刊/新兴刊</v>
      </c>
      <c r="H780" s="7" t="str">
        <v>研究/方法/综合</v>
      </c>
      <c r="I780" s="10" t="n">
        <v>2025</v>
      </c>
      <c r="J780" s="2" t="str">
        <v>否</v>
      </c>
      <c r="K780" s="2" t="str">
        <v>0178-7888</v>
      </c>
      <c r="L780" s="2" t="str">
        <v>1867-1632</v>
      </c>
      <c r="M780" s="7" t="str">
        <v>MYCOLOGY(SCIE);TOXICOLOGY(SCIE)</v>
      </c>
      <c r="N780" s="7" t="str">
        <v>两份公开汇编一致</v>
      </c>
      <c r="O780" s="7" t="str"/>
      <c r="P780" s="15" t="str">
        <v>JIF来源</v>
      </c>
      <c r="Q780" s="15" t="str">
        <v>分区来源</v>
      </c>
      <c r="R780" s="15" t="str"/>
      <c r="S780" s="14" t="str">
        <v>https://link.springer.com/journal/12550</v>
      </c>
      <c r="T780" s="7" t="str">
        <v>ISSN匹配公开元数据；未逐站复核</v>
      </c>
      <c r="U780" s="2" t="str">
        <v>官网来源</v>
      </c>
      <c r="V780" s="2" t="n">
        <v>2026</v>
      </c>
    </row>
  </sheetData>
  <conditionalFormatting sqref="C2:C780">
    <cfRule type="containsBlanks" dxfId="0" priority="1"/>
  </conditionalFormatting>
  <conditionalFormatting sqref="D2:D780">
    <cfRule type="containsBlanks" dxfId="1" priority="2"/>
  </conditionalFormatting>
  <hyperlinks>
    <hyperlink ref="P2" r:id="journalLink1"/>
    <hyperlink ref="Q2" r:id="journalLink2"/>
    <hyperlink ref="R2" r:id="journalLink3"/>
    <hyperlink ref="S2" r:id="journalLink4"/>
    <hyperlink ref="U2" r:id="journalLink5"/>
    <hyperlink ref="P3" r:id="journalLink6"/>
    <hyperlink ref="Q3" r:id="journalLink7"/>
    <hyperlink ref="S3" r:id="journalLink8"/>
    <hyperlink ref="U3" r:id="journalLink9"/>
    <hyperlink ref="P4" r:id="journalLink10"/>
    <hyperlink ref="Q4" r:id="journalLink11"/>
    <hyperlink ref="S4" r:id="journalLink12"/>
    <hyperlink ref="U4" r:id="journalLink13"/>
    <hyperlink ref="P5" r:id="journalLink14"/>
    <hyperlink ref="Q5" r:id="journalLink15"/>
    <hyperlink ref="S5" r:id="journalLink16"/>
    <hyperlink ref="U5" r:id="journalLink17"/>
    <hyperlink ref="P6" r:id="journalLink18"/>
    <hyperlink ref="Q6" r:id="journalLink19"/>
    <hyperlink ref="S6" r:id="journalLink20"/>
    <hyperlink ref="U6" r:id="journalLink21"/>
    <hyperlink ref="P7" r:id="journalLink22"/>
    <hyperlink ref="Q7" r:id="journalLink23"/>
    <hyperlink ref="S7" r:id="journalLink24"/>
    <hyperlink ref="U7" r:id="journalLink25"/>
    <hyperlink ref="P8" r:id="journalLink26"/>
    <hyperlink ref="Q8" r:id="journalLink27"/>
    <hyperlink ref="S8" r:id="journalLink28"/>
    <hyperlink ref="U8" r:id="journalLink29"/>
    <hyperlink ref="P9" r:id="journalLink30"/>
    <hyperlink ref="Q9" r:id="journalLink31"/>
    <hyperlink ref="S9" r:id="journalLink32"/>
    <hyperlink ref="U9" r:id="journalLink33"/>
    <hyperlink ref="P10" r:id="journalLink34"/>
    <hyperlink ref="Q10" r:id="journalLink35"/>
    <hyperlink ref="S10" r:id="journalLink36"/>
    <hyperlink ref="U10" r:id="journalLink37"/>
    <hyperlink ref="P11" r:id="journalLink38"/>
    <hyperlink ref="Q11" r:id="journalLink39"/>
    <hyperlink ref="S11" r:id="journalLink40"/>
    <hyperlink ref="U11" r:id="journalLink41"/>
    <hyperlink ref="P12" r:id="journalLink42"/>
    <hyperlink ref="Q12" r:id="journalLink43"/>
    <hyperlink ref="S12" r:id="journalLink44"/>
    <hyperlink ref="U12" r:id="journalLink45"/>
    <hyperlink ref="P13" r:id="journalLink46"/>
    <hyperlink ref="Q13" r:id="journalLink47"/>
    <hyperlink ref="S13" r:id="journalLink48"/>
    <hyperlink ref="U13" r:id="journalLink49"/>
    <hyperlink ref="P14" r:id="journalLink50"/>
    <hyperlink ref="Q14" r:id="journalLink51"/>
    <hyperlink ref="S14" r:id="journalLink52"/>
    <hyperlink ref="U14" r:id="journalLink53"/>
    <hyperlink ref="P15" r:id="journalLink54"/>
    <hyperlink ref="Q15" r:id="journalLink55"/>
    <hyperlink ref="S15" r:id="journalLink56"/>
    <hyperlink ref="U15" r:id="journalLink57"/>
    <hyperlink ref="P16" r:id="journalLink58"/>
    <hyperlink ref="Q16" r:id="journalLink59"/>
    <hyperlink ref="S16" r:id="journalLink60"/>
    <hyperlink ref="U16" r:id="journalLink61"/>
    <hyperlink ref="P17" r:id="journalLink62"/>
    <hyperlink ref="Q17" r:id="journalLink63"/>
    <hyperlink ref="S17" r:id="journalLink64"/>
    <hyperlink ref="U17" r:id="journalLink65"/>
    <hyperlink ref="P18" r:id="journalLink66"/>
    <hyperlink ref="Q18" r:id="journalLink67"/>
    <hyperlink ref="S18" r:id="journalLink68"/>
    <hyperlink ref="U18" r:id="journalLink69"/>
    <hyperlink ref="P19" r:id="journalLink70"/>
    <hyperlink ref="Q19" r:id="journalLink71"/>
    <hyperlink ref="S19" r:id="journalLink72"/>
    <hyperlink ref="U19" r:id="journalLink73"/>
    <hyperlink ref="P20" r:id="journalLink74"/>
    <hyperlink ref="Q20" r:id="journalLink75"/>
    <hyperlink ref="S20" r:id="journalLink76"/>
    <hyperlink ref="U20" r:id="journalLink77"/>
    <hyperlink ref="P21" r:id="journalLink78"/>
    <hyperlink ref="Q21" r:id="journalLink79"/>
    <hyperlink ref="S21" r:id="journalLink80"/>
    <hyperlink ref="U21" r:id="journalLink81"/>
    <hyperlink ref="P22" r:id="journalLink82"/>
    <hyperlink ref="Q22" r:id="journalLink83"/>
    <hyperlink ref="S22" r:id="journalLink84"/>
    <hyperlink ref="U22" r:id="journalLink85"/>
    <hyperlink ref="P23" r:id="journalLink86"/>
    <hyperlink ref="Q23" r:id="journalLink87"/>
    <hyperlink ref="S23" r:id="journalLink88"/>
    <hyperlink ref="U23" r:id="journalLink89"/>
    <hyperlink ref="P24" r:id="journalLink90"/>
    <hyperlink ref="Q24" r:id="journalLink91"/>
    <hyperlink ref="S24" r:id="journalLink92"/>
    <hyperlink ref="U24" r:id="journalLink93"/>
    <hyperlink ref="P25" r:id="journalLink94"/>
    <hyperlink ref="Q25" r:id="journalLink95"/>
    <hyperlink ref="S25" r:id="journalLink96"/>
    <hyperlink ref="U25" r:id="journalLink97"/>
    <hyperlink ref="P26" r:id="journalLink98"/>
    <hyperlink ref="Q26" r:id="journalLink99"/>
    <hyperlink ref="S26" r:id="journalLink100"/>
    <hyperlink ref="U26" r:id="journalLink101"/>
    <hyperlink ref="P27" r:id="journalLink102"/>
    <hyperlink ref="Q27" r:id="journalLink103"/>
    <hyperlink ref="S27" r:id="journalLink104"/>
    <hyperlink ref="U27" r:id="journalLink105"/>
    <hyperlink ref="P28" r:id="journalLink106"/>
    <hyperlink ref="Q28" r:id="journalLink107"/>
    <hyperlink ref="S28" r:id="journalLink108"/>
    <hyperlink ref="U28" r:id="journalLink109"/>
    <hyperlink ref="P29" r:id="journalLink110"/>
    <hyperlink ref="Q29" r:id="journalLink111"/>
    <hyperlink ref="S29" r:id="journalLink112"/>
    <hyperlink ref="U29" r:id="journalLink113"/>
    <hyperlink ref="P30" r:id="journalLink114"/>
    <hyperlink ref="Q30" r:id="journalLink115"/>
    <hyperlink ref="S30" r:id="journalLink116"/>
    <hyperlink ref="U30" r:id="journalLink117"/>
    <hyperlink ref="P31" r:id="journalLink118"/>
    <hyperlink ref="Q31" r:id="journalLink119"/>
    <hyperlink ref="S31" r:id="journalLink120"/>
    <hyperlink ref="U31" r:id="journalLink121"/>
    <hyperlink ref="P32" r:id="journalLink122"/>
    <hyperlink ref="Q32" r:id="journalLink123"/>
    <hyperlink ref="S32" r:id="journalLink124"/>
    <hyperlink ref="U32" r:id="journalLink125"/>
    <hyperlink ref="P33" r:id="journalLink126"/>
    <hyperlink ref="Q33" r:id="journalLink127"/>
    <hyperlink ref="S33" r:id="journalLink128"/>
    <hyperlink ref="U33" r:id="journalLink129"/>
    <hyperlink ref="P34" r:id="journalLink130"/>
    <hyperlink ref="Q34" r:id="journalLink131"/>
    <hyperlink ref="S34" r:id="journalLink132"/>
    <hyperlink ref="U34" r:id="journalLink133"/>
    <hyperlink ref="P35" r:id="journalLink134"/>
    <hyperlink ref="Q35" r:id="journalLink135"/>
    <hyperlink ref="S35" r:id="journalLink136"/>
    <hyperlink ref="U35" r:id="journalLink137"/>
    <hyperlink ref="P36" r:id="journalLink138"/>
    <hyperlink ref="Q36" r:id="journalLink139"/>
    <hyperlink ref="S36" r:id="journalLink140"/>
    <hyperlink ref="U36" r:id="journalLink141"/>
    <hyperlink ref="P37" r:id="journalLink142"/>
    <hyperlink ref="Q37" r:id="journalLink143"/>
    <hyperlink ref="S37" r:id="journalLink144"/>
    <hyperlink ref="U37" r:id="journalLink145"/>
    <hyperlink ref="P38" r:id="journalLink146"/>
    <hyperlink ref="Q38" r:id="journalLink147"/>
    <hyperlink ref="S38" r:id="journalLink148"/>
    <hyperlink ref="U38" r:id="journalLink149"/>
    <hyperlink ref="P39" r:id="journalLink150"/>
    <hyperlink ref="Q39" r:id="journalLink151"/>
    <hyperlink ref="S39" r:id="journalLink152"/>
    <hyperlink ref="U39" r:id="journalLink153"/>
    <hyperlink ref="P40" r:id="journalLink154"/>
    <hyperlink ref="Q40" r:id="journalLink155"/>
    <hyperlink ref="S40" r:id="journalLink156"/>
    <hyperlink ref="U40" r:id="journalLink157"/>
    <hyperlink ref="P41" r:id="journalLink158"/>
    <hyperlink ref="Q41" r:id="journalLink159"/>
    <hyperlink ref="S41" r:id="journalLink160"/>
    <hyperlink ref="U41" r:id="journalLink161"/>
    <hyperlink ref="P42" r:id="journalLink162"/>
    <hyperlink ref="Q42" r:id="journalLink163"/>
    <hyperlink ref="S42" r:id="journalLink164"/>
    <hyperlink ref="U42" r:id="journalLink165"/>
    <hyperlink ref="P43" r:id="journalLink166"/>
    <hyperlink ref="Q43" r:id="journalLink167"/>
    <hyperlink ref="S43" r:id="journalLink168"/>
    <hyperlink ref="U43" r:id="journalLink169"/>
    <hyperlink ref="P44" r:id="journalLink170"/>
    <hyperlink ref="Q44" r:id="journalLink171"/>
    <hyperlink ref="S44" r:id="journalLink172"/>
    <hyperlink ref="U44" r:id="journalLink173"/>
    <hyperlink ref="P45" r:id="journalLink174"/>
    <hyperlink ref="Q45" r:id="journalLink175"/>
    <hyperlink ref="S45" r:id="journalLink176"/>
    <hyperlink ref="U45" r:id="journalLink177"/>
    <hyperlink ref="P46" r:id="journalLink178"/>
    <hyperlink ref="Q46" r:id="journalLink179"/>
    <hyperlink ref="S46" r:id="journalLink180"/>
    <hyperlink ref="U46" r:id="journalLink181"/>
    <hyperlink ref="P47" r:id="journalLink182"/>
    <hyperlink ref="Q47" r:id="journalLink183"/>
    <hyperlink ref="S47" r:id="journalLink184"/>
    <hyperlink ref="U47" r:id="journalLink185"/>
    <hyperlink ref="P48" r:id="journalLink186"/>
    <hyperlink ref="Q48" r:id="journalLink187"/>
    <hyperlink ref="S48" r:id="journalLink188"/>
    <hyperlink ref="U48" r:id="journalLink189"/>
    <hyperlink ref="P49" r:id="journalLink190"/>
    <hyperlink ref="Q49" r:id="journalLink191"/>
    <hyperlink ref="S49" r:id="journalLink192"/>
    <hyperlink ref="U49" r:id="journalLink193"/>
    <hyperlink ref="P50" r:id="journalLink194"/>
    <hyperlink ref="Q50" r:id="journalLink195"/>
    <hyperlink ref="S50" r:id="journalLink196"/>
    <hyperlink ref="U50" r:id="journalLink197"/>
    <hyperlink ref="P51" r:id="journalLink198"/>
    <hyperlink ref="Q51" r:id="journalLink199"/>
    <hyperlink ref="S51" r:id="journalLink200"/>
    <hyperlink ref="U51" r:id="journalLink201"/>
    <hyperlink ref="P52" r:id="journalLink202"/>
    <hyperlink ref="Q52" r:id="journalLink203"/>
    <hyperlink ref="S52" r:id="journalLink204"/>
    <hyperlink ref="U52" r:id="journalLink205"/>
    <hyperlink ref="P53" r:id="journalLink206"/>
    <hyperlink ref="Q53" r:id="journalLink207"/>
    <hyperlink ref="S53" r:id="journalLink208"/>
    <hyperlink ref="U53" r:id="journalLink209"/>
    <hyperlink ref="P54" r:id="journalLink210"/>
    <hyperlink ref="Q54" r:id="journalLink211"/>
    <hyperlink ref="S54" r:id="journalLink212"/>
    <hyperlink ref="U54" r:id="journalLink213"/>
    <hyperlink ref="P55" r:id="journalLink214"/>
    <hyperlink ref="Q55" r:id="journalLink215"/>
    <hyperlink ref="S55" r:id="journalLink216"/>
    <hyperlink ref="U55" r:id="journalLink217"/>
    <hyperlink ref="P56" r:id="journalLink218"/>
    <hyperlink ref="Q56" r:id="journalLink219"/>
    <hyperlink ref="S56" r:id="journalLink220"/>
    <hyperlink ref="U56" r:id="journalLink221"/>
    <hyperlink ref="P57" r:id="journalLink222"/>
    <hyperlink ref="Q57" r:id="journalLink223"/>
    <hyperlink ref="S57" r:id="journalLink224"/>
    <hyperlink ref="U57" r:id="journalLink225"/>
    <hyperlink ref="P58" r:id="journalLink226"/>
    <hyperlink ref="Q58" r:id="journalLink227"/>
    <hyperlink ref="S58" r:id="journalLink228"/>
    <hyperlink ref="U58" r:id="journalLink229"/>
    <hyperlink ref="P59" r:id="journalLink230"/>
    <hyperlink ref="Q59" r:id="journalLink231"/>
    <hyperlink ref="S59" r:id="journalLink232"/>
    <hyperlink ref="U59" r:id="journalLink233"/>
    <hyperlink ref="P60" r:id="journalLink234"/>
    <hyperlink ref="Q60" r:id="journalLink235"/>
    <hyperlink ref="S60" r:id="journalLink236"/>
    <hyperlink ref="U60" r:id="journalLink237"/>
    <hyperlink ref="P61" r:id="journalLink238"/>
    <hyperlink ref="Q61" r:id="journalLink239"/>
    <hyperlink ref="S61" r:id="journalLink240"/>
    <hyperlink ref="U61" r:id="journalLink241"/>
    <hyperlink ref="P62" r:id="journalLink242"/>
    <hyperlink ref="Q62" r:id="journalLink243"/>
    <hyperlink ref="S62" r:id="journalLink244"/>
    <hyperlink ref="U62" r:id="journalLink245"/>
    <hyperlink ref="P63" r:id="journalLink246"/>
    <hyperlink ref="Q63" r:id="journalLink247"/>
    <hyperlink ref="S63" r:id="journalLink248"/>
    <hyperlink ref="U63" r:id="journalLink249"/>
    <hyperlink ref="P64" r:id="journalLink250"/>
    <hyperlink ref="Q64" r:id="journalLink251"/>
    <hyperlink ref="S64" r:id="journalLink252"/>
    <hyperlink ref="U64" r:id="journalLink253"/>
    <hyperlink ref="P65" r:id="journalLink254"/>
    <hyperlink ref="Q65" r:id="journalLink255"/>
    <hyperlink ref="S65" r:id="journalLink256"/>
    <hyperlink ref="U65" r:id="journalLink257"/>
    <hyperlink ref="P66" r:id="journalLink258"/>
    <hyperlink ref="Q66" r:id="journalLink259"/>
    <hyperlink ref="S66" r:id="journalLink260"/>
    <hyperlink ref="U66" r:id="journalLink261"/>
    <hyperlink ref="P67" r:id="journalLink262"/>
    <hyperlink ref="Q67" r:id="journalLink263"/>
    <hyperlink ref="S67" r:id="journalLink264"/>
    <hyperlink ref="U67" r:id="journalLink265"/>
    <hyperlink ref="P68" r:id="journalLink266"/>
    <hyperlink ref="Q68" r:id="journalLink267"/>
    <hyperlink ref="S68" r:id="journalLink268"/>
    <hyperlink ref="U68" r:id="journalLink269"/>
    <hyperlink ref="P69" r:id="journalLink270"/>
    <hyperlink ref="Q69" r:id="journalLink271"/>
    <hyperlink ref="S69" r:id="journalLink272"/>
    <hyperlink ref="U69" r:id="journalLink273"/>
    <hyperlink ref="P70" r:id="journalLink274"/>
    <hyperlink ref="Q70" r:id="journalLink275"/>
    <hyperlink ref="S70" r:id="journalLink276"/>
    <hyperlink ref="U70" r:id="journalLink277"/>
    <hyperlink ref="P71" r:id="journalLink278"/>
    <hyperlink ref="Q71" r:id="journalLink279"/>
    <hyperlink ref="S71" r:id="journalLink280"/>
    <hyperlink ref="U71" r:id="journalLink281"/>
    <hyperlink ref="P72" r:id="journalLink282"/>
    <hyperlink ref="Q72" r:id="journalLink283"/>
    <hyperlink ref="S72" r:id="journalLink284"/>
    <hyperlink ref="U72" r:id="journalLink285"/>
    <hyperlink ref="P73" r:id="journalLink286"/>
    <hyperlink ref="Q73" r:id="journalLink287"/>
    <hyperlink ref="S73" r:id="journalLink288"/>
    <hyperlink ref="U73" r:id="journalLink289"/>
    <hyperlink ref="P74" r:id="journalLink290"/>
    <hyperlink ref="Q74" r:id="journalLink291"/>
    <hyperlink ref="S74" r:id="journalLink292"/>
    <hyperlink ref="U74" r:id="journalLink293"/>
    <hyperlink ref="P75" r:id="journalLink294"/>
    <hyperlink ref="Q75" r:id="journalLink295"/>
    <hyperlink ref="S75" r:id="journalLink296"/>
    <hyperlink ref="U75" r:id="journalLink297"/>
    <hyperlink ref="P76" r:id="journalLink298"/>
    <hyperlink ref="Q76" r:id="journalLink299"/>
    <hyperlink ref="S76" r:id="journalLink300"/>
    <hyperlink ref="U76" r:id="journalLink301"/>
    <hyperlink ref="P77" r:id="journalLink302"/>
    <hyperlink ref="Q77" r:id="journalLink303"/>
    <hyperlink ref="S77" r:id="journalLink304"/>
    <hyperlink ref="U77" r:id="journalLink305"/>
    <hyperlink ref="P78" r:id="journalLink306"/>
    <hyperlink ref="Q78" r:id="journalLink307"/>
    <hyperlink ref="S78" r:id="journalLink308"/>
    <hyperlink ref="U78" r:id="journalLink309"/>
    <hyperlink ref="P79" r:id="journalLink310"/>
    <hyperlink ref="Q79" r:id="journalLink311"/>
    <hyperlink ref="S79" r:id="journalLink312"/>
    <hyperlink ref="U79" r:id="journalLink313"/>
    <hyperlink ref="P80" r:id="journalLink314"/>
    <hyperlink ref="Q80" r:id="journalLink315"/>
    <hyperlink ref="S80" r:id="journalLink316"/>
    <hyperlink ref="U80" r:id="journalLink317"/>
    <hyperlink ref="P81" r:id="journalLink318"/>
    <hyperlink ref="Q81" r:id="journalLink319"/>
    <hyperlink ref="S81" r:id="journalLink320"/>
    <hyperlink ref="U81" r:id="journalLink321"/>
    <hyperlink ref="P82" r:id="journalLink322"/>
    <hyperlink ref="S82" r:id="journalLink323"/>
    <hyperlink ref="U82" r:id="journalLink324"/>
    <hyperlink ref="P83" r:id="journalLink325"/>
    <hyperlink ref="Q83" r:id="journalLink326"/>
    <hyperlink ref="S83" r:id="journalLink327"/>
    <hyperlink ref="U83" r:id="journalLink328"/>
    <hyperlink ref="P84" r:id="journalLink329"/>
    <hyperlink ref="Q84" r:id="journalLink330"/>
    <hyperlink ref="S84" r:id="journalLink331"/>
    <hyperlink ref="U84" r:id="journalLink332"/>
    <hyperlink ref="P85" r:id="journalLink333"/>
    <hyperlink ref="Q85" r:id="journalLink334"/>
    <hyperlink ref="S85" r:id="journalLink335"/>
    <hyperlink ref="U85" r:id="journalLink336"/>
    <hyperlink ref="P86" r:id="journalLink337"/>
    <hyperlink ref="Q86" r:id="journalLink338"/>
    <hyperlink ref="S86" r:id="journalLink339"/>
    <hyperlink ref="U86" r:id="journalLink340"/>
    <hyperlink ref="P87" r:id="journalLink341"/>
    <hyperlink ref="Q87" r:id="journalLink342"/>
    <hyperlink ref="S87" r:id="journalLink343"/>
    <hyperlink ref="U87" r:id="journalLink344"/>
    <hyperlink ref="P88" r:id="journalLink345"/>
    <hyperlink ref="Q88" r:id="journalLink346"/>
    <hyperlink ref="S88" r:id="journalLink347"/>
    <hyperlink ref="U88" r:id="journalLink348"/>
    <hyperlink ref="P89" r:id="journalLink349"/>
    <hyperlink ref="Q89" r:id="journalLink350"/>
    <hyperlink ref="S89" r:id="journalLink351"/>
    <hyperlink ref="U89" r:id="journalLink352"/>
    <hyperlink ref="P90" r:id="journalLink353"/>
    <hyperlink ref="Q90" r:id="journalLink354"/>
    <hyperlink ref="S90" r:id="journalLink355"/>
    <hyperlink ref="U90" r:id="journalLink356"/>
    <hyperlink ref="P91" r:id="journalLink357"/>
    <hyperlink ref="Q91" r:id="journalLink358"/>
    <hyperlink ref="S91" r:id="journalLink359"/>
    <hyperlink ref="U91" r:id="journalLink360"/>
    <hyperlink ref="P92" r:id="journalLink361"/>
    <hyperlink ref="Q92" r:id="journalLink362"/>
    <hyperlink ref="S92" r:id="journalLink363"/>
    <hyperlink ref="U92" r:id="journalLink364"/>
    <hyperlink ref="P93" r:id="journalLink365"/>
    <hyperlink ref="Q93" r:id="journalLink366"/>
    <hyperlink ref="S93" r:id="journalLink367"/>
    <hyperlink ref="U93" r:id="journalLink368"/>
    <hyperlink ref="P94" r:id="journalLink369"/>
    <hyperlink ref="Q94" r:id="journalLink370"/>
    <hyperlink ref="S94" r:id="journalLink371"/>
    <hyperlink ref="U94" r:id="journalLink372"/>
    <hyperlink ref="P95" r:id="journalLink373"/>
    <hyperlink ref="Q95" r:id="journalLink374"/>
    <hyperlink ref="S95" r:id="journalLink375"/>
    <hyperlink ref="U95" r:id="journalLink376"/>
    <hyperlink ref="P96" r:id="journalLink377"/>
    <hyperlink ref="Q96" r:id="journalLink378"/>
    <hyperlink ref="S96" r:id="journalLink379"/>
    <hyperlink ref="U96" r:id="journalLink380"/>
    <hyperlink ref="P97" r:id="journalLink381"/>
    <hyperlink ref="Q97" r:id="journalLink382"/>
    <hyperlink ref="S97" r:id="journalLink383"/>
    <hyperlink ref="U97" r:id="journalLink384"/>
    <hyperlink ref="P98" r:id="journalLink385"/>
    <hyperlink ref="Q98" r:id="journalLink386"/>
    <hyperlink ref="S98" r:id="journalLink387"/>
    <hyperlink ref="U98" r:id="journalLink388"/>
    <hyperlink ref="P99" r:id="journalLink389"/>
    <hyperlink ref="Q99" r:id="journalLink390"/>
    <hyperlink ref="S99" r:id="journalLink391"/>
    <hyperlink ref="U99" r:id="journalLink392"/>
    <hyperlink ref="P100" r:id="journalLink393"/>
    <hyperlink ref="Q100" r:id="journalLink394"/>
    <hyperlink ref="S100" r:id="journalLink395"/>
    <hyperlink ref="U100" r:id="journalLink396"/>
    <hyperlink ref="P101" r:id="journalLink397"/>
    <hyperlink ref="Q101" r:id="journalLink398"/>
    <hyperlink ref="S101" r:id="journalLink399"/>
    <hyperlink ref="U101" r:id="journalLink400"/>
    <hyperlink ref="P102" r:id="journalLink401"/>
    <hyperlink ref="Q102" r:id="journalLink402"/>
    <hyperlink ref="S102" r:id="journalLink403"/>
    <hyperlink ref="U102" r:id="journalLink404"/>
    <hyperlink ref="P103" r:id="journalLink405"/>
    <hyperlink ref="Q103" r:id="journalLink406"/>
    <hyperlink ref="S103" r:id="journalLink407"/>
    <hyperlink ref="U103" r:id="journalLink408"/>
    <hyperlink ref="P104" r:id="journalLink409"/>
    <hyperlink ref="Q104" r:id="journalLink410"/>
    <hyperlink ref="S104" r:id="journalLink411"/>
    <hyperlink ref="U104" r:id="journalLink412"/>
    <hyperlink ref="P105" r:id="journalLink413"/>
    <hyperlink ref="Q105" r:id="journalLink414"/>
    <hyperlink ref="S105" r:id="journalLink415"/>
    <hyperlink ref="U105" r:id="journalLink416"/>
    <hyperlink ref="P106" r:id="journalLink417"/>
    <hyperlink ref="Q106" r:id="journalLink418"/>
    <hyperlink ref="S106" r:id="journalLink419"/>
    <hyperlink ref="U106" r:id="journalLink420"/>
    <hyperlink ref="P107" r:id="journalLink421"/>
    <hyperlink ref="Q107" r:id="journalLink422"/>
    <hyperlink ref="S107" r:id="journalLink423"/>
    <hyperlink ref="U107" r:id="journalLink424"/>
    <hyperlink ref="P108" r:id="journalLink425"/>
    <hyperlink ref="Q108" r:id="journalLink426"/>
    <hyperlink ref="S108" r:id="journalLink427"/>
    <hyperlink ref="U108" r:id="journalLink428"/>
    <hyperlink ref="P109" r:id="journalLink429"/>
    <hyperlink ref="Q109" r:id="journalLink430"/>
    <hyperlink ref="S109" r:id="journalLink431"/>
    <hyperlink ref="U109" r:id="journalLink432"/>
    <hyperlink ref="P110" r:id="journalLink433"/>
    <hyperlink ref="Q110" r:id="journalLink434"/>
    <hyperlink ref="S110" r:id="journalLink435"/>
    <hyperlink ref="U110" r:id="journalLink436"/>
    <hyperlink ref="P111" r:id="journalLink437"/>
    <hyperlink ref="Q111" r:id="journalLink438"/>
    <hyperlink ref="S111" r:id="journalLink439"/>
    <hyperlink ref="U111" r:id="journalLink440"/>
    <hyperlink ref="P112" r:id="journalLink441"/>
    <hyperlink ref="Q112" r:id="journalLink442"/>
    <hyperlink ref="S112" r:id="journalLink443"/>
    <hyperlink ref="U112" r:id="journalLink444"/>
    <hyperlink ref="P113" r:id="journalLink445"/>
    <hyperlink ref="Q113" r:id="journalLink446"/>
    <hyperlink ref="S113" r:id="journalLink447"/>
    <hyperlink ref="U113" r:id="journalLink448"/>
    <hyperlink ref="P114" r:id="journalLink449"/>
    <hyperlink ref="Q114" r:id="journalLink450"/>
    <hyperlink ref="S114" r:id="journalLink451"/>
    <hyperlink ref="U114" r:id="journalLink452"/>
    <hyperlink ref="P115" r:id="journalLink453"/>
    <hyperlink ref="Q115" r:id="journalLink454"/>
    <hyperlink ref="S115" r:id="journalLink455"/>
    <hyperlink ref="U115" r:id="journalLink456"/>
    <hyperlink ref="P116" r:id="journalLink457"/>
    <hyperlink ref="Q116" r:id="journalLink458"/>
    <hyperlink ref="S116" r:id="journalLink459"/>
    <hyperlink ref="U116" r:id="journalLink460"/>
    <hyperlink ref="P117" r:id="journalLink461"/>
    <hyperlink ref="Q117" r:id="journalLink462"/>
    <hyperlink ref="S117" r:id="journalLink463"/>
    <hyperlink ref="U117" r:id="journalLink464"/>
    <hyperlink ref="P118" r:id="journalLink465"/>
    <hyperlink ref="Q118" r:id="journalLink466"/>
    <hyperlink ref="S118" r:id="journalLink467"/>
    <hyperlink ref="U118" r:id="journalLink468"/>
    <hyperlink ref="P119" r:id="journalLink469"/>
    <hyperlink ref="Q119" r:id="journalLink470"/>
    <hyperlink ref="S119" r:id="journalLink471"/>
    <hyperlink ref="U119" r:id="journalLink472"/>
    <hyperlink ref="P120" r:id="journalLink473"/>
    <hyperlink ref="Q120" r:id="journalLink474"/>
    <hyperlink ref="S120" r:id="journalLink475"/>
    <hyperlink ref="U120" r:id="journalLink476"/>
    <hyperlink ref="P121" r:id="journalLink477"/>
    <hyperlink ref="Q121" r:id="journalLink478"/>
    <hyperlink ref="S121" r:id="journalLink479"/>
    <hyperlink ref="U121" r:id="journalLink480"/>
    <hyperlink ref="P122" r:id="journalLink481"/>
    <hyperlink ref="Q122" r:id="journalLink482"/>
    <hyperlink ref="S122" r:id="journalLink483"/>
    <hyperlink ref="U122" r:id="journalLink484"/>
    <hyperlink ref="P123" r:id="journalLink485"/>
    <hyperlink ref="Q123" r:id="journalLink486"/>
    <hyperlink ref="S123" r:id="journalLink487"/>
    <hyperlink ref="U123" r:id="journalLink488"/>
    <hyperlink ref="P124" r:id="journalLink489"/>
    <hyperlink ref="Q124" r:id="journalLink490"/>
    <hyperlink ref="S124" r:id="journalLink491"/>
    <hyperlink ref="U124" r:id="journalLink492"/>
    <hyperlink ref="P125" r:id="journalLink493"/>
    <hyperlink ref="Q125" r:id="journalLink494"/>
    <hyperlink ref="S125" r:id="journalLink495"/>
    <hyperlink ref="U125" r:id="journalLink496"/>
    <hyperlink ref="P126" r:id="journalLink497"/>
    <hyperlink ref="Q126" r:id="journalLink498"/>
    <hyperlink ref="S126" r:id="journalLink499"/>
    <hyperlink ref="U126" r:id="journalLink500"/>
    <hyperlink ref="P127" r:id="journalLink501"/>
    <hyperlink ref="Q127" r:id="journalLink502"/>
    <hyperlink ref="S127" r:id="journalLink503"/>
    <hyperlink ref="U127" r:id="journalLink504"/>
    <hyperlink ref="P128" r:id="journalLink505"/>
    <hyperlink ref="Q128" r:id="journalLink506"/>
    <hyperlink ref="S128" r:id="journalLink507"/>
    <hyperlink ref="U128" r:id="journalLink508"/>
    <hyperlink ref="P129" r:id="journalLink509"/>
    <hyperlink ref="Q129" r:id="journalLink510"/>
    <hyperlink ref="S129" r:id="journalLink511"/>
    <hyperlink ref="U129" r:id="journalLink512"/>
    <hyperlink ref="P130" r:id="journalLink513"/>
    <hyperlink ref="Q130" r:id="journalLink514"/>
    <hyperlink ref="S130" r:id="journalLink515"/>
    <hyperlink ref="U130" r:id="journalLink516"/>
    <hyperlink ref="P131" r:id="journalLink517"/>
    <hyperlink ref="Q131" r:id="journalLink518"/>
    <hyperlink ref="S131" r:id="journalLink519"/>
    <hyperlink ref="U131" r:id="journalLink520"/>
    <hyperlink ref="P132" r:id="journalLink521"/>
    <hyperlink ref="Q132" r:id="journalLink522"/>
    <hyperlink ref="S132" r:id="journalLink523"/>
    <hyperlink ref="U132" r:id="journalLink524"/>
    <hyperlink ref="P133" r:id="journalLink525"/>
    <hyperlink ref="Q133" r:id="journalLink526"/>
    <hyperlink ref="S133" r:id="journalLink527"/>
    <hyperlink ref="U133" r:id="journalLink528"/>
    <hyperlink ref="P134" r:id="journalLink529"/>
    <hyperlink ref="Q134" r:id="journalLink530"/>
    <hyperlink ref="S134" r:id="journalLink531"/>
    <hyperlink ref="U134" r:id="journalLink532"/>
    <hyperlink ref="P135" r:id="journalLink533"/>
    <hyperlink ref="Q135" r:id="journalLink534"/>
    <hyperlink ref="S135" r:id="journalLink535"/>
    <hyperlink ref="U135" r:id="journalLink536"/>
    <hyperlink ref="P136" r:id="journalLink537"/>
    <hyperlink ref="Q136" r:id="journalLink538"/>
    <hyperlink ref="S136" r:id="journalLink539"/>
    <hyperlink ref="U136" r:id="journalLink540"/>
    <hyperlink ref="P137" r:id="journalLink541"/>
    <hyperlink ref="Q137" r:id="journalLink542"/>
    <hyperlink ref="S137" r:id="journalLink543"/>
    <hyperlink ref="U137" r:id="journalLink544"/>
    <hyperlink ref="P138" r:id="journalLink545"/>
    <hyperlink ref="Q138" r:id="journalLink546"/>
    <hyperlink ref="S138" r:id="journalLink547"/>
    <hyperlink ref="U138" r:id="journalLink548"/>
    <hyperlink ref="P139" r:id="journalLink549"/>
    <hyperlink ref="Q139" r:id="journalLink550"/>
    <hyperlink ref="S139" r:id="journalLink551"/>
    <hyperlink ref="U139" r:id="journalLink552"/>
    <hyperlink ref="P140" r:id="journalLink553"/>
    <hyperlink ref="Q140" r:id="journalLink554"/>
    <hyperlink ref="S140" r:id="journalLink555"/>
    <hyperlink ref="U140" r:id="journalLink556"/>
    <hyperlink ref="P141" r:id="journalLink557"/>
    <hyperlink ref="Q141" r:id="journalLink558"/>
    <hyperlink ref="S141" r:id="journalLink559"/>
    <hyperlink ref="U141" r:id="journalLink560"/>
    <hyperlink ref="P142" r:id="journalLink561"/>
    <hyperlink ref="Q142" r:id="journalLink562"/>
    <hyperlink ref="S142" r:id="journalLink563"/>
    <hyperlink ref="U142" r:id="journalLink564"/>
    <hyperlink ref="P143" r:id="journalLink565"/>
    <hyperlink ref="S143" r:id="journalLink566"/>
    <hyperlink ref="U143" r:id="journalLink567"/>
    <hyperlink ref="P144" r:id="journalLink568"/>
    <hyperlink ref="S144" r:id="journalLink569"/>
    <hyperlink ref="U144" r:id="journalLink570"/>
    <hyperlink ref="P145" r:id="journalLink571"/>
    <hyperlink ref="S145" r:id="journalLink572"/>
    <hyperlink ref="U145" r:id="journalLink573"/>
    <hyperlink ref="P146" r:id="journalLink574"/>
    <hyperlink ref="Q146" r:id="journalLink575"/>
    <hyperlink ref="S146" r:id="journalLink576"/>
    <hyperlink ref="U146" r:id="journalLink577"/>
    <hyperlink ref="P147" r:id="journalLink578"/>
    <hyperlink ref="Q147" r:id="journalLink579"/>
    <hyperlink ref="S147" r:id="journalLink580"/>
    <hyperlink ref="U147" r:id="journalLink581"/>
    <hyperlink ref="P148" r:id="journalLink582"/>
    <hyperlink ref="Q148" r:id="journalLink583"/>
    <hyperlink ref="S148" r:id="journalLink584"/>
    <hyperlink ref="U148" r:id="journalLink585"/>
    <hyperlink ref="P149" r:id="journalLink586"/>
    <hyperlink ref="Q149" r:id="journalLink587"/>
    <hyperlink ref="S149" r:id="journalLink588"/>
    <hyperlink ref="U149" r:id="journalLink589"/>
    <hyperlink ref="P150" r:id="journalLink590"/>
    <hyperlink ref="Q150" r:id="journalLink591"/>
    <hyperlink ref="S150" r:id="journalLink592"/>
    <hyperlink ref="U150" r:id="journalLink593"/>
    <hyperlink ref="P151" r:id="journalLink594"/>
    <hyperlink ref="Q151" r:id="journalLink595"/>
    <hyperlink ref="S151" r:id="journalLink596"/>
    <hyperlink ref="U151" r:id="journalLink597"/>
    <hyperlink ref="P152" r:id="journalLink598"/>
    <hyperlink ref="Q152" r:id="journalLink599"/>
    <hyperlink ref="S152" r:id="journalLink600"/>
    <hyperlink ref="U152" r:id="journalLink601"/>
    <hyperlink ref="P153" r:id="journalLink602"/>
    <hyperlink ref="Q153" r:id="journalLink603"/>
    <hyperlink ref="S153" r:id="journalLink604"/>
    <hyperlink ref="U153" r:id="journalLink605"/>
    <hyperlink ref="P154" r:id="journalLink606"/>
    <hyperlink ref="Q154" r:id="journalLink607"/>
    <hyperlink ref="S154" r:id="journalLink608"/>
    <hyperlink ref="U154" r:id="journalLink609"/>
    <hyperlink ref="P155" r:id="journalLink610"/>
    <hyperlink ref="Q155" r:id="journalLink611"/>
    <hyperlink ref="S155" r:id="journalLink612"/>
    <hyperlink ref="U155" r:id="journalLink613"/>
    <hyperlink ref="P156" r:id="journalLink614"/>
    <hyperlink ref="Q156" r:id="journalLink615"/>
    <hyperlink ref="S156" r:id="journalLink616"/>
    <hyperlink ref="U156" r:id="journalLink617"/>
    <hyperlink ref="P157" r:id="journalLink618"/>
    <hyperlink ref="Q157" r:id="journalLink619"/>
    <hyperlink ref="S157" r:id="journalLink620"/>
    <hyperlink ref="U157" r:id="journalLink621"/>
    <hyperlink ref="P158" r:id="journalLink622"/>
    <hyperlink ref="Q158" r:id="journalLink623"/>
    <hyperlink ref="S158" r:id="journalLink624"/>
    <hyperlink ref="U158" r:id="journalLink625"/>
    <hyperlink ref="P159" r:id="journalLink626"/>
    <hyperlink ref="Q159" r:id="journalLink627"/>
    <hyperlink ref="S159" r:id="journalLink628"/>
    <hyperlink ref="U159" r:id="journalLink629"/>
    <hyperlink ref="P160" r:id="journalLink630"/>
    <hyperlink ref="Q160" r:id="journalLink631"/>
    <hyperlink ref="S160" r:id="journalLink632"/>
    <hyperlink ref="U160" r:id="journalLink633"/>
    <hyperlink ref="P161" r:id="journalLink634"/>
    <hyperlink ref="Q161" r:id="journalLink635"/>
    <hyperlink ref="S161" r:id="journalLink636"/>
    <hyperlink ref="U161" r:id="journalLink637"/>
    <hyperlink ref="P162" r:id="journalLink638"/>
    <hyperlink ref="Q162" r:id="journalLink639"/>
    <hyperlink ref="S162" r:id="journalLink640"/>
    <hyperlink ref="U162" r:id="journalLink641"/>
    <hyperlink ref="P163" r:id="journalLink642"/>
    <hyperlink ref="Q163" r:id="journalLink643"/>
    <hyperlink ref="S163" r:id="journalLink644"/>
    <hyperlink ref="U163" r:id="journalLink645"/>
    <hyperlink ref="P164" r:id="journalLink646"/>
    <hyperlink ref="Q164" r:id="journalLink647"/>
    <hyperlink ref="S164" r:id="journalLink648"/>
    <hyperlink ref="U164" r:id="journalLink649"/>
    <hyperlink ref="P165" r:id="journalLink650"/>
    <hyperlink ref="Q165" r:id="journalLink651"/>
    <hyperlink ref="S165" r:id="journalLink652"/>
    <hyperlink ref="U165" r:id="journalLink653"/>
    <hyperlink ref="P166" r:id="journalLink654"/>
    <hyperlink ref="Q166" r:id="journalLink655"/>
    <hyperlink ref="S166" r:id="journalLink656"/>
    <hyperlink ref="U166" r:id="journalLink657"/>
    <hyperlink ref="P167" r:id="journalLink658"/>
    <hyperlink ref="Q167" r:id="journalLink659"/>
    <hyperlink ref="S167" r:id="journalLink660"/>
    <hyperlink ref="U167" r:id="journalLink661"/>
    <hyperlink ref="P168" r:id="journalLink662"/>
    <hyperlink ref="Q168" r:id="journalLink663"/>
    <hyperlink ref="S168" r:id="journalLink664"/>
    <hyperlink ref="U168" r:id="journalLink665"/>
    <hyperlink ref="P169" r:id="journalLink666"/>
    <hyperlink ref="Q169" r:id="journalLink667"/>
    <hyperlink ref="S169" r:id="journalLink668"/>
    <hyperlink ref="U169" r:id="journalLink669"/>
    <hyperlink ref="P170" r:id="journalLink670"/>
    <hyperlink ref="Q170" r:id="journalLink671"/>
    <hyperlink ref="S170" r:id="journalLink672"/>
    <hyperlink ref="U170" r:id="journalLink673"/>
    <hyperlink ref="P171" r:id="journalLink674"/>
    <hyperlink ref="Q171" r:id="journalLink675"/>
    <hyperlink ref="S171" r:id="journalLink676"/>
    <hyperlink ref="U171" r:id="journalLink677"/>
    <hyperlink ref="P172" r:id="journalLink678"/>
    <hyperlink ref="Q172" r:id="journalLink679"/>
    <hyperlink ref="S172" r:id="journalLink680"/>
    <hyperlink ref="U172" r:id="journalLink681"/>
    <hyperlink ref="P173" r:id="journalLink682"/>
    <hyperlink ref="Q173" r:id="journalLink683"/>
    <hyperlink ref="S173" r:id="journalLink684"/>
    <hyperlink ref="U173" r:id="journalLink685"/>
    <hyperlink ref="P174" r:id="journalLink686"/>
    <hyperlink ref="Q174" r:id="journalLink687"/>
    <hyperlink ref="S174" r:id="journalLink688"/>
    <hyperlink ref="U174" r:id="journalLink689"/>
    <hyperlink ref="P175" r:id="journalLink690"/>
    <hyperlink ref="Q175" r:id="journalLink691"/>
    <hyperlink ref="S175" r:id="journalLink692"/>
    <hyperlink ref="U175" r:id="journalLink693"/>
    <hyperlink ref="P176" r:id="journalLink694"/>
    <hyperlink ref="Q176" r:id="journalLink695"/>
    <hyperlink ref="S176" r:id="journalLink696"/>
    <hyperlink ref="U176" r:id="journalLink697"/>
    <hyperlink ref="P177" r:id="journalLink698"/>
    <hyperlink ref="Q177" r:id="journalLink699"/>
    <hyperlink ref="S177" r:id="journalLink700"/>
    <hyperlink ref="U177" r:id="journalLink701"/>
    <hyperlink ref="P178" r:id="journalLink702"/>
    <hyperlink ref="Q178" r:id="journalLink703"/>
    <hyperlink ref="S178" r:id="journalLink704"/>
    <hyperlink ref="U178" r:id="journalLink705"/>
    <hyperlink ref="P179" r:id="journalLink706"/>
    <hyperlink ref="Q179" r:id="journalLink707"/>
    <hyperlink ref="S179" r:id="journalLink708"/>
    <hyperlink ref="U179" r:id="journalLink709"/>
    <hyperlink ref="P180" r:id="journalLink710"/>
    <hyperlink ref="Q180" r:id="journalLink711"/>
    <hyperlink ref="S180" r:id="journalLink712"/>
    <hyperlink ref="U180" r:id="journalLink713"/>
    <hyperlink ref="P181" r:id="journalLink714"/>
    <hyperlink ref="Q181" r:id="journalLink715"/>
    <hyperlink ref="S181" r:id="journalLink716"/>
    <hyperlink ref="U181" r:id="journalLink717"/>
    <hyperlink ref="P182" r:id="journalLink718"/>
    <hyperlink ref="Q182" r:id="journalLink719"/>
    <hyperlink ref="S182" r:id="journalLink720"/>
    <hyperlink ref="U182" r:id="journalLink721"/>
    <hyperlink ref="P183" r:id="journalLink722"/>
    <hyperlink ref="Q183" r:id="journalLink723"/>
    <hyperlink ref="S183" r:id="journalLink724"/>
    <hyperlink ref="U183" r:id="journalLink725"/>
    <hyperlink ref="P184" r:id="journalLink726"/>
    <hyperlink ref="Q184" r:id="journalLink727"/>
    <hyperlink ref="S184" r:id="journalLink728"/>
    <hyperlink ref="U184" r:id="journalLink729"/>
    <hyperlink ref="P185" r:id="journalLink730"/>
    <hyperlink ref="Q185" r:id="journalLink731"/>
    <hyperlink ref="S185" r:id="journalLink732"/>
    <hyperlink ref="U185" r:id="journalLink733"/>
    <hyperlink ref="P186" r:id="journalLink734"/>
    <hyperlink ref="Q186" r:id="journalLink735"/>
    <hyperlink ref="S186" r:id="journalLink736"/>
    <hyperlink ref="U186" r:id="journalLink737"/>
    <hyperlink ref="P187" r:id="journalLink738"/>
    <hyperlink ref="Q187" r:id="journalLink739"/>
    <hyperlink ref="S187" r:id="journalLink740"/>
    <hyperlink ref="U187" r:id="journalLink741"/>
    <hyperlink ref="P188" r:id="journalLink742"/>
    <hyperlink ref="Q188" r:id="journalLink743"/>
    <hyperlink ref="S188" r:id="journalLink744"/>
    <hyperlink ref="U188" r:id="journalLink745"/>
    <hyperlink ref="P189" r:id="journalLink746"/>
    <hyperlink ref="Q189" r:id="journalLink747"/>
    <hyperlink ref="S189" r:id="journalLink748"/>
    <hyperlink ref="U189" r:id="journalLink749"/>
    <hyperlink ref="P190" r:id="journalLink750"/>
    <hyperlink ref="Q190" r:id="journalLink751"/>
    <hyperlink ref="S190" r:id="journalLink752"/>
    <hyperlink ref="U190" r:id="journalLink753"/>
    <hyperlink ref="P191" r:id="journalLink754"/>
    <hyperlink ref="Q191" r:id="journalLink755"/>
    <hyperlink ref="S191" r:id="journalLink756"/>
    <hyperlink ref="U191" r:id="journalLink757"/>
    <hyperlink ref="P192" r:id="journalLink758"/>
    <hyperlink ref="Q192" r:id="journalLink759"/>
    <hyperlink ref="S192" r:id="journalLink760"/>
    <hyperlink ref="U192" r:id="journalLink761"/>
    <hyperlink ref="P193" r:id="journalLink762"/>
    <hyperlink ref="Q193" r:id="journalLink763"/>
    <hyperlink ref="S193" r:id="journalLink764"/>
    <hyperlink ref="U193" r:id="journalLink765"/>
    <hyperlink ref="P194" r:id="journalLink766"/>
    <hyperlink ref="Q194" r:id="journalLink767"/>
    <hyperlink ref="S194" r:id="journalLink768"/>
    <hyperlink ref="U194" r:id="journalLink769"/>
    <hyperlink ref="P195" r:id="journalLink770"/>
    <hyperlink ref="Q195" r:id="journalLink771"/>
    <hyperlink ref="S195" r:id="journalLink772"/>
    <hyperlink ref="U195" r:id="journalLink773"/>
    <hyperlink ref="P196" r:id="journalLink774"/>
    <hyperlink ref="Q196" r:id="journalLink775"/>
    <hyperlink ref="S196" r:id="journalLink776"/>
    <hyperlink ref="U196" r:id="journalLink777"/>
    <hyperlink ref="P197" r:id="journalLink778"/>
    <hyperlink ref="Q197" r:id="journalLink779"/>
    <hyperlink ref="S197" r:id="journalLink780"/>
    <hyperlink ref="U197" r:id="journalLink781"/>
    <hyperlink ref="P198" r:id="journalLink782"/>
    <hyperlink ref="Q198" r:id="journalLink783"/>
    <hyperlink ref="S198" r:id="journalLink784"/>
    <hyperlink ref="U198" r:id="journalLink785"/>
    <hyperlink ref="P199" r:id="journalLink786"/>
    <hyperlink ref="Q199" r:id="journalLink787"/>
    <hyperlink ref="S199" r:id="journalLink788"/>
    <hyperlink ref="U199" r:id="journalLink789"/>
    <hyperlink ref="P200" r:id="journalLink790"/>
    <hyperlink ref="Q200" r:id="journalLink791"/>
    <hyperlink ref="S200" r:id="journalLink792"/>
    <hyperlink ref="U200" r:id="journalLink793"/>
    <hyperlink ref="P201" r:id="journalLink794"/>
    <hyperlink ref="Q201" r:id="journalLink795"/>
    <hyperlink ref="S201" r:id="journalLink796"/>
    <hyperlink ref="U201" r:id="journalLink797"/>
    <hyperlink ref="P202" r:id="journalLink798"/>
    <hyperlink ref="Q202" r:id="journalLink799"/>
    <hyperlink ref="S202" r:id="journalLink800"/>
    <hyperlink ref="U202" r:id="journalLink801"/>
    <hyperlink ref="P203" r:id="journalLink802"/>
    <hyperlink ref="Q203" r:id="journalLink803"/>
    <hyperlink ref="S203" r:id="journalLink804"/>
    <hyperlink ref="U203" r:id="journalLink805"/>
    <hyperlink ref="P204" r:id="journalLink806"/>
    <hyperlink ref="Q204" r:id="journalLink807"/>
    <hyperlink ref="S204" r:id="journalLink808"/>
    <hyperlink ref="U204" r:id="journalLink809"/>
    <hyperlink ref="P205" r:id="journalLink810"/>
    <hyperlink ref="Q205" r:id="journalLink811"/>
    <hyperlink ref="S205" r:id="journalLink812"/>
    <hyperlink ref="U205" r:id="journalLink813"/>
    <hyperlink ref="P206" r:id="journalLink814"/>
    <hyperlink ref="Q206" r:id="journalLink815"/>
    <hyperlink ref="S206" r:id="journalLink816"/>
    <hyperlink ref="U206" r:id="journalLink817"/>
    <hyperlink ref="P207" r:id="journalLink818"/>
    <hyperlink ref="Q207" r:id="journalLink819"/>
    <hyperlink ref="S207" r:id="journalLink820"/>
    <hyperlink ref="U207" r:id="journalLink821"/>
    <hyperlink ref="P208" r:id="journalLink822"/>
    <hyperlink ref="Q208" r:id="journalLink823"/>
    <hyperlink ref="S208" r:id="journalLink824"/>
    <hyperlink ref="U208" r:id="journalLink825"/>
    <hyperlink ref="P209" r:id="journalLink826"/>
    <hyperlink ref="Q209" r:id="journalLink827"/>
    <hyperlink ref="S209" r:id="journalLink828"/>
    <hyperlink ref="U209" r:id="journalLink829"/>
    <hyperlink ref="P210" r:id="journalLink830"/>
    <hyperlink ref="Q210" r:id="journalLink831"/>
    <hyperlink ref="S210" r:id="journalLink832"/>
    <hyperlink ref="U210" r:id="journalLink833"/>
    <hyperlink ref="P211" r:id="journalLink834"/>
    <hyperlink ref="Q211" r:id="journalLink835"/>
    <hyperlink ref="S211" r:id="journalLink836"/>
    <hyperlink ref="U211" r:id="journalLink837"/>
    <hyperlink ref="P212" r:id="journalLink838"/>
    <hyperlink ref="Q212" r:id="journalLink839"/>
    <hyperlink ref="S212" r:id="journalLink840"/>
    <hyperlink ref="U212" r:id="journalLink841"/>
    <hyperlink ref="P213" r:id="journalLink842"/>
    <hyperlink ref="Q213" r:id="journalLink843"/>
    <hyperlink ref="S213" r:id="journalLink844"/>
    <hyperlink ref="U213" r:id="journalLink845"/>
    <hyperlink ref="P214" r:id="journalLink846"/>
    <hyperlink ref="Q214" r:id="journalLink847"/>
    <hyperlink ref="S214" r:id="journalLink848"/>
    <hyperlink ref="U214" r:id="journalLink849"/>
    <hyperlink ref="P215" r:id="journalLink850"/>
    <hyperlink ref="Q215" r:id="journalLink851"/>
    <hyperlink ref="S215" r:id="journalLink852"/>
    <hyperlink ref="U215" r:id="journalLink853"/>
    <hyperlink ref="P216" r:id="journalLink854"/>
    <hyperlink ref="Q216" r:id="journalLink855"/>
    <hyperlink ref="S216" r:id="journalLink856"/>
    <hyperlink ref="U216" r:id="journalLink857"/>
    <hyperlink ref="P217" r:id="journalLink858"/>
    <hyperlink ref="Q217" r:id="journalLink859"/>
    <hyperlink ref="S217" r:id="journalLink860"/>
    <hyperlink ref="U217" r:id="journalLink861"/>
    <hyperlink ref="P218" r:id="journalLink862"/>
    <hyperlink ref="Q218" r:id="journalLink863"/>
    <hyperlink ref="S218" r:id="journalLink864"/>
    <hyperlink ref="U218" r:id="journalLink865"/>
    <hyperlink ref="P219" r:id="journalLink866"/>
    <hyperlink ref="Q219" r:id="journalLink867"/>
    <hyperlink ref="S219" r:id="journalLink868"/>
    <hyperlink ref="U219" r:id="journalLink869"/>
    <hyperlink ref="P220" r:id="journalLink870"/>
    <hyperlink ref="Q220" r:id="journalLink871"/>
    <hyperlink ref="S220" r:id="journalLink872"/>
    <hyperlink ref="U220" r:id="journalLink873"/>
    <hyperlink ref="P221" r:id="journalLink874"/>
    <hyperlink ref="Q221" r:id="journalLink875"/>
    <hyperlink ref="S221" r:id="journalLink876"/>
    <hyperlink ref="U221" r:id="journalLink877"/>
    <hyperlink ref="P222" r:id="journalLink878"/>
    <hyperlink ref="Q222" r:id="journalLink879"/>
    <hyperlink ref="S222" r:id="journalLink880"/>
    <hyperlink ref="U222" r:id="journalLink881"/>
    <hyperlink ref="P223" r:id="journalLink882"/>
    <hyperlink ref="Q223" r:id="journalLink883"/>
    <hyperlink ref="S223" r:id="journalLink884"/>
    <hyperlink ref="U223" r:id="journalLink885"/>
    <hyperlink ref="P224" r:id="journalLink886"/>
    <hyperlink ref="Q224" r:id="journalLink887"/>
    <hyperlink ref="S224" r:id="journalLink888"/>
    <hyperlink ref="U224" r:id="journalLink889"/>
    <hyperlink ref="P225" r:id="journalLink890"/>
    <hyperlink ref="Q225" r:id="journalLink891"/>
    <hyperlink ref="S225" r:id="journalLink892"/>
    <hyperlink ref="U225" r:id="journalLink893"/>
    <hyperlink ref="P226" r:id="journalLink894"/>
    <hyperlink ref="Q226" r:id="journalLink895"/>
    <hyperlink ref="S226" r:id="journalLink896"/>
    <hyperlink ref="U226" r:id="journalLink897"/>
    <hyperlink ref="P227" r:id="journalLink898"/>
    <hyperlink ref="Q227" r:id="journalLink899"/>
    <hyperlink ref="S227" r:id="journalLink900"/>
    <hyperlink ref="U227" r:id="journalLink901"/>
    <hyperlink ref="P228" r:id="journalLink902"/>
    <hyperlink ref="Q228" r:id="journalLink903"/>
    <hyperlink ref="S228" r:id="journalLink904"/>
    <hyperlink ref="U228" r:id="journalLink905"/>
    <hyperlink ref="P229" r:id="journalLink906"/>
    <hyperlink ref="Q229" r:id="journalLink907"/>
    <hyperlink ref="S229" r:id="journalLink908"/>
    <hyperlink ref="U229" r:id="journalLink909"/>
    <hyperlink ref="P230" r:id="journalLink910"/>
    <hyperlink ref="Q230" r:id="journalLink911"/>
    <hyperlink ref="S230" r:id="journalLink912"/>
    <hyperlink ref="U230" r:id="journalLink913"/>
    <hyperlink ref="P231" r:id="journalLink914"/>
    <hyperlink ref="Q231" r:id="journalLink915"/>
    <hyperlink ref="S231" r:id="journalLink916"/>
    <hyperlink ref="U231" r:id="journalLink917"/>
    <hyperlink ref="P232" r:id="journalLink918"/>
    <hyperlink ref="Q232" r:id="journalLink919"/>
    <hyperlink ref="S232" r:id="journalLink920"/>
    <hyperlink ref="U232" r:id="journalLink921"/>
    <hyperlink ref="P233" r:id="journalLink922"/>
    <hyperlink ref="Q233" r:id="journalLink923"/>
    <hyperlink ref="S233" r:id="journalLink924"/>
    <hyperlink ref="U233" r:id="journalLink925"/>
    <hyperlink ref="P234" r:id="journalLink926"/>
    <hyperlink ref="Q234" r:id="journalLink927"/>
    <hyperlink ref="S234" r:id="journalLink928"/>
    <hyperlink ref="U234" r:id="journalLink929"/>
    <hyperlink ref="P235" r:id="journalLink930"/>
    <hyperlink ref="Q235" r:id="journalLink931"/>
    <hyperlink ref="S235" r:id="journalLink932"/>
    <hyperlink ref="U235" r:id="journalLink933"/>
    <hyperlink ref="P236" r:id="journalLink934"/>
    <hyperlink ref="S236" r:id="journalLink935"/>
    <hyperlink ref="U236" r:id="journalLink936"/>
    <hyperlink ref="P237" r:id="journalLink937"/>
    <hyperlink ref="Q237" r:id="journalLink938"/>
    <hyperlink ref="S237" r:id="journalLink939"/>
    <hyperlink ref="U237" r:id="journalLink940"/>
    <hyperlink ref="P238" r:id="journalLink941"/>
    <hyperlink ref="Q238" r:id="journalLink942"/>
    <hyperlink ref="S238" r:id="journalLink943"/>
    <hyperlink ref="U238" r:id="journalLink944"/>
    <hyperlink ref="P239" r:id="journalLink945"/>
    <hyperlink ref="Q239" r:id="journalLink946"/>
    <hyperlink ref="S239" r:id="journalLink947"/>
    <hyperlink ref="U239" r:id="journalLink948"/>
    <hyperlink ref="P240" r:id="journalLink949"/>
    <hyperlink ref="Q240" r:id="journalLink950"/>
    <hyperlink ref="S240" r:id="journalLink951"/>
    <hyperlink ref="U240" r:id="journalLink952"/>
    <hyperlink ref="P241" r:id="journalLink953"/>
    <hyperlink ref="Q241" r:id="journalLink954"/>
    <hyperlink ref="S241" r:id="journalLink955"/>
    <hyperlink ref="U241" r:id="journalLink956"/>
    <hyperlink ref="P242" r:id="journalLink957"/>
    <hyperlink ref="Q242" r:id="journalLink958"/>
    <hyperlink ref="S242" r:id="journalLink959"/>
    <hyperlink ref="U242" r:id="journalLink960"/>
    <hyperlink ref="P243" r:id="journalLink961"/>
    <hyperlink ref="Q243" r:id="journalLink962"/>
    <hyperlink ref="S243" r:id="journalLink963"/>
    <hyperlink ref="U243" r:id="journalLink964"/>
    <hyperlink ref="P244" r:id="journalLink965"/>
    <hyperlink ref="Q244" r:id="journalLink966"/>
    <hyperlink ref="S244" r:id="journalLink967"/>
    <hyperlink ref="U244" r:id="journalLink968"/>
    <hyperlink ref="P245" r:id="journalLink969"/>
    <hyperlink ref="Q245" r:id="journalLink970"/>
    <hyperlink ref="S245" r:id="journalLink971"/>
    <hyperlink ref="U245" r:id="journalLink972"/>
    <hyperlink ref="P246" r:id="journalLink973"/>
    <hyperlink ref="Q246" r:id="journalLink974"/>
    <hyperlink ref="S246" r:id="journalLink975"/>
    <hyperlink ref="U246" r:id="journalLink976"/>
    <hyperlink ref="P247" r:id="journalLink977"/>
    <hyperlink ref="Q247" r:id="journalLink978"/>
    <hyperlink ref="S247" r:id="journalLink979"/>
    <hyperlink ref="U247" r:id="journalLink980"/>
    <hyperlink ref="P248" r:id="journalLink981"/>
    <hyperlink ref="Q248" r:id="journalLink982"/>
    <hyperlink ref="S248" r:id="journalLink983"/>
    <hyperlink ref="U248" r:id="journalLink984"/>
    <hyperlink ref="P249" r:id="journalLink985"/>
    <hyperlink ref="Q249" r:id="journalLink986"/>
    <hyperlink ref="S249" r:id="journalLink987"/>
    <hyperlink ref="U249" r:id="journalLink988"/>
    <hyperlink ref="P250" r:id="journalLink989"/>
    <hyperlink ref="Q250" r:id="journalLink990"/>
    <hyperlink ref="S250" r:id="journalLink991"/>
    <hyperlink ref="U250" r:id="journalLink992"/>
    <hyperlink ref="P251" r:id="journalLink993"/>
    <hyperlink ref="Q251" r:id="journalLink994"/>
    <hyperlink ref="S251" r:id="journalLink995"/>
    <hyperlink ref="U251" r:id="journalLink996"/>
    <hyperlink ref="P252" r:id="journalLink997"/>
    <hyperlink ref="Q252" r:id="journalLink998"/>
    <hyperlink ref="S252" r:id="journalLink999"/>
    <hyperlink ref="U252" r:id="journalLink1000"/>
    <hyperlink ref="P253" r:id="journalLink1001"/>
    <hyperlink ref="Q253" r:id="journalLink1002"/>
    <hyperlink ref="S253" r:id="journalLink1003"/>
    <hyperlink ref="U253" r:id="journalLink1004"/>
    <hyperlink ref="P254" r:id="journalLink1005"/>
    <hyperlink ref="Q254" r:id="journalLink1006"/>
    <hyperlink ref="S254" r:id="journalLink1007"/>
    <hyperlink ref="U254" r:id="journalLink1008"/>
    <hyperlink ref="P255" r:id="journalLink1009"/>
    <hyperlink ref="Q255" r:id="journalLink1010"/>
    <hyperlink ref="S255" r:id="journalLink1011"/>
    <hyperlink ref="U255" r:id="journalLink1012"/>
    <hyperlink ref="P256" r:id="journalLink1013"/>
    <hyperlink ref="Q256" r:id="journalLink1014"/>
    <hyperlink ref="S256" r:id="journalLink1015"/>
    <hyperlink ref="U256" r:id="journalLink1016"/>
    <hyperlink ref="P257" r:id="journalLink1017"/>
    <hyperlink ref="Q257" r:id="journalLink1018"/>
    <hyperlink ref="S257" r:id="journalLink1019"/>
    <hyperlink ref="U257" r:id="journalLink1020"/>
    <hyperlink ref="P258" r:id="journalLink1021"/>
    <hyperlink ref="Q258" r:id="journalLink1022"/>
    <hyperlink ref="S258" r:id="journalLink1023"/>
    <hyperlink ref="U258" r:id="journalLink1024"/>
    <hyperlink ref="P259" r:id="journalLink1025"/>
    <hyperlink ref="Q259" r:id="journalLink1026"/>
    <hyperlink ref="S259" r:id="journalLink1027"/>
    <hyperlink ref="U259" r:id="journalLink1028"/>
    <hyperlink ref="P260" r:id="journalLink1029"/>
    <hyperlink ref="Q260" r:id="journalLink1030"/>
    <hyperlink ref="S260" r:id="journalLink1031"/>
    <hyperlink ref="U260" r:id="journalLink1032"/>
    <hyperlink ref="P261" r:id="journalLink1033"/>
    <hyperlink ref="Q261" r:id="journalLink1034"/>
    <hyperlink ref="S261" r:id="journalLink1035"/>
    <hyperlink ref="U261" r:id="journalLink1036"/>
    <hyperlink ref="P262" r:id="journalLink1037"/>
    <hyperlink ref="Q262" r:id="journalLink1038"/>
    <hyperlink ref="S262" r:id="journalLink1039"/>
    <hyperlink ref="U262" r:id="journalLink1040"/>
    <hyperlink ref="P263" r:id="journalLink1041"/>
    <hyperlink ref="Q263" r:id="journalLink1042"/>
    <hyperlink ref="S263" r:id="journalLink1043"/>
    <hyperlink ref="U263" r:id="journalLink1044"/>
    <hyperlink ref="P264" r:id="journalLink1045"/>
    <hyperlink ref="Q264" r:id="journalLink1046"/>
    <hyperlink ref="S264" r:id="journalLink1047"/>
    <hyperlink ref="U264" r:id="journalLink1048"/>
    <hyperlink ref="P265" r:id="journalLink1049"/>
    <hyperlink ref="Q265" r:id="journalLink1050"/>
    <hyperlink ref="S265" r:id="journalLink1051"/>
    <hyperlink ref="U265" r:id="journalLink1052"/>
    <hyperlink ref="P266" r:id="journalLink1053"/>
    <hyperlink ref="Q266" r:id="journalLink1054"/>
    <hyperlink ref="S266" r:id="journalLink1055"/>
    <hyperlink ref="U266" r:id="journalLink1056"/>
    <hyperlink ref="P267" r:id="journalLink1057"/>
    <hyperlink ref="Q267" r:id="journalLink1058"/>
    <hyperlink ref="S267" r:id="journalLink1059"/>
    <hyperlink ref="U267" r:id="journalLink1060"/>
    <hyperlink ref="P268" r:id="journalLink1061"/>
    <hyperlink ref="Q268" r:id="journalLink1062"/>
    <hyperlink ref="S268" r:id="journalLink1063"/>
    <hyperlink ref="U268" r:id="journalLink1064"/>
    <hyperlink ref="P269" r:id="journalLink1065"/>
    <hyperlink ref="Q269" r:id="journalLink1066"/>
    <hyperlink ref="S269" r:id="journalLink1067"/>
    <hyperlink ref="U269" r:id="journalLink1068"/>
    <hyperlink ref="P270" r:id="journalLink1069"/>
    <hyperlink ref="Q270" r:id="journalLink1070"/>
    <hyperlink ref="S270" r:id="journalLink1071"/>
    <hyperlink ref="U270" r:id="journalLink1072"/>
    <hyperlink ref="P271" r:id="journalLink1073"/>
    <hyperlink ref="Q271" r:id="journalLink1074"/>
    <hyperlink ref="S271" r:id="journalLink1075"/>
    <hyperlink ref="U271" r:id="journalLink1076"/>
    <hyperlink ref="P272" r:id="journalLink1077"/>
    <hyperlink ref="Q272" r:id="journalLink1078"/>
    <hyperlink ref="S272" r:id="journalLink1079"/>
    <hyperlink ref="U272" r:id="journalLink1080"/>
    <hyperlink ref="P273" r:id="journalLink1081"/>
    <hyperlink ref="Q273" r:id="journalLink1082"/>
    <hyperlink ref="S273" r:id="journalLink1083"/>
    <hyperlink ref="U273" r:id="journalLink1084"/>
    <hyperlink ref="P274" r:id="journalLink1085"/>
    <hyperlink ref="Q274" r:id="journalLink1086"/>
    <hyperlink ref="S274" r:id="journalLink1087"/>
    <hyperlink ref="U274" r:id="journalLink1088"/>
    <hyperlink ref="P275" r:id="journalLink1089"/>
    <hyperlink ref="Q275" r:id="journalLink1090"/>
    <hyperlink ref="S275" r:id="journalLink1091"/>
    <hyperlink ref="U275" r:id="journalLink1092"/>
    <hyperlink ref="P276" r:id="journalLink1093"/>
    <hyperlink ref="Q276" r:id="journalLink1094"/>
    <hyperlink ref="S276" r:id="journalLink1095"/>
    <hyperlink ref="U276" r:id="journalLink1096"/>
    <hyperlink ref="P277" r:id="journalLink1097"/>
    <hyperlink ref="Q277" r:id="journalLink1098"/>
    <hyperlink ref="S277" r:id="journalLink1099"/>
    <hyperlink ref="U277" r:id="journalLink1100"/>
    <hyperlink ref="P278" r:id="journalLink1101"/>
    <hyperlink ref="Q278" r:id="journalLink1102"/>
    <hyperlink ref="S278" r:id="journalLink1103"/>
    <hyperlink ref="U278" r:id="journalLink1104"/>
    <hyperlink ref="P279" r:id="journalLink1105"/>
    <hyperlink ref="Q279" r:id="journalLink1106"/>
    <hyperlink ref="S279" r:id="journalLink1107"/>
    <hyperlink ref="U279" r:id="journalLink1108"/>
    <hyperlink ref="P280" r:id="journalLink1109"/>
    <hyperlink ref="Q280" r:id="journalLink1110"/>
    <hyperlink ref="S280" r:id="journalLink1111"/>
    <hyperlink ref="U280" r:id="journalLink1112"/>
    <hyperlink ref="P281" r:id="journalLink1113"/>
    <hyperlink ref="Q281" r:id="journalLink1114"/>
    <hyperlink ref="S281" r:id="journalLink1115"/>
    <hyperlink ref="U281" r:id="journalLink1116"/>
    <hyperlink ref="P282" r:id="journalLink1117"/>
    <hyperlink ref="Q282" r:id="journalLink1118"/>
    <hyperlink ref="S282" r:id="journalLink1119"/>
    <hyperlink ref="U282" r:id="journalLink1120"/>
    <hyperlink ref="P283" r:id="journalLink1121"/>
    <hyperlink ref="Q283" r:id="journalLink1122"/>
    <hyperlink ref="S283" r:id="journalLink1123"/>
    <hyperlink ref="U283" r:id="journalLink1124"/>
    <hyperlink ref="P284" r:id="journalLink1125"/>
    <hyperlink ref="Q284" r:id="journalLink1126"/>
    <hyperlink ref="S284" r:id="journalLink1127"/>
    <hyperlink ref="U284" r:id="journalLink1128"/>
    <hyperlink ref="P285" r:id="journalLink1129"/>
    <hyperlink ref="Q285" r:id="journalLink1130"/>
    <hyperlink ref="S285" r:id="journalLink1131"/>
    <hyperlink ref="U285" r:id="journalLink1132"/>
    <hyperlink ref="P286" r:id="journalLink1133"/>
    <hyperlink ref="Q286" r:id="journalLink1134"/>
    <hyperlink ref="S286" r:id="journalLink1135"/>
    <hyperlink ref="U286" r:id="journalLink1136"/>
    <hyperlink ref="P287" r:id="journalLink1137"/>
    <hyperlink ref="Q287" r:id="journalLink1138"/>
    <hyperlink ref="S287" r:id="journalLink1139"/>
    <hyperlink ref="U287" r:id="journalLink1140"/>
    <hyperlink ref="P288" r:id="journalLink1141"/>
    <hyperlink ref="Q288" r:id="journalLink1142"/>
    <hyperlink ref="S288" r:id="journalLink1143"/>
    <hyperlink ref="U288" r:id="journalLink1144"/>
    <hyperlink ref="P289" r:id="journalLink1145"/>
    <hyperlink ref="Q289" r:id="journalLink1146"/>
    <hyperlink ref="S289" r:id="journalLink1147"/>
    <hyperlink ref="U289" r:id="journalLink1148"/>
    <hyperlink ref="P290" r:id="journalLink1149"/>
    <hyperlink ref="Q290" r:id="journalLink1150"/>
    <hyperlink ref="S290" r:id="journalLink1151"/>
    <hyperlink ref="U290" r:id="journalLink1152"/>
    <hyperlink ref="P291" r:id="journalLink1153"/>
    <hyperlink ref="Q291" r:id="journalLink1154"/>
    <hyperlink ref="S291" r:id="journalLink1155"/>
    <hyperlink ref="U291" r:id="journalLink1156"/>
    <hyperlink ref="P292" r:id="journalLink1157"/>
    <hyperlink ref="Q292" r:id="journalLink1158"/>
    <hyperlink ref="S292" r:id="journalLink1159"/>
    <hyperlink ref="U292" r:id="journalLink1160"/>
    <hyperlink ref="P293" r:id="journalLink1161"/>
    <hyperlink ref="Q293" r:id="journalLink1162"/>
    <hyperlink ref="S293" r:id="journalLink1163"/>
    <hyperlink ref="U293" r:id="journalLink1164"/>
    <hyperlink ref="P294" r:id="journalLink1165"/>
    <hyperlink ref="Q294" r:id="journalLink1166"/>
    <hyperlink ref="S294" r:id="journalLink1167"/>
    <hyperlink ref="U294" r:id="journalLink1168"/>
    <hyperlink ref="P295" r:id="journalLink1169"/>
    <hyperlink ref="Q295" r:id="journalLink1170"/>
    <hyperlink ref="S295" r:id="journalLink1171"/>
    <hyperlink ref="U295" r:id="journalLink1172"/>
    <hyperlink ref="P296" r:id="journalLink1173"/>
    <hyperlink ref="Q296" r:id="journalLink1174"/>
    <hyperlink ref="S296" r:id="journalLink1175"/>
    <hyperlink ref="U296" r:id="journalLink1176"/>
    <hyperlink ref="P297" r:id="journalLink1177"/>
    <hyperlink ref="Q297" r:id="journalLink1178"/>
    <hyperlink ref="S297" r:id="journalLink1179"/>
    <hyperlink ref="U297" r:id="journalLink1180"/>
    <hyperlink ref="P298" r:id="journalLink1181"/>
    <hyperlink ref="Q298" r:id="journalLink1182"/>
    <hyperlink ref="S298" r:id="journalLink1183"/>
    <hyperlink ref="U298" r:id="journalLink1184"/>
    <hyperlink ref="P299" r:id="journalLink1185"/>
    <hyperlink ref="Q299" r:id="journalLink1186"/>
    <hyperlink ref="S299" r:id="journalLink1187"/>
    <hyperlink ref="U299" r:id="journalLink1188"/>
    <hyperlink ref="P300" r:id="journalLink1189"/>
    <hyperlink ref="Q300" r:id="journalLink1190"/>
    <hyperlink ref="S300" r:id="journalLink1191"/>
    <hyperlink ref="U300" r:id="journalLink1192"/>
    <hyperlink ref="P301" r:id="journalLink1193"/>
    <hyperlink ref="Q301" r:id="journalLink1194"/>
    <hyperlink ref="S301" r:id="journalLink1195"/>
    <hyperlink ref="U301" r:id="journalLink1196"/>
    <hyperlink ref="P302" r:id="journalLink1197"/>
    <hyperlink ref="Q302" r:id="journalLink1198"/>
    <hyperlink ref="S302" r:id="journalLink1199"/>
    <hyperlink ref="U302" r:id="journalLink1200"/>
    <hyperlink ref="P303" r:id="journalLink1201"/>
    <hyperlink ref="Q303" r:id="journalLink1202"/>
    <hyperlink ref="S303" r:id="journalLink1203"/>
    <hyperlink ref="U303" r:id="journalLink1204"/>
    <hyperlink ref="P304" r:id="journalLink1205"/>
    <hyperlink ref="Q304" r:id="journalLink1206"/>
    <hyperlink ref="S304" r:id="journalLink1207"/>
    <hyperlink ref="U304" r:id="journalLink1208"/>
    <hyperlink ref="P305" r:id="journalLink1209"/>
    <hyperlink ref="Q305" r:id="journalLink1210"/>
    <hyperlink ref="S305" r:id="journalLink1211"/>
    <hyperlink ref="U305" r:id="journalLink1212"/>
    <hyperlink ref="P306" r:id="journalLink1213"/>
    <hyperlink ref="Q306" r:id="journalLink1214"/>
    <hyperlink ref="S306" r:id="journalLink1215"/>
    <hyperlink ref="U306" r:id="journalLink1216"/>
    <hyperlink ref="P307" r:id="journalLink1217"/>
    <hyperlink ref="Q307" r:id="journalLink1218"/>
    <hyperlink ref="S307" r:id="journalLink1219"/>
    <hyperlink ref="U307" r:id="journalLink1220"/>
    <hyperlink ref="P308" r:id="journalLink1221"/>
    <hyperlink ref="Q308" r:id="journalLink1222"/>
    <hyperlink ref="S308" r:id="journalLink1223"/>
    <hyperlink ref="U308" r:id="journalLink1224"/>
    <hyperlink ref="P309" r:id="journalLink1225"/>
    <hyperlink ref="Q309" r:id="journalLink1226"/>
    <hyperlink ref="S309" r:id="journalLink1227"/>
    <hyperlink ref="U309" r:id="journalLink1228"/>
    <hyperlink ref="P310" r:id="journalLink1229"/>
    <hyperlink ref="Q310" r:id="journalLink1230"/>
    <hyperlink ref="S310" r:id="journalLink1231"/>
    <hyperlink ref="U310" r:id="journalLink1232"/>
    <hyperlink ref="P311" r:id="journalLink1233"/>
    <hyperlink ref="Q311" r:id="journalLink1234"/>
    <hyperlink ref="S311" r:id="journalLink1235"/>
    <hyperlink ref="U311" r:id="journalLink1236"/>
    <hyperlink ref="P312" r:id="journalLink1237"/>
    <hyperlink ref="Q312" r:id="journalLink1238"/>
    <hyperlink ref="S312" r:id="journalLink1239"/>
    <hyperlink ref="U312" r:id="journalLink1240"/>
    <hyperlink ref="P313" r:id="journalLink1241"/>
    <hyperlink ref="Q313" r:id="journalLink1242"/>
    <hyperlink ref="S313" r:id="journalLink1243"/>
    <hyperlink ref="U313" r:id="journalLink1244"/>
    <hyperlink ref="P314" r:id="journalLink1245"/>
    <hyperlink ref="Q314" r:id="journalLink1246"/>
    <hyperlink ref="S314" r:id="journalLink1247"/>
    <hyperlink ref="U314" r:id="journalLink1248"/>
    <hyperlink ref="P315" r:id="journalLink1249"/>
    <hyperlink ref="Q315" r:id="journalLink1250"/>
    <hyperlink ref="S315" r:id="journalLink1251"/>
    <hyperlink ref="U315" r:id="journalLink1252"/>
    <hyperlink ref="P316" r:id="journalLink1253"/>
    <hyperlink ref="Q316" r:id="journalLink1254"/>
    <hyperlink ref="S316" r:id="journalLink1255"/>
    <hyperlink ref="U316" r:id="journalLink1256"/>
    <hyperlink ref="P317" r:id="journalLink1257"/>
    <hyperlink ref="Q317" r:id="journalLink1258"/>
    <hyperlink ref="S317" r:id="journalLink1259"/>
    <hyperlink ref="U317" r:id="journalLink1260"/>
    <hyperlink ref="P318" r:id="journalLink1261"/>
    <hyperlink ref="Q318" r:id="journalLink1262"/>
    <hyperlink ref="S318" r:id="journalLink1263"/>
    <hyperlink ref="U318" r:id="journalLink1264"/>
    <hyperlink ref="P319" r:id="journalLink1265"/>
    <hyperlink ref="Q319" r:id="journalLink1266"/>
    <hyperlink ref="S319" r:id="journalLink1267"/>
    <hyperlink ref="U319" r:id="journalLink1268"/>
    <hyperlink ref="P320" r:id="journalLink1269"/>
    <hyperlink ref="Q320" r:id="journalLink1270"/>
    <hyperlink ref="S320" r:id="journalLink1271"/>
    <hyperlink ref="U320" r:id="journalLink1272"/>
    <hyperlink ref="P321" r:id="journalLink1273"/>
    <hyperlink ref="Q321" r:id="journalLink1274"/>
    <hyperlink ref="S321" r:id="journalLink1275"/>
    <hyperlink ref="U321" r:id="journalLink1276"/>
    <hyperlink ref="P322" r:id="journalLink1277"/>
    <hyperlink ref="Q322" r:id="journalLink1278"/>
    <hyperlink ref="S322" r:id="journalLink1279"/>
    <hyperlink ref="U322" r:id="journalLink1280"/>
    <hyperlink ref="P323" r:id="journalLink1281"/>
    <hyperlink ref="Q323" r:id="journalLink1282"/>
    <hyperlink ref="S323" r:id="journalLink1283"/>
    <hyperlink ref="U323" r:id="journalLink1284"/>
    <hyperlink ref="P324" r:id="journalLink1285"/>
    <hyperlink ref="Q324" r:id="journalLink1286"/>
    <hyperlink ref="S324" r:id="journalLink1287"/>
    <hyperlink ref="U324" r:id="journalLink1288"/>
    <hyperlink ref="P325" r:id="journalLink1289"/>
    <hyperlink ref="Q325" r:id="journalLink1290"/>
    <hyperlink ref="S325" r:id="journalLink1291"/>
    <hyperlink ref="U325" r:id="journalLink1292"/>
    <hyperlink ref="P326" r:id="journalLink1293"/>
    <hyperlink ref="Q326" r:id="journalLink1294"/>
    <hyperlink ref="S326" r:id="journalLink1295"/>
    <hyperlink ref="U326" r:id="journalLink1296"/>
    <hyperlink ref="P327" r:id="journalLink1297"/>
    <hyperlink ref="Q327" r:id="journalLink1298"/>
    <hyperlink ref="S327" r:id="journalLink1299"/>
    <hyperlink ref="U327" r:id="journalLink1300"/>
    <hyperlink ref="P328" r:id="journalLink1301"/>
    <hyperlink ref="Q328" r:id="journalLink1302"/>
    <hyperlink ref="S328" r:id="journalLink1303"/>
    <hyperlink ref="U328" r:id="journalLink1304"/>
    <hyperlink ref="P329" r:id="journalLink1305"/>
    <hyperlink ref="Q329" r:id="journalLink1306"/>
    <hyperlink ref="S329" r:id="journalLink1307"/>
    <hyperlink ref="U329" r:id="journalLink1308"/>
    <hyperlink ref="P330" r:id="journalLink1309"/>
    <hyperlink ref="Q330" r:id="journalLink1310"/>
    <hyperlink ref="S330" r:id="journalLink1311"/>
    <hyperlink ref="U330" r:id="journalLink1312"/>
    <hyperlink ref="P331" r:id="journalLink1313"/>
    <hyperlink ref="Q331" r:id="journalLink1314"/>
    <hyperlink ref="S331" r:id="journalLink1315"/>
    <hyperlink ref="U331" r:id="journalLink1316"/>
    <hyperlink ref="P332" r:id="journalLink1317"/>
    <hyperlink ref="Q332" r:id="journalLink1318"/>
    <hyperlink ref="S332" r:id="journalLink1319"/>
    <hyperlink ref="U332" r:id="journalLink1320"/>
    <hyperlink ref="P333" r:id="journalLink1321"/>
    <hyperlink ref="Q333" r:id="journalLink1322"/>
    <hyperlink ref="S333" r:id="journalLink1323"/>
    <hyperlink ref="U333" r:id="journalLink1324"/>
    <hyperlink ref="P334" r:id="journalLink1325"/>
    <hyperlink ref="Q334" r:id="journalLink1326"/>
    <hyperlink ref="S334" r:id="journalLink1327"/>
    <hyperlink ref="U334" r:id="journalLink1328"/>
    <hyperlink ref="P335" r:id="journalLink1329"/>
    <hyperlink ref="Q335" r:id="journalLink1330"/>
    <hyperlink ref="S335" r:id="journalLink1331"/>
    <hyperlink ref="U335" r:id="journalLink1332"/>
    <hyperlink ref="P336" r:id="journalLink1333"/>
    <hyperlink ref="Q336" r:id="journalLink1334"/>
    <hyperlink ref="S336" r:id="journalLink1335"/>
    <hyperlink ref="U336" r:id="journalLink1336"/>
    <hyperlink ref="P337" r:id="journalLink1337"/>
    <hyperlink ref="Q337" r:id="journalLink1338"/>
    <hyperlink ref="S337" r:id="journalLink1339"/>
    <hyperlink ref="U337" r:id="journalLink1340"/>
    <hyperlink ref="P338" r:id="journalLink1341"/>
    <hyperlink ref="Q338" r:id="journalLink1342"/>
    <hyperlink ref="S338" r:id="journalLink1343"/>
    <hyperlink ref="U338" r:id="journalLink1344"/>
    <hyperlink ref="P339" r:id="journalLink1345"/>
    <hyperlink ref="Q339" r:id="journalLink1346"/>
    <hyperlink ref="S339" r:id="journalLink1347"/>
    <hyperlink ref="U339" r:id="journalLink1348"/>
    <hyperlink ref="P340" r:id="journalLink1349"/>
    <hyperlink ref="Q340" r:id="journalLink1350"/>
    <hyperlink ref="S340" r:id="journalLink1351"/>
    <hyperlink ref="U340" r:id="journalLink1352"/>
    <hyperlink ref="P341" r:id="journalLink1353"/>
    <hyperlink ref="Q341" r:id="journalLink1354"/>
    <hyperlink ref="S341" r:id="journalLink1355"/>
    <hyperlink ref="U341" r:id="journalLink1356"/>
    <hyperlink ref="P342" r:id="journalLink1357"/>
    <hyperlink ref="Q342" r:id="journalLink1358"/>
    <hyperlink ref="S342" r:id="journalLink1359"/>
    <hyperlink ref="U342" r:id="journalLink1360"/>
    <hyperlink ref="P343" r:id="journalLink1361"/>
    <hyperlink ref="Q343" r:id="journalLink1362"/>
    <hyperlink ref="S343" r:id="journalLink1363"/>
    <hyperlink ref="U343" r:id="journalLink1364"/>
    <hyperlink ref="P344" r:id="journalLink1365"/>
    <hyperlink ref="Q344" r:id="journalLink1366"/>
    <hyperlink ref="S344" r:id="journalLink1367"/>
    <hyperlink ref="U344" r:id="journalLink1368"/>
    <hyperlink ref="P345" r:id="journalLink1369"/>
    <hyperlink ref="Q345" r:id="journalLink1370"/>
    <hyperlink ref="S345" r:id="journalLink1371"/>
    <hyperlink ref="U345" r:id="journalLink1372"/>
    <hyperlink ref="P346" r:id="journalLink1373"/>
    <hyperlink ref="Q346" r:id="journalLink1374"/>
    <hyperlink ref="S346" r:id="journalLink1375"/>
    <hyperlink ref="U346" r:id="journalLink1376"/>
    <hyperlink ref="P347" r:id="journalLink1377"/>
    <hyperlink ref="Q347" r:id="journalLink1378"/>
    <hyperlink ref="S347" r:id="journalLink1379"/>
    <hyperlink ref="U347" r:id="journalLink1380"/>
    <hyperlink ref="P348" r:id="journalLink1381"/>
    <hyperlink ref="Q348" r:id="journalLink1382"/>
    <hyperlink ref="S348" r:id="journalLink1383"/>
    <hyperlink ref="U348" r:id="journalLink1384"/>
    <hyperlink ref="P349" r:id="journalLink1385"/>
    <hyperlink ref="Q349" r:id="journalLink1386"/>
    <hyperlink ref="S349" r:id="journalLink1387"/>
    <hyperlink ref="U349" r:id="journalLink1388"/>
    <hyperlink ref="P350" r:id="journalLink1389"/>
    <hyperlink ref="Q350" r:id="journalLink1390"/>
    <hyperlink ref="S350" r:id="journalLink1391"/>
    <hyperlink ref="U350" r:id="journalLink1392"/>
    <hyperlink ref="P351" r:id="journalLink1393"/>
    <hyperlink ref="Q351" r:id="journalLink1394"/>
    <hyperlink ref="S351" r:id="journalLink1395"/>
    <hyperlink ref="U351" r:id="journalLink1396"/>
    <hyperlink ref="P352" r:id="journalLink1397"/>
    <hyperlink ref="Q352" r:id="journalLink1398"/>
    <hyperlink ref="S352" r:id="journalLink1399"/>
    <hyperlink ref="U352" r:id="journalLink1400"/>
    <hyperlink ref="P353" r:id="journalLink1401"/>
    <hyperlink ref="Q353" r:id="journalLink1402"/>
    <hyperlink ref="S353" r:id="journalLink1403"/>
    <hyperlink ref="U353" r:id="journalLink1404"/>
    <hyperlink ref="P354" r:id="journalLink1405"/>
    <hyperlink ref="Q354" r:id="journalLink1406"/>
    <hyperlink ref="S354" r:id="journalLink1407"/>
    <hyperlink ref="U354" r:id="journalLink1408"/>
    <hyperlink ref="P355" r:id="journalLink1409"/>
    <hyperlink ref="Q355" r:id="journalLink1410"/>
    <hyperlink ref="S355" r:id="journalLink1411"/>
    <hyperlink ref="U355" r:id="journalLink1412"/>
    <hyperlink ref="P356" r:id="journalLink1413"/>
    <hyperlink ref="Q356" r:id="journalLink1414"/>
    <hyperlink ref="S356" r:id="journalLink1415"/>
    <hyperlink ref="U356" r:id="journalLink1416"/>
    <hyperlink ref="P357" r:id="journalLink1417"/>
    <hyperlink ref="Q357" r:id="journalLink1418"/>
    <hyperlink ref="S357" r:id="journalLink1419"/>
    <hyperlink ref="U357" r:id="journalLink1420"/>
    <hyperlink ref="P358" r:id="journalLink1421"/>
    <hyperlink ref="Q358" r:id="journalLink1422"/>
    <hyperlink ref="S358" r:id="journalLink1423"/>
    <hyperlink ref="U358" r:id="journalLink1424"/>
    <hyperlink ref="P359" r:id="journalLink1425"/>
    <hyperlink ref="Q359" r:id="journalLink1426"/>
    <hyperlink ref="S359" r:id="journalLink1427"/>
    <hyperlink ref="U359" r:id="journalLink1428"/>
    <hyperlink ref="P360" r:id="journalLink1429"/>
    <hyperlink ref="Q360" r:id="journalLink1430"/>
    <hyperlink ref="S360" r:id="journalLink1431"/>
    <hyperlink ref="U360" r:id="journalLink1432"/>
    <hyperlink ref="P361" r:id="journalLink1433"/>
    <hyperlink ref="Q361" r:id="journalLink1434"/>
    <hyperlink ref="S361" r:id="journalLink1435"/>
    <hyperlink ref="U361" r:id="journalLink1436"/>
    <hyperlink ref="P362" r:id="journalLink1437"/>
    <hyperlink ref="Q362" r:id="journalLink1438"/>
    <hyperlink ref="S362" r:id="journalLink1439"/>
    <hyperlink ref="U362" r:id="journalLink1440"/>
    <hyperlink ref="P363" r:id="journalLink1441"/>
    <hyperlink ref="Q363" r:id="journalLink1442"/>
    <hyperlink ref="S363" r:id="journalLink1443"/>
    <hyperlink ref="U363" r:id="journalLink1444"/>
    <hyperlink ref="P364" r:id="journalLink1445"/>
    <hyperlink ref="Q364" r:id="journalLink1446"/>
    <hyperlink ref="S364" r:id="journalLink1447"/>
    <hyperlink ref="U364" r:id="journalLink1448"/>
    <hyperlink ref="P365" r:id="journalLink1449"/>
    <hyperlink ref="Q365" r:id="journalLink1450"/>
    <hyperlink ref="S365" r:id="journalLink1451"/>
    <hyperlink ref="U365" r:id="journalLink1452"/>
    <hyperlink ref="P366" r:id="journalLink1453"/>
    <hyperlink ref="Q366" r:id="journalLink1454"/>
    <hyperlink ref="S366" r:id="journalLink1455"/>
    <hyperlink ref="U366" r:id="journalLink1456"/>
    <hyperlink ref="P367" r:id="journalLink1457"/>
    <hyperlink ref="Q367" r:id="journalLink1458"/>
    <hyperlink ref="S367" r:id="journalLink1459"/>
    <hyperlink ref="U367" r:id="journalLink1460"/>
    <hyperlink ref="P368" r:id="journalLink1461"/>
    <hyperlink ref="Q368" r:id="journalLink1462"/>
    <hyperlink ref="S368" r:id="journalLink1463"/>
    <hyperlink ref="U368" r:id="journalLink1464"/>
    <hyperlink ref="P369" r:id="journalLink1465"/>
    <hyperlink ref="Q369" r:id="journalLink1466"/>
    <hyperlink ref="S369" r:id="journalLink1467"/>
    <hyperlink ref="U369" r:id="journalLink1468"/>
    <hyperlink ref="P370" r:id="journalLink1469"/>
    <hyperlink ref="Q370" r:id="journalLink1470"/>
    <hyperlink ref="S370" r:id="journalLink1471"/>
    <hyperlink ref="U370" r:id="journalLink1472"/>
    <hyperlink ref="P371" r:id="journalLink1473"/>
    <hyperlink ref="Q371" r:id="journalLink1474"/>
    <hyperlink ref="S371" r:id="journalLink1475"/>
    <hyperlink ref="U371" r:id="journalLink1476"/>
    <hyperlink ref="P372" r:id="journalLink1477"/>
    <hyperlink ref="Q372" r:id="journalLink1478"/>
    <hyperlink ref="S372" r:id="journalLink1479"/>
    <hyperlink ref="U372" r:id="journalLink1480"/>
    <hyperlink ref="P373" r:id="journalLink1481"/>
    <hyperlink ref="Q373" r:id="journalLink1482"/>
    <hyperlink ref="S373" r:id="journalLink1483"/>
    <hyperlink ref="U373" r:id="journalLink1484"/>
    <hyperlink ref="P374" r:id="journalLink1485"/>
    <hyperlink ref="Q374" r:id="journalLink1486"/>
    <hyperlink ref="S374" r:id="journalLink1487"/>
    <hyperlink ref="U374" r:id="journalLink1488"/>
    <hyperlink ref="P375" r:id="journalLink1489"/>
    <hyperlink ref="Q375" r:id="journalLink1490"/>
    <hyperlink ref="S375" r:id="journalLink1491"/>
    <hyperlink ref="U375" r:id="journalLink1492"/>
    <hyperlink ref="P376" r:id="journalLink1493"/>
    <hyperlink ref="Q376" r:id="journalLink1494"/>
    <hyperlink ref="S376" r:id="journalLink1495"/>
    <hyperlink ref="U376" r:id="journalLink1496"/>
    <hyperlink ref="P377" r:id="journalLink1497"/>
    <hyperlink ref="Q377" r:id="journalLink1498"/>
    <hyperlink ref="S377" r:id="journalLink1499"/>
    <hyperlink ref="U377" r:id="journalLink1500"/>
    <hyperlink ref="P378" r:id="journalLink1501"/>
    <hyperlink ref="Q378" r:id="journalLink1502"/>
    <hyperlink ref="S378" r:id="journalLink1503"/>
    <hyperlink ref="U378" r:id="journalLink1504"/>
    <hyperlink ref="P379" r:id="journalLink1505"/>
    <hyperlink ref="Q379" r:id="journalLink1506"/>
    <hyperlink ref="S379" r:id="journalLink1507"/>
    <hyperlink ref="U379" r:id="journalLink1508"/>
    <hyperlink ref="P380" r:id="journalLink1509"/>
    <hyperlink ref="Q380" r:id="journalLink1510"/>
    <hyperlink ref="S380" r:id="journalLink1511"/>
    <hyperlink ref="U380" r:id="journalLink1512"/>
    <hyperlink ref="P381" r:id="journalLink1513"/>
    <hyperlink ref="Q381" r:id="journalLink1514"/>
    <hyperlink ref="S381" r:id="journalLink1515"/>
    <hyperlink ref="U381" r:id="journalLink1516"/>
    <hyperlink ref="P382" r:id="journalLink1517"/>
    <hyperlink ref="Q382" r:id="journalLink1518"/>
    <hyperlink ref="S382" r:id="journalLink1519"/>
    <hyperlink ref="U382" r:id="journalLink1520"/>
    <hyperlink ref="P383" r:id="journalLink1521"/>
    <hyperlink ref="Q383" r:id="journalLink1522"/>
    <hyperlink ref="S383" r:id="journalLink1523"/>
    <hyperlink ref="U383" r:id="journalLink1524"/>
    <hyperlink ref="P384" r:id="journalLink1525"/>
    <hyperlink ref="Q384" r:id="journalLink1526"/>
    <hyperlink ref="S384" r:id="journalLink1527"/>
    <hyperlink ref="U384" r:id="journalLink1528"/>
    <hyperlink ref="P385" r:id="journalLink1529"/>
    <hyperlink ref="Q385" r:id="journalLink1530"/>
    <hyperlink ref="S385" r:id="journalLink1531"/>
    <hyperlink ref="U385" r:id="journalLink1532"/>
    <hyperlink ref="P386" r:id="journalLink1533"/>
    <hyperlink ref="Q386" r:id="journalLink1534"/>
    <hyperlink ref="S386" r:id="journalLink1535"/>
    <hyperlink ref="U386" r:id="journalLink1536"/>
    <hyperlink ref="P387" r:id="journalLink1537"/>
    <hyperlink ref="Q387" r:id="journalLink1538"/>
    <hyperlink ref="S387" r:id="journalLink1539"/>
    <hyperlink ref="U387" r:id="journalLink1540"/>
    <hyperlink ref="P388" r:id="journalLink1541"/>
    <hyperlink ref="Q388" r:id="journalLink1542"/>
    <hyperlink ref="S388" r:id="journalLink1543"/>
    <hyperlink ref="U388" r:id="journalLink1544"/>
    <hyperlink ref="P389" r:id="journalLink1545"/>
    <hyperlink ref="Q389" r:id="journalLink1546"/>
    <hyperlink ref="S389" r:id="journalLink1547"/>
    <hyperlink ref="U389" r:id="journalLink1548"/>
    <hyperlink ref="P390" r:id="journalLink1549"/>
    <hyperlink ref="S390" r:id="journalLink1550"/>
    <hyperlink ref="U390" r:id="journalLink1551"/>
    <hyperlink ref="P391" r:id="journalLink1552"/>
    <hyperlink ref="Q391" r:id="journalLink1553"/>
    <hyperlink ref="S391" r:id="journalLink1554"/>
    <hyperlink ref="U391" r:id="journalLink1555"/>
    <hyperlink ref="P392" r:id="journalLink1556"/>
    <hyperlink ref="Q392" r:id="journalLink1557"/>
    <hyperlink ref="S392" r:id="journalLink1558"/>
    <hyperlink ref="U392" r:id="journalLink1559"/>
    <hyperlink ref="P393" r:id="journalLink1560"/>
    <hyperlink ref="Q393" r:id="journalLink1561"/>
    <hyperlink ref="S393" r:id="journalLink1562"/>
    <hyperlink ref="U393" r:id="journalLink1563"/>
    <hyperlink ref="P394" r:id="journalLink1564"/>
    <hyperlink ref="Q394" r:id="journalLink1565"/>
    <hyperlink ref="S394" r:id="journalLink1566"/>
    <hyperlink ref="U394" r:id="journalLink1567"/>
    <hyperlink ref="P395" r:id="journalLink1568"/>
    <hyperlink ref="Q395" r:id="journalLink1569"/>
    <hyperlink ref="S395" r:id="journalLink1570"/>
    <hyperlink ref="U395" r:id="journalLink1571"/>
    <hyperlink ref="P396" r:id="journalLink1572"/>
    <hyperlink ref="Q396" r:id="journalLink1573"/>
    <hyperlink ref="S396" r:id="journalLink1574"/>
    <hyperlink ref="U396" r:id="journalLink1575"/>
    <hyperlink ref="P397" r:id="journalLink1576"/>
    <hyperlink ref="Q397" r:id="journalLink1577"/>
    <hyperlink ref="S397" r:id="journalLink1578"/>
    <hyperlink ref="U397" r:id="journalLink1579"/>
    <hyperlink ref="P398" r:id="journalLink1580"/>
    <hyperlink ref="Q398" r:id="journalLink1581"/>
    <hyperlink ref="S398" r:id="journalLink1582"/>
    <hyperlink ref="U398" r:id="journalLink1583"/>
    <hyperlink ref="P399" r:id="journalLink1584"/>
    <hyperlink ref="Q399" r:id="journalLink1585"/>
    <hyperlink ref="S399" r:id="journalLink1586"/>
    <hyperlink ref="U399" r:id="journalLink1587"/>
    <hyperlink ref="P400" r:id="journalLink1588"/>
    <hyperlink ref="Q400" r:id="journalLink1589"/>
    <hyperlink ref="S400" r:id="journalLink1590"/>
    <hyperlink ref="U400" r:id="journalLink1591"/>
    <hyperlink ref="P401" r:id="journalLink1592"/>
    <hyperlink ref="Q401" r:id="journalLink1593"/>
    <hyperlink ref="S401" r:id="journalLink1594"/>
    <hyperlink ref="U401" r:id="journalLink1595"/>
    <hyperlink ref="P402" r:id="journalLink1596"/>
    <hyperlink ref="Q402" r:id="journalLink1597"/>
    <hyperlink ref="S402" r:id="journalLink1598"/>
    <hyperlink ref="U402" r:id="journalLink1599"/>
    <hyperlink ref="P403" r:id="journalLink1600"/>
    <hyperlink ref="Q403" r:id="journalLink1601"/>
    <hyperlink ref="S403" r:id="journalLink1602"/>
    <hyperlink ref="U403" r:id="journalLink1603"/>
    <hyperlink ref="P404" r:id="journalLink1604"/>
    <hyperlink ref="Q404" r:id="journalLink1605"/>
    <hyperlink ref="S404" r:id="journalLink1606"/>
    <hyperlink ref="U404" r:id="journalLink1607"/>
    <hyperlink ref="P405" r:id="journalLink1608"/>
    <hyperlink ref="Q405" r:id="journalLink1609"/>
    <hyperlink ref="S405" r:id="journalLink1610"/>
    <hyperlink ref="U405" r:id="journalLink1611"/>
    <hyperlink ref="P406" r:id="journalLink1612"/>
    <hyperlink ref="Q406" r:id="journalLink1613"/>
    <hyperlink ref="S406" r:id="journalLink1614"/>
    <hyperlink ref="U406" r:id="journalLink1615"/>
    <hyperlink ref="P407" r:id="journalLink1616"/>
    <hyperlink ref="Q407" r:id="journalLink1617"/>
    <hyperlink ref="S407" r:id="journalLink1618"/>
    <hyperlink ref="U407" r:id="journalLink1619"/>
    <hyperlink ref="P408" r:id="journalLink1620"/>
    <hyperlink ref="Q408" r:id="journalLink1621"/>
    <hyperlink ref="S408" r:id="journalLink1622"/>
    <hyperlink ref="U408" r:id="journalLink1623"/>
    <hyperlink ref="P409" r:id="journalLink1624"/>
    <hyperlink ref="Q409" r:id="journalLink1625"/>
    <hyperlink ref="S409" r:id="journalLink1626"/>
    <hyperlink ref="U409" r:id="journalLink1627"/>
    <hyperlink ref="P410" r:id="journalLink1628"/>
    <hyperlink ref="Q410" r:id="journalLink1629"/>
    <hyperlink ref="S410" r:id="journalLink1630"/>
    <hyperlink ref="U410" r:id="journalLink1631"/>
    <hyperlink ref="P411" r:id="journalLink1632"/>
    <hyperlink ref="Q411" r:id="journalLink1633"/>
    <hyperlink ref="S411" r:id="journalLink1634"/>
    <hyperlink ref="U411" r:id="journalLink1635"/>
    <hyperlink ref="P412" r:id="journalLink1636"/>
    <hyperlink ref="Q412" r:id="journalLink1637"/>
    <hyperlink ref="S412" r:id="journalLink1638"/>
    <hyperlink ref="U412" r:id="journalLink1639"/>
    <hyperlink ref="P413" r:id="journalLink1640"/>
    <hyperlink ref="Q413" r:id="journalLink1641"/>
    <hyperlink ref="S413" r:id="journalLink1642"/>
    <hyperlink ref="U413" r:id="journalLink1643"/>
    <hyperlink ref="P414" r:id="journalLink1644"/>
    <hyperlink ref="Q414" r:id="journalLink1645"/>
    <hyperlink ref="S414" r:id="journalLink1646"/>
    <hyperlink ref="U414" r:id="journalLink1647"/>
    <hyperlink ref="P415" r:id="journalLink1648"/>
    <hyperlink ref="Q415" r:id="journalLink1649"/>
    <hyperlink ref="S415" r:id="journalLink1650"/>
    <hyperlink ref="U415" r:id="journalLink1651"/>
    <hyperlink ref="P416" r:id="journalLink1652"/>
    <hyperlink ref="Q416" r:id="journalLink1653"/>
    <hyperlink ref="S416" r:id="journalLink1654"/>
    <hyperlink ref="U416" r:id="journalLink1655"/>
    <hyperlink ref="P417" r:id="journalLink1656"/>
    <hyperlink ref="Q417" r:id="journalLink1657"/>
    <hyperlink ref="S417" r:id="journalLink1658"/>
    <hyperlink ref="U417" r:id="journalLink1659"/>
    <hyperlink ref="P418" r:id="journalLink1660"/>
    <hyperlink ref="Q418" r:id="journalLink1661"/>
    <hyperlink ref="S418" r:id="journalLink1662"/>
    <hyperlink ref="U418" r:id="journalLink1663"/>
    <hyperlink ref="P419" r:id="journalLink1664"/>
    <hyperlink ref="Q419" r:id="journalLink1665"/>
    <hyperlink ref="S419" r:id="journalLink1666"/>
    <hyperlink ref="U419" r:id="journalLink1667"/>
    <hyperlink ref="P420" r:id="journalLink1668"/>
    <hyperlink ref="Q420" r:id="journalLink1669"/>
    <hyperlink ref="S420" r:id="journalLink1670"/>
    <hyperlink ref="U420" r:id="journalLink1671"/>
    <hyperlink ref="P421" r:id="journalLink1672"/>
    <hyperlink ref="Q421" r:id="journalLink1673"/>
    <hyperlink ref="S421" r:id="journalLink1674"/>
    <hyperlink ref="U421" r:id="journalLink1675"/>
    <hyperlink ref="P422" r:id="journalLink1676"/>
    <hyperlink ref="Q422" r:id="journalLink1677"/>
    <hyperlink ref="S422" r:id="journalLink1678"/>
    <hyperlink ref="U422" r:id="journalLink1679"/>
    <hyperlink ref="P423" r:id="journalLink1680"/>
    <hyperlink ref="Q423" r:id="journalLink1681"/>
    <hyperlink ref="S423" r:id="journalLink1682"/>
    <hyperlink ref="U423" r:id="journalLink1683"/>
    <hyperlink ref="P424" r:id="journalLink1684"/>
    <hyperlink ref="Q424" r:id="journalLink1685"/>
    <hyperlink ref="S424" r:id="journalLink1686"/>
    <hyperlink ref="U424" r:id="journalLink1687"/>
    <hyperlink ref="P425" r:id="journalLink1688"/>
    <hyperlink ref="Q425" r:id="journalLink1689"/>
    <hyperlink ref="S425" r:id="journalLink1690"/>
    <hyperlink ref="U425" r:id="journalLink1691"/>
    <hyperlink ref="P426" r:id="journalLink1692"/>
    <hyperlink ref="Q426" r:id="journalLink1693"/>
    <hyperlink ref="S426" r:id="journalLink1694"/>
    <hyperlink ref="U426" r:id="journalLink1695"/>
    <hyperlink ref="P427" r:id="journalLink1696"/>
    <hyperlink ref="Q427" r:id="journalLink1697"/>
    <hyperlink ref="S427" r:id="journalLink1698"/>
    <hyperlink ref="U427" r:id="journalLink1699"/>
    <hyperlink ref="P428" r:id="journalLink1700"/>
    <hyperlink ref="Q428" r:id="journalLink1701"/>
    <hyperlink ref="S428" r:id="journalLink1702"/>
    <hyperlink ref="U428" r:id="journalLink1703"/>
    <hyperlink ref="P429" r:id="journalLink1704"/>
    <hyperlink ref="Q429" r:id="journalLink1705"/>
    <hyperlink ref="S429" r:id="journalLink1706"/>
    <hyperlink ref="U429" r:id="journalLink1707"/>
    <hyperlink ref="P430" r:id="journalLink1708"/>
    <hyperlink ref="Q430" r:id="journalLink1709"/>
    <hyperlink ref="S430" r:id="journalLink1710"/>
    <hyperlink ref="U430" r:id="journalLink1711"/>
    <hyperlink ref="P431" r:id="journalLink1712"/>
    <hyperlink ref="Q431" r:id="journalLink1713"/>
    <hyperlink ref="S431" r:id="journalLink1714"/>
    <hyperlink ref="U431" r:id="journalLink1715"/>
    <hyperlink ref="P432" r:id="journalLink1716"/>
    <hyperlink ref="Q432" r:id="journalLink1717"/>
    <hyperlink ref="S432" r:id="journalLink1718"/>
    <hyperlink ref="U432" r:id="journalLink1719"/>
    <hyperlink ref="P433" r:id="journalLink1720"/>
    <hyperlink ref="Q433" r:id="journalLink1721"/>
    <hyperlink ref="S433" r:id="journalLink1722"/>
    <hyperlink ref="U433" r:id="journalLink1723"/>
    <hyperlink ref="P434" r:id="journalLink1724"/>
    <hyperlink ref="Q434" r:id="journalLink1725"/>
    <hyperlink ref="S434" r:id="journalLink1726"/>
    <hyperlink ref="U434" r:id="journalLink1727"/>
    <hyperlink ref="P435" r:id="journalLink1728"/>
    <hyperlink ref="Q435" r:id="journalLink1729"/>
    <hyperlink ref="S435" r:id="journalLink1730"/>
    <hyperlink ref="U435" r:id="journalLink1731"/>
    <hyperlink ref="P436" r:id="journalLink1732"/>
    <hyperlink ref="Q436" r:id="journalLink1733"/>
    <hyperlink ref="S436" r:id="journalLink1734"/>
    <hyperlink ref="U436" r:id="journalLink1735"/>
    <hyperlink ref="P437" r:id="journalLink1736"/>
    <hyperlink ref="Q437" r:id="journalLink1737"/>
    <hyperlink ref="S437" r:id="journalLink1738"/>
    <hyperlink ref="U437" r:id="journalLink1739"/>
    <hyperlink ref="P438" r:id="journalLink1740"/>
    <hyperlink ref="Q438" r:id="journalLink1741"/>
    <hyperlink ref="S438" r:id="journalLink1742"/>
    <hyperlink ref="U438" r:id="journalLink1743"/>
    <hyperlink ref="P439" r:id="journalLink1744"/>
    <hyperlink ref="Q439" r:id="journalLink1745"/>
    <hyperlink ref="S439" r:id="journalLink1746"/>
    <hyperlink ref="U439" r:id="journalLink1747"/>
    <hyperlink ref="P440" r:id="journalLink1748"/>
    <hyperlink ref="Q440" r:id="journalLink1749"/>
    <hyperlink ref="S440" r:id="journalLink1750"/>
    <hyperlink ref="U440" r:id="journalLink1751"/>
    <hyperlink ref="P441" r:id="journalLink1752"/>
    <hyperlink ref="Q441" r:id="journalLink1753"/>
    <hyperlink ref="S441" r:id="journalLink1754"/>
    <hyperlink ref="U441" r:id="journalLink1755"/>
    <hyperlink ref="P442" r:id="journalLink1756"/>
    <hyperlink ref="Q442" r:id="journalLink1757"/>
    <hyperlink ref="S442" r:id="journalLink1758"/>
    <hyperlink ref="U442" r:id="journalLink1759"/>
    <hyperlink ref="P443" r:id="journalLink1760"/>
    <hyperlink ref="Q443" r:id="journalLink1761"/>
    <hyperlink ref="S443" r:id="journalLink1762"/>
    <hyperlink ref="U443" r:id="journalLink1763"/>
    <hyperlink ref="P444" r:id="journalLink1764"/>
    <hyperlink ref="Q444" r:id="journalLink1765"/>
    <hyperlink ref="S444" r:id="journalLink1766"/>
    <hyperlink ref="U444" r:id="journalLink1767"/>
    <hyperlink ref="P445" r:id="journalLink1768"/>
    <hyperlink ref="Q445" r:id="journalLink1769"/>
    <hyperlink ref="S445" r:id="journalLink1770"/>
    <hyperlink ref="U445" r:id="journalLink1771"/>
    <hyperlink ref="P446" r:id="journalLink1772"/>
    <hyperlink ref="Q446" r:id="journalLink1773"/>
    <hyperlink ref="S446" r:id="journalLink1774"/>
    <hyperlink ref="U446" r:id="journalLink1775"/>
    <hyperlink ref="P447" r:id="journalLink1776"/>
    <hyperlink ref="Q447" r:id="journalLink1777"/>
    <hyperlink ref="S447" r:id="journalLink1778"/>
    <hyperlink ref="U447" r:id="journalLink1779"/>
    <hyperlink ref="P448" r:id="journalLink1780"/>
    <hyperlink ref="Q448" r:id="journalLink1781"/>
    <hyperlink ref="S448" r:id="journalLink1782"/>
    <hyperlink ref="U448" r:id="journalLink1783"/>
    <hyperlink ref="P449" r:id="journalLink1784"/>
    <hyperlink ref="Q449" r:id="journalLink1785"/>
    <hyperlink ref="S449" r:id="journalLink1786"/>
    <hyperlink ref="U449" r:id="journalLink1787"/>
    <hyperlink ref="P450" r:id="journalLink1788"/>
    <hyperlink ref="Q450" r:id="journalLink1789"/>
    <hyperlink ref="S450" r:id="journalLink1790"/>
    <hyperlink ref="U450" r:id="journalLink1791"/>
    <hyperlink ref="P451" r:id="journalLink1792"/>
    <hyperlink ref="Q451" r:id="journalLink1793"/>
    <hyperlink ref="S451" r:id="journalLink1794"/>
    <hyperlink ref="U451" r:id="journalLink1795"/>
    <hyperlink ref="P452" r:id="journalLink1796"/>
    <hyperlink ref="Q452" r:id="journalLink1797"/>
    <hyperlink ref="S452" r:id="journalLink1798"/>
    <hyperlink ref="U452" r:id="journalLink1799"/>
    <hyperlink ref="P453" r:id="journalLink1800"/>
    <hyperlink ref="Q453" r:id="journalLink1801"/>
    <hyperlink ref="S453" r:id="journalLink1802"/>
    <hyperlink ref="U453" r:id="journalLink1803"/>
    <hyperlink ref="P454" r:id="journalLink1804"/>
    <hyperlink ref="Q454" r:id="journalLink1805"/>
    <hyperlink ref="S454" r:id="journalLink1806"/>
    <hyperlink ref="U454" r:id="journalLink1807"/>
    <hyperlink ref="P455" r:id="journalLink1808"/>
    <hyperlink ref="Q455" r:id="journalLink1809"/>
    <hyperlink ref="S455" r:id="journalLink1810"/>
    <hyperlink ref="U455" r:id="journalLink1811"/>
    <hyperlink ref="P456" r:id="journalLink1812"/>
    <hyperlink ref="Q456" r:id="journalLink1813"/>
    <hyperlink ref="S456" r:id="journalLink1814"/>
    <hyperlink ref="U456" r:id="journalLink1815"/>
    <hyperlink ref="P457" r:id="journalLink1816"/>
    <hyperlink ref="Q457" r:id="journalLink1817"/>
    <hyperlink ref="S457" r:id="journalLink1818"/>
    <hyperlink ref="U457" r:id="journalLink1819"/>
    <hyperlink ref="P458" r:id="journalLink1820"/>
    <hyperlink ref="Q458" r:id="journalLink1821"/>
    <hyperlink ref="S458" r:id="journalLink1822"/>
    <hyperlink ref="U458" r:id="journalLink1823"/>
    <hyperlink ref="P459" r:id="journalLink1824"/>
    <hyperlink ref="Q459" r:id="journalLink1825"/>
    <hyperlink ref="S459" r:id="journalLink1826"/>
    <hyperlink ref="U459" r:id="journalLink1827"/>
    <hyperlink ref="P460" r:id="journalLink1828"/>
    <hyperlink ref="Q460" r:id="journalLink1829"/>
    <hyperlink ref="S460" r:id="journalLink1830"/>
    <hyperlink ref="U460" r:id="journalLink1831"/>
    <hyperlink ref="P461" r:id="journalLink1832"/>
    <hyperlink ref="Q461" r:id="journalLink1833"/>
    <hyperlink ref="S461" r:id="journalLink1834"/>
    <hyperlink ref="U461" r:id="journalLink1835"/>
    <hyperlink ref="P462" r:id="journalLink1836"/>
    <hyperlink ref="Q462" r:id="journalLink1837"/>
    <hyperlink ref="S462" r:id="journalLink1838"/>
    <hyperlink ref="U462" r:id="journalLink1839"/>
    <hyperlink ref="P463" r:id="journalLink1840"/>
    <hyperlink ref="Q463" r:id="journalLink1841"/>
    <hyperlink ref="S463" r:id="journalLink1842"/>
    <hyperlink ref="U463" r:id="journalLink1843"/>
    <hyperlink ref="P464" r:id="journalLink1844"/>
    <hyperlink ref="Q464" r:id="journalLink1845"/>
    <hyperlink ref="S464" r:id="journalLink1846"/>
    <hyperlink ref="U464" r:id="journalLink1847"/>
    <hyperlink ref="P465" r:id="journalLink1848"/>
    <hyperlink ref="Q465" r:id="journalLink1849"/>
    <hyperlink ref="S465" r:id="journalLink1850"/>
    <hyperlink ref="U465" r:id="journalLink1851"/>
    <hyperlink ref="P466" r:id="journalLink1852"/>
    <hyperlink ref="Q466" r:id="journalLink1853"/>
    <hyperlink ref="S466" r:id="journalLink1854"/>
    <hyperlink ref="U466" r:id="journalLink1855"/>
    <hyperlink ref="P467" r:id="journalLink1856"/>
    <hyperlink ref="Q467" r:id="journalLink1857"/>
    <hyperlink ref="S467" r:id="journalLink1858"/>
    <hyperlink ref="U467" r:id="journalLink1859"/>
    <hyperlink ref="P468" r:id="journalLink1860"/>
    <hyperlink ref="Q468" r:id="journalLink1861"/>
    <hyperlink ref="S468" r:id="journalLink1862"/>
    <hyperlink ref="U468" r:id="journalLink1863"/>
    <hyperlink ref="P469" r:id="journalLink1864"/>
    <hyperlink ref="Q469" r:id="journalLink1865"/>
    <hyperlink ref="S469" r:id="journalLink1866"/>
    <hyperlink ref="U469" r:id="journalLink1867"/>
    <hyperlink ref="P470" r:id="journalLink1868"/>
    <hyperlink ref="Q470" r:id="journalLink1869"/>
    <hyperlink ref="S470" r:id="journalLink1870"/>
    <hyperlink ref="U470" r:id="journalLink1871"/>
    <hyperlink ref="P471" r:id="journalLink1872"/>
    <hyperlink ref="Q471" r:id="journalLink1873"/>
    <hyperlink ref="S471" r:id="journalLink1874"/>
    <hyperlink ref="U471" r:id="journalLink1875"/>
    <hyperlink ref="P472" r:id="journalLink1876"/>
    <hyperlink ref="Q472" r:id="journalLink1877"/>
    <hyperlink ref="S472" r:id="journalLink1878"/>
    <hyperlink ref="U472" r:id="journalLink1879"/>
    <hyperlink ref="P473" r:id="journalLink1880"/>
    <hyperlink ref="Q473" r:id="journalLink1881"/>
    <hyperlink ref="S473" r:id="journalLink1882"/>
    <hyperlink ref="U473" r:id="journalLink1883"/>
    <hyperlink ref="P474" r:id="journalLink1884"/>
    <hyperlink ref="Q474" r:id="journalLink1885"/>
    <hyperlink ref="S474" r:id="journalLink1886"/>
    <hyperlink ref="U474" r:id="journalLink1887"/>
    <hyperlink ref="P475" r:id="journalLink1888"/>
    <hyperlink ref="Q475" r:id="journalLink1889"/>
    <hyperlink ref="S475" r:id="journalLink1890"/>
    <hyperlink ref="U475" r:id="journalLink1891"/>
    <hyperlink ref="P476" r:id="journalLink1892"/>
    <hyperlink ref="Q476" r:id="journalLink1893"/>
    <hyperlink ref="S476" r:id="journalLink1894"/>
    <hyperlink ref="U476" r:id="journalLink1895"/>
    <hyperlink ref="P477" r:id="journalLink1896"/>
    <hyperlink ref="Q477" r:id="journalLink1897"/>
    <hyperlink ref="S477" r:id="journalLink1898"/>
    <hyperlink ref="U477" r:id="journalLink1899"/>
    <hyperlink ref="P478" r:id="journalLink1900"/>
    <hyperlink ref="S478" r:id="journalLink1901"/>
    <hyperlink ref="U478" r:id="journalLink1902"/>
    <hyperlink ref="P479" r:id="journalLink1903"/>
    <hyperlink ref="S479" r:id="journalLink1904"/>
    <hyperlink ref="U479" r:id="journalLink1905"/>
    <hyperlink ref="P480" r:id="journalLink1906"/>
    <hyperlink ref="S480" r:id="journalLink1907"/>
    <hyperlink ref="U480" r:id="journalLink1908"/>
    <hyperlink ref="P481" r:id="journalLink1909"/>
    <hyperlink ref="S481" r:id="journalLink1910"/>
    <hyperlink ref="U481" r:id="journalLink1911"/>
    <hyperlink ref="P482" r:id="journalLink1912"/>
    <hyperlink ref="R482" r:id="journalLink1913"/>
    <hyperlink ref="S482" r:id="journalLink1914"/>
    <hyperlink ref="U482" r:id="journalLink1915"/>
    <hyperlink ref="P483" r:id="journalLink1916"/>
    <hyperlink ref="Q483" r:id="journalLink1917"/>
    <hyperlink ref="S483" r:id="journalLink1918"/>
    <hyperlink ref="U483" r:id="journalLink1919"/>
    <hyperlink ref="P484" r:id="journalLink1920"/>
    <hyperlink ref="Q484" r:id="journalLink1921"/>
    <hyperlink ref="S484" r:id="journalLink1922"/>
    <hyperlink ref="U484" r:id="journalLink1923"/>
    <hyperlink ref="P485" r:id="journalLink1924"/>
    <hyperlink ref="Q485" r:id="journalLink1925"/>
    <hyperlink ref="S485" r:id="journalLink1926"/>
    <hyperlink ref="U485" r:id="journalLink1927"/>
    <hyperlink ref="P486" r:id="journalLink1928"/>
    <hyperlink ref="Q486" r:id="journalLink1929"/>
    <hyperlink ref="S486" r:id="journalLink1930"/>
    <hyperlink ref="U486" r:id="journalLink1931"/>
    <hyperlink ref="P487" r:id="journalLink1932"/>
    <hyperlink ref="Q487" r:id="journalLink1933"/>
    <hyperlink ref="S487" r:id="journalLink1934"/>
    <hyperlink ref="U487" r:id="journalLink1935"/>
    <hyperlink ref="P488" r:id="journalLink1936"/>
    <hyperlink ref="Q488" r:id="journalLink1937"/>
    <hyperlink ref="S488" r:id="journalLink1938"/>
    <hyperlink ref="U488" r:id="journalLink1939"/>
    <hyperlink ref="P489" r:id="journalLink1940"/>
    <hyperlink ref="Q489" r:id="journalLink1941"/>
    <hyperlink ref="S489" r:id="journalLink1942"/>
    <hyperlink ref="U489" r:id="journalLink1943"/>
    <hyperlink ref="P490" r:id="journalLink1944"/>
    <hyperlink ref="Q490" r:id="journalLink1945"/>
    <hyperlink ref="S490" r:id="journalLink1946"/>
    <hyperlink ref="U490" r:id="journalLink1947"/>
    <hyperlink ref="P491" r:id="journalLink1948"/>
    <hyperlink ref="Q491" r:id="journalLink1949"/>
    <hyperlink ref="S491" r:id="journalLink1950"/>
    <hyperlink ref="U491" r:id="journalLink1951"/>
    <hyperlink ref="P492" r:id="journalLink1952"/>
    <hyperlink ref="Q492" r:id="journalLink1953"/>
    <hyperlink ref="S492" r:id="journalLink1954"/>
    <hyperlink ref="U492" r:id="journalLink1955"/>
    <hyperlink ref="P493" r:id="journalLink1956"/>
    <hyperlink ref="Q493" r:id="journalLink1957"/>
    <hyperlink ref="S493" r:id="journalLink1958"/>
    <hyperlink ref="U493" r:id="journalLink1959"/>
    <hyperlink ref="P494" r:id="journalLink1960"/>
    <hyperlink ref="Q494" r:id="journalLink1961"/>
    <hyperlink ref="S494" r:id="journalLink1962"/>
    <hyperlink ref="U494" r:id="journalLink1963"/>
    <hyperlink ref="P495" r:id="journalLink1964"/>
    <hyperlink ref="Q495" r:id="journalLink1965"/>
    <hyperlink ref="S495" r:id="journalLink1966"/>
    <hyperlink ref="U495" r:id="journalLink1967"/>
    <hyperlink ref="P496" r:id="journalLink1968"/>
    <hyperlink ref="Q496" r:id="journalLink1969"/>
    <hyperlink ref="S496" r:id="journalLink1970"/>
    <hyperlink ref="U496" r:id="journalLink1971"/>
    <hyperlink ref="P497" r:id="journalLink1972"/>
    <hyperlink ref="Q497" r:id="journalLink1973"/>
    <hyperlink ref="S497" r:id="journalLink1974"/>
    <hyperlink ref="U497" r:id="journalLink1975"/>
    <hyperlink ref="P498" r:id="journalLink1976"/>
    <hyperlink ref="Q498" r:id="journalLink1977"/>
    <hyperlink ref="S498" r:id="journalLink1978"/>
    <hyperlink ref="U498" r:id="journalLink1979"/>
    <hyperlink ref="P499" r:id="journalLink1980"/>
    <hyperlink ref="Q499" r:id="journalLink1981"/>
    <hyperlink ref="S499" r:id="journalLink1982"/>
    <hyperlink ref="U499" r:id="journalLink1983"/>
    <hyperlink ref="P500" r:id="journalLink1984"/>
    <hyperlink ref="Q500" r:id="journalLink1985"/>
    <hyperlink ref="S500" r:id="journalLink1986"/>
    <hyperlink ref="U500" r:id="journalLink1987"/>
    <hyperlink ref="P501" r:id="journalLink1988"/>
    <hyperlink ref="Q501" r:id="journalLink1989"/>
    <hyperlink ref="S501" r:id="journalLink1990"/>
    <hyperlink ref="U501" r:id="journalLink1991"/>
    <hyperlink ref="P502" r:id="journalLink1992"/>
    <hyperlink ref="Q502" r:id="journalLink1993"/>
    <hyperlink ref="S502" r:id="journalLink1994"/>
    <hyperlink ref="U502" r:id="journalLink1995"/>
    <hyperlink ref="P503" r:id="journalLink1996"/>
    <hyperlink ref="Q503" r:id="journalLink1997"/>
    <hyperlink ref="S503" r:id="journalLink1998"/>
    <hyperlink ref="U503" r:id="journalLink1999"/>
    <hyperlink ref="P504" r:id="journalLink2000"/>
    <hyperlink ref="Q504" r:id="journalLink2001"/>
    <hyperlink ref="S504" r:id="journalLink2002"/>
    <hyperlink ref="U504" r:id="journalLink2003"/>
    <hyperlink ref="P505" r:id="journalLink2004"/>
    <hyperlink ref="Q505" r:id="journalLink2005"/>
    <hyperlink ref="S505" r:id="journalLink2006"/>
    <hyperlink ref="U505" r:id="journalLink2007"/>
    <hyperlink ref="P506" r:id="journalLink2008"/>
    <hyperlink ref="Q506" r:id="journalLink2009"/>
    <hyperlink ref="S506" r:id="journalLink2010"/>
    <hyperlink ref="U506" r:id="journalLink2011"/>
    <hyperlink ref="P507" r:id="journalLink2012"/>
    <hyperlink ref="Q507" r:id="journalLink2013"/>
    <hyperlink ref="S507" r:id="journalLink2014"/>
    <hyperlink ref="U507" r:id="journalLink2015"/>
    <hyperlink ref="P508" r:id="journalLink2016"/>
    <hyperlink ref="Q508" r:id="journalLink2017"/>
    <hyperlink ref="S508" r:id="journalLink2018"/>
    <hyperlink ref="U508" r:id="journalLink2019"/>
    <hyperlink ref="P509" r:id="journalLink2020"/>
    <hyperlink ref="Q509" r:id="journalLink2021"/>
    <hyperlink ref="S509" r:id="journalLink2022"/>
    <hyperlink ref="U509" r:id="journalLink2023"/>
    <hyperlink ref="P510" r:id="journalLink2024"/>
    <hyperlink ref="Q510" r:id="journalLink2025"/>
    <hyperlink ref="S510" r:id="journalLink2026"/>
    <hyperlink ref="U510" r:id="journalLink2027"/>
    <hyperlink ref="P511" r:id="journalLink2028"/>
    <hyperlink ref="Q511" r:id="journalLink2029"/>
    <hyperlink ref="S511" r:id="journalLink2030"/>
    <hyperlink ref="U511" r:id="journalLink2031"/>
    <hyperlink ref="P512" r:id="journalLink2032"/>
    <hyperlink ref="Q512" r:id="journalLink2033"/>
    <hyperlink ref="S512" r:id="journalLink2034"/>
    <hyperlink ref="U512" r:id="journalLink2035"/>
    <hyperlink ref="P513" r:id="journalLink2036"/>
    <hyperlink ref="Q513" r:id="journalLink2037"/>
    <hyperlink ref="S513" r:id="journalLink2038"/>
    <hyperlink ref="U513" r:id="journalLink2039"/>
    <hyperlink ref="P514" r:id="journalLink2040"/>
    <hyperlink ref="Q514" r:id="journalLink2041"/>
    <hyperlink ref="S514" r:id="journalLink2042"/>
    <hyperlink ref="U514" r:id="journalLink2043"/>
    <hyperlink ref="P515" r:id="journalLink2044"/>
    <hyperlink ref="Q515" r:id="journalLink2045"/>
    <hyperlink ref="S515" r:id="journalLink2046"/>
    <hyperlink ref="U515" r:id="journalLink2047"/>
    <hyperlink ref="P516" r:id="journalLink2048"/>
    <hyperlink ref="Q516" r:id="journalLink2049"/>
    <hyperlink ref="S516" r:id="journalLink2050"/>
    <hyperlink ref="U516" r:id="journalLink2051"/>
    <hyperlink ref="P517" r:id="journalLink2052"/>
    <hyperlink ref="Q517" r:id="journalLink2053"/>
    <hyperlink ref="S517" r:id="journalLink2054"/>
    <hyperlink ref="U517" r:id="journalLink2055"/>
    <hyperlink ref="P518" r:id="journalLink2056"/>
    <hyperlink ref="Q518" r:id="journalLink2057"/>
    <hyperlink ref="S518" r:id="journalLink2058"/>
    <hyperlink ref="U518" r:id="journalLink2059"/>
    <hyperlink ref="P519" r:id="journalLink2060"/>
    <hyperlink ref="Q519" r:id="journalLink2061"/>
    <hyperlink ref="S519" r:id="journalLink2062"/>
    <hyperlink ref="U519" r:id="journalLink2063"/>
    <hyperlink ref="P520" r:id="journalLink2064"/>
    <hyperlink ref="Q520" r:id="journalLink2065"/>
    <hyperlink ref="S520" r:id="journalLink2066"/>
    <hyperlink ref="U520" r:id="journalLink2067"/>
    <hyperlink ref="P521" r:id="journalLink2068"/>
    <hyperlink ref="Q521" r:id="journalLink2069"/>
    <hyperlink ref="S521" r:id="journalLink2070"/>
    <hyperlink ref="U521" r:id="journalLink2071"/>
    <hyperlink ref="P522" r:id="journalLink2072"/>
    <hyperlink ref="Q522" r:id="journalLink2073"/>
    <hyperlink ref="S522" r:id="journalLink2074"/>
    <hyperlink ref="U522" r:id="journalLink2075"/>
    <hyperlink ref="P523" r:id="journalLink2076"/>
    <hyperlink ref="Q523" r:id="journalLink2077"/>
    <hyperlink ref="S523" r:id="journalLink2078"/>
    <hyperlink ref="U523" r:id="journalLink2079"/>
    <hyperlink ref="P524" r:id="journalLink2080"/>
    <hyperlink ref="Q524" r:id="journalLink2081"/>
    <hyperlink ref="S524" r:id="journalLink2082"/>
    <hyperlink ref="U524" r:id="journalLink2083"/>
    <hyperlink ref="P525" r:id="journalLink2084"/>
    <hyperlink ref="Q525" r:id="journalLink2085"/>
    <hyperlink ref="S525" r:id="journalLink2086"/>
    <hyperlink ref="U525" r:id="journalLink2087"/>
    <hyperlink ref="P526" r:id="journalLink2088"/>
    <hyperlink ref="Q526" r:id="journalLink2089"/>
    <hyperlink ref="S526" r:id="journalLink2090"/>
    <hyperlink ref="U526" r:id="journalLink2091"/>
    <hyperlink ref="P527" r:id="journalLink2092"/>
    <hyperlink ref="Q527" r:id="journalLink2093"/>
    <hyperlink ref="S527" r:id="journalLink2094"/>
    <hyperlink ref="U527" r:id="journalLink2095"/>
    <hyperlink ref="P528" r:id="journalLink2096"/>
    <hyperlink ref="Q528" r:id="journalLink2097"/>
    <hyperlink ref="S528" r:id="journalLink2098"/>
    <hyperlink ref="U528" r:id="journalLink2099"/>
    <hyperlink ref="P529" r:id="journalLink2100"/>
    <hyperlink ref="Q529" r:id="journalLink2101"/>
    <hyperlink ref="S529" r:id="journalLink2102"/>
    <hyperlink ref="U529" r:id="journalLink2103"/>
    <hyperlink ref="P530" r:id="journalLink2104"/>
    <hyperlink ref="Q530" r:id="journalLink2105"/>
    <hyperlink ref="S530" r:id="journalLink2106"/>
    <hyperlink ref="U530" r:id="journalLink2107"/>
    <hyperlink ref="P531" r:id="journalLink2108"/>
    <hyperlink ref="Q531" r:id="journalLink2109"/>
    <hyperlink ref="S531" r:id="journalLink2110"/>
    <hyperlink ref="U531" r:id="journalLink2111"/>
    <hyperlink ref="P532" r:id="journalLink2112"/>
    <hyperlink ref="Q532" r:id="journalLink2113"/>
    <hyperlink ref="S532" r:id="journalLink2114"/>
    <hyperlink ref="U532" r:id="journalLink2115"/>
    <hyperlink ref="P533" r:id="journalLink2116"/>
    <hyperlink ref="Q533" r:id="journalLink2117"/>
    <hyperlink ref="S533" r:id="journalLink2118"/>
    <hyperlink ref="U533" r:id="journalLink2119"/>
    <hyperlink ref="P534" r:id="journalLink2120"/>
    <hyperlink ref="Q534" r:id="journalLink2121"/>
    <hyperlink ref="S534" r:id="journalLink2122"/>
    <hyperlink ref="U534" r:id="journalLink2123"/>
    <hyperlink ref="P535" r:id="journalLink2124"/>
    <hyperlink ref="Q535" r:id="journalLink2125"/>
    <hyperlink ref="S535" r:id="journalLink2126"/>
    <hyperlink ref="U535" r:id="journalLink2127"/>
    <hyperlink ref="P536" r:id="journalLink2128"/>
    <hyperlink ref="Q536" r:id="journalLink2129"/>
    <hyperlink ref="S536" r:id="journalLink2130"/>
    <hyperlink ref="U536" r:id="journalLink2131"/>
    <hyperlink ref="P537" r:id="journalLink2132"/>
    <hyperlink ref="Q537" r:id="journalLink2133"/>
    <hyperlink ref="S537" r:id="journalLink2134"/>
    <hyperlink ref="U537" r:id="journalLink2135"/>
    <hyperlink ref="P538" r:id="journalLink2136"/>
    <hyperlink ref="Q538" r:id="journalLink2137"/>
    <hyperlink ref="S538" r:id="journalLink2138"/>
    <hyperlink ref="U538" r:id="journalLink2139"/>
    <hyperlink ref="P539" r:id="journalLink2140"/>
    <hyperlink ref="Q539" r:id="journalLink2141"/>
    <hyperlink ref="S539" r:id="journalLink2142"/>
    <hyperlink ref="U539" r:id="journalLink2143"/>
    <hyperlink ref="P540" r:id="journalLink2144"/>
    <hyperlink ref="Q540" r:id="journalLink2145"/>
    <hyperlink ref="S540" r:id="journalLink2146"/>
    <hyperlink ref="U540" r:id="journalLink2147"/>
    <hyperlink ref="P541" r:id="journalLink2148"/>
    <hyperlink ref="Q541" r:id="journalLink2149"/>
    <hyperlink ref="S541" r:id="journalLink2150"/>
    <hyperlink ref="U541" r:id="journalLink2151"/>
    <hyperlink ref="P542" r:id="journalLink2152"/>
    <hyperlink ref="Q542" r:id="journalLink2153"/>
    <hyperlink ref="S542" r:id="journalLink2154"/>
    <hyperlink ref="U542" r:id="journalLink2155"/>
    <hyperlink ref="P543" r:id="journalLink2156"/>
    <hyperlink ref="Q543" r:id="journalLink2157"/>
    <hyperlink ref="S543" r:id="journalLink2158"/>
    <hyperlink ref="U543" r:id="journalLink2159"/>
    <hyperlink ref="P544" r:id="journalLink2160"/>
    <hyperlink ref="Q544" r:id="journalLink2161"/>
    <hyperlink ref="S544" r:id="journalLink2162"/>
    <hyperlink ref="U544" r:id="journalLink2163"/>
    <hyperlink ref="P545" r:id="journalLink2164"/>
    <hyperlink ref="Q545" r:id="journalLink2165"/>
    <hyperlink ref="S545" r:id="journalLink2166"/>
    <hyperlink ref="U545" r:id="journalLink2167"/>
    <hyperlink ref="P546" r:id="journalLink2168"/>
    <hyperlink ref="Q546" r:id="journalLink2169"/>
    <hyperlink ref="S546" r:id="journalLink2170"/>
    <hyperlink ref="U546" r:id="journalLink2171"/>
    <hyperlink ref="P547" r:id="journalLink2172"/>
    <hyperlink ref="Q547" r:id="journalLink2173"/>
    <hyperlink ref="S547" r:id="journalLink2174"/>
    <hyperlink ref="U547" r:id="journalLink2175"/>
    <hyperlink ref="P548" r:id="journalLink2176"/>
    <hyperlink ref="Q548" r:id="journalLink2177"/>
    <hyperlink ref="S548" r:id="journalLink2178"/>
    <hyperlink ref="U548" r:id="journalLink2179"/>
    <hyperlink ref="P549" r:id="journalLink2180"/>
    <hyperlink ref="Q549" r:id="journalLink2181"/>
    <hyperlink ref="S549" r:id="journalLink2182"/>
    <hyperlink ref="U549" r:id="journalLink2183"/>
    <hyperlink ref="P550" r:id="journalLink2184"/>
    <hyperlink ref="Q550" r:id="journalLink2185"/>
    <hyperlink ref="S550" r:id="journalLink2186"/>
    <hyperlink ref="U550" r:id="journalLink2187"/>
    <hyperlink ref="P551" r:id="journalLink2188"/>
    <hyperlink ref="Q551" r:id="journalLink2189"/>
    <hyperlink ref="S551" r:id="journalLink2190"/>
    <hyperlink ref="U551" r:id="journalLink2191"/>
    <hyperlink ref="P552" r:id="journalLink2192"/>
    <hyperlink ref="S552" r:id="journalLink2193"/>
    <hyperlink ref="U552" r:id="journalLink2194"/>
    <hyperlink ref="P553" r:id="journalLink2195"/>
    <hyperlink ref="S553" r:id="journalLink2196"/>
    <hyperlink ref="U553" r:id="journalLink2197"/>
    <hyperlink ref="P554" r:id="journalLink2198"/>
    <hyperlink ref="Q554" r:id="journalLink2199"/>
    <hyperlink ref="S554" r:id="journalLink2200"/>
    <hyperlink ref="U554" r:id="journalLink2201"/>
    <hyperlink ref="P555" r:id="journalLink2202"/>
    <hyperlink ref="Q555" r:id="journalLink2203"/>
    <hyperlink ref="S555" r:id="journalLink2204"/>
    <hyperlink ref="U555" r:id="journalLink2205"/>
    <hyperlink ref="P556" r:id="journalLink2206"/>
    <hyperlink ref="Q556" r:id="journalLink2207"/>
    <hyperlink ref="S556" r:id="journalLink2208"/>
    <hyperlink ref="U556" r:id="journalLink2209"/>
    <hyperlink ref="P557" r:id="journalLink2210"/>
    <hyperlink ref="Q557" r:id="journalLink2211"/>
    <hyperlink ref="S557" r:id="journalLink2212"/>
    <hyperlink ref="U557" r:id="journalLink2213"/>
    <hyperlink ref="P558" r:id="journalLink2214"/>
    <hyperlink ref="Q558" r:id="journalLink2215"/>
    <hyperlink ref="S558" r:id="journalLink2216"/>
    <hyperlink ref="U558" r:id="journalLink2217"/>
    <hyperlink ref="P559" r:id="journalLink2218"/>
    <hyperlink ref="Q559" r:id="journalLink2219"/>
    <hyperlink ref="S559" r:id="journalLink2220"/>
    <hyperlink ref="U559" r:id="journalLink2221"/>
    <hyperlink ref="P560" r:id="journalLink2222"/>
    <hyperlink ref="Q560" r:id="journalLink2223"/>
    <hyperlink ref="S560" r:id="journalLink2224"/>
    <hyperlink ref="U560" r:id="journalLink2225"/>
    <hyperlink ref="P561" r:id="journalLink2226"/>
    <hyperlink ref="Q561" r:id="journalLink2227"/>
    <hyperlink ref="S561" r:id="journalLink2228"/>
    <hyperlink ref="U561" r:id="journalLink2229"/>
    <hyperlink ref="P562" r:id="journalLink2230"/>
    <hyperlink ref="Q562" r:id="journalLink2231"/>
    <hyperlink ref="S562" r:id="journalLink2232"/>
    <hyperlink ref="U562" r:id="journalLink2233"/>
    <hyperlink ref="P563" r:id="journalLink2234"/>
    <hyperlink ref="Q563" r:id="journalLink2235"/>
    <hyperlink ref="S563" r:id="journalLink2236"/>
    <hyperlink ref="U563" r:id="journalLink2237"/>
    <hyperlink ref="P564" r:id="journalLink2238"/>
    <hyperlink ref="Q564" r:id="journalLink2239"/>
    <hyperlink ref="S564" r:id="journalLink2240"/>
    <hyperlink ref="U564" r:id="journalLink2241"/>
    <hyperlink ref="P565" r:id="journalLink2242"/>
    <hyperlink ref="Q565" r:id="journalLink2243"/>
    <hyperlink ref="S565" r:id="journalLink2244"/>
    <hyperlink ref="U565" r:id="journalLink2245"/>
    <hyperlink ref="P566" r:id="journalLink2246"/>
    <hyperlink ref="Q566" r:id="journalLink2247"/>
    <hyperlink ref="S566" r:id="journalLink2248"/>
    <hyperlink ref="U566" r:id="journalLink2249"/>
    <hyperlink ref="P567" r:id="journalLink2250"/>
    <hyperlink ref="Q567" r:id="journalLink2251"/>
    <hyperlink ref="S567" r:id="journalLink2252"/>
    <hyperlink ref="U567" r:id="journalLink2253"/>
    <hyperlink ref="P568" r:id="journalLink2254"/>
    <hyperlink ref="Q568" r:id="journalLink2255"/>
    <hyperlink ref="S568" r:id="journalLink2256"/>
    <hyperlink ref="U568" r:id="journalLink2257"/>
    <hyperlink ref="P569" r:id="journalLink2258"/>
    <hyperlink ref="Q569" r:id="journalLink2259"/>
    <hyperlink ref="S569" r:id="journalLink2260"/>
    <hyperlink ref="U569" r:id="journalLink2261"/>
    <hyperlink ref="P570" r:id="journalLink2262"/>
    <hyperlink ref="Q570" r:id="journalLink2263"/>
    <hyperlink ref="S570" r:id="journalLink2264"/>
    <hyperlink ref="U570" r:id="journalLink2265"/>
    <hyperlink ref="P571" r:id="journalLink2266"/>
    <hyperlink ref="Q571" r:id="journalLink2267"/>
    <hyperlink ref="S571" r:id="journalLink2268"/>
    <hyperlink ref="U571" r:id="journalLink2269"/>
    <hyperlink ref="P572" r:id="journalLink2270"/>
    <hyperlink ref="Q572" r:id="journalLink2271"/>
    <hyperlink ref="S572" r:id="journalLink2272"/>
    <hyperlink ref="U572" r:id="journalLink2273"/>
    <hyperlink ref="P573" r:id="journalLink2274"/>
    <hyperlink ref="Q573" r:id="journalLink2275"/>
    <hyperlink ref="S573" r:id="journalLink2276"/>
    <hyperlink ref="U573" r:id="journalLink2277"/>
    <hyperlink ref="P574" r:id="journalLink2278"/>
    <hyperlink ref="Q574" r:id="journalLink2279"/>
    <hyperlink ref="S574" r:id="journalLink2280"/>
    <hyperlink ref="U574" r:id="journalLink2281"/>
    <hyperlink ref="P575" r:id="journalLink2282"/>
    <hyperlink ref="Q575" r:id="journalLink2283"/>
    <hyperlink ref="S575" r:id="journalLink2284"/>
    <hyperlink ref="U575" r:id="journalLink2285"/>
    <hyperlink ref="P576" r:id="journalLink2286"/>
    <hyperlink ref="Q576" r:id="journalLink2287"/>
    <hyperlink ref="S576" r:id="journalLink2288"/>
    <hyperlink ref="U576" r:id="journalLink2289"/>
    <hyperlink ref="P577" r:id="journalLink2290"/>
    <hyperlink ref="Q577" r:id="journalLink2291"/>
    <hyperlink ref="S577" r:id="journalLink2292"/>
    <hyperlink ref="U577" r:id="journalLink2293"/>
    <hyperlink ref="P578" r:id="journalLink2294"/>
    <hyperlink ref="Q578" r:id="journalLink2295"/>
    <hyperlink ref="S578" r:id="journalLink2296"/>
    <hyperlink ref="U578" r:id="journalLink2297"/>
    <hyperlink ref="P579" r:id="journalLink2298"/>
    <hyperlink ref="Q579" r:id="journalLink2299"/>
    <hyperlink ref="S579" r:id="journalLink2300"/>
    <hyperlink ref="U579" r:id="journalLink2301"/>
    <hyperlink ref="P580" r:id="journalLink2302"/>
    <hyperlink ref="Q580" r:id="journalLink2303"/>
    <hyperlink ref="S580" r:id="journalLink2304"/>
    <hyperlink ref="U580" r:id="journalLink2305"/>
    <hyperlink ref="P581" r:id="journalLink2306"/>
    <hyperlink ref="Q581" r:id="journalLink2307"/>
    <hyperlink ref="S581" r:id="journalLink2308"/>
    <hyperlink ref="U581" r:id="journalLink2309"/>
    <hyperlink ref="P582" r:id="journalLink2310"/>
    <hyperlink ref="Q582" r:id="journalLink2311"/>
    <hyperlink ref="S582" r:id="journalLink2312"/>
    <hyperlink ref="U582" r:id="journalLink2313"/>
    <hyperlink ref="P583" r:id="journalLink2314"/>
    <hyperlink ref="Q583" r:id="journalLink2315"/>
    <hyperlink ref="S583" r:id="journalLink2316"/>
    <hyperlink ref="U583" r:id="journalLink2317"/>
    <hyperlink ref="P584" r:id="journalLink2318"/>
    <hyperlink ref="Q584" r:id="journalLink2319"/>
    <hyperlink ref="S584" r:id="journalLink2320"/>
    <hyperlink ref="U584" r:id="journalLink2321"/>
    <hyperlink ref="P585" r:id="journalLink2322"/>
    <hyperlink ref="Q585" r:id="journalLink2323"/>
    <hyperlink ref="S585" r:id="journalLink2324"/>
    <hyperlink ref="U585" r:id="journalLink2325"/>
    <hyperlink ref="P586" r:id="journalLink2326"/>
    <hyperlink ref="Q586" r:id="journalLink2327"/>
    <hyperlink ref="S586" r:id="journalLink2328"/>
    <hyperlink ref="U586" r:id="journalLink2329"/>
    <hyperlink ref="P587" r:id="journalLink2330"/>
    <hyperlink ref="Q587" r:id="journalLink2331"/>
    <hyperlink ref="S587" r:id="journalLink2332"/>
    <hyperlink ref="U587" r:id="journalLink2333"/>
    <hyperlink ref="P588" r:id="journalLink2334"/>
    <hyperlink ref="Q588" r:id="journalLink2335"/>
    <hyperlink ref="S588" r:id="journalLink2336"/>
    <hyperlink ref="U588" r:id="journalLink2337"/>
    <hyperlink ref="P589" r:id="journalLink2338"/>
    <hyperlink ref="Q589" r:id="journalLink2339"/>
    <hyperlink ref="S589" r:id="journalLink2340"/>
    <hyperlink ref="U589" r:id="journalLink2341"/>
    <hyperlink ref="P590" r:id="journalLink2342"/>
    <hyperlink ref="Q590" r:id="journalLink2343"/>
    <hyperlink ref="S590" r:id="journalLink2344"/>
    <hyperlink ref="U590" r:id="journalLink2345"/>
    <hyperlink ref="P591" r:id="journalLink2346"/>
    <hyperlink ref="Q591" r:id="journalLink2347"/>
    <hyperlink ref="S591" r:id="journalLink2348"/>
    <hyperlink ref="U591" r:id="journalLink2349"/>
    <hyperlink ref="P592" r:id="journalLink2350"/>
    <hyperlink ref="Q592" r:id="journalLink2351"/>
    <hyperlink ref="S592" r:id="journalLink2352"/>
    <hyperlink ref="U592" r:id="journalLink2353"/>
    <hyperlink ref="P593" r:id="journalLink2354"/>
    <hyperlink ref="Q593" r:id="journalLink2355"/>
    <hyperlink ref="S593" r:id="journalLink2356"/>
    <hyperlink ref="U593" r:id="journalLink2357"/>
    <hyperlink ref="P594" r:id="journalLink2358"/>
    <hyperlink ref="Q594" r:id="journalLink2359"/>
    <hyperlink ref="S594" r:id="journalLink2360"/>
    <hyperlink ref="U594" r:id="journalLink2361"/>
    <hyperlink ref="P595" r:id="journalLink2362"/>
    <hyperlink ref="Q595" r:id="journalLink2363"/>
    <hyperlink ref="S595" r:id="journalLink2364"/>
    <hyperlink ref="U595" r:id="journalLink2365"/>
    <hyperlink ref="P596" r:id="journalLink2366"/>
    <hyperlink ref="Q596" r:id="journalLink2367"/>
    <hyperlink ref="S596" r:id="journalLink2368"/>
    <hyperlink ref="U596" r:id="journalLink2369"/>
    <hyperlink ref="P597" r:id="journalLink2370"/>
    <hyperlink ref="Q597" r:id="journalLink2371"/>
    <hyperlink ref="S597" r:id="journalLink2372"/>
    <hyperlink ref="U597" r:id="journalLink2373"/>
    <hyperlink ref="P598" r:id="journalLink2374"/>
    <hyperlink ref="Q598" r:id="journalLink2375"/>
    <hyperlink ref="S598" r:id="journalLink2376"/>
    <hyperlink ref="U598" r:id="journalLink2377"/>
    <hyperlink ref="P599" r:id="journalLink2378"/>
    <hyperlink ref="Q599" r:id="journalLink2379"/>
    <hyperlink ref="S599" r:id="journalLink2380"/>
    <hyperlink ref="U599" r:id="journalLink2381"/>
    <hyperlink ref="P600" r:id="journalLink2382"/>
    <hyperlink ref="Q600" r:id="journalLink2383"/>
    <hyperlink ref="S600" r:id="journalLink2384"/>
    <hyperlink ref="U600" r:id="journalLink2385"/>
    <hyperlink ref="P601" r:id="journalLink2386"/>
    <hyperlink ref="Q601" r:id="journalLink2387"/>
    <hyperlink ref="S601" r:id="journalLink2388"/>
    <hyperlink ref="U601" r:id="journalLink2389"/>
    <hyperlink ref="P602" r:id="journalLink2390"/>
    <hyperlink ref="Q602" r:id="journalLink2391"/>
    <hyperlink ref="S602" r:id="journalLink2392"/>
    <hyperlink ref="U602" r:id="journalLink2393"/>
    <hyperlink ref="P603" r:id="journalLink2394"/>
    <hyperlink ref="Q603" r:id="journalLink2395"/>
    <hyperlink ref="S603" r:id="journalLink2396"/>
    <hyperlink ref="U603" r:id="journalLink2397"/>
    <hyperlink ref="P604" r:id="journalLink2398"/>
    <hyperlink ref="Q604" r:id="journalLink2399"/>
    <hyperlink ref="S604" r:id="journalLink2400"/>
    <hyperlink ref="U604" r:id="journalLink2401"/>
    <hyperlink ref="P605" r:id="journalLink2402"/>
    <hyperlink ref="Q605" r:id="journalLink2403"/>
    <hyperlink ref="S605" r:id="journalLink2404"/>
    <hyperlink ref="U605" r:id="journalLink2405"/>
    <hyperlink ref="P606" r:id="journalLink2406"/>
    <hyperlink ref="Q606" r:id="journalLink2407"/>
    <hyperlink ref="S606" r:id="journalLink2408"/>
    <hyperlink ref="U606" r:id="journalLink2409"/>
    <hyperlink ref="P607" r:id="journalLink2410"/>
    <hyperlink ref="Q607" r:id="journalLink2411"/>
    <hyperlink ref="S607" r:id="journalLink2412"/>
    <hyperlink ref="U607" r:id="journalLink2413"/>
    <hyperlink ref="P608" r:id="journalLink2414"/>
    <hyperlink ref="Q608" r:id="journalLink2415"/>
    <hyperlink ref="S608" r:id="journalLink2416"/>
    <hyperlink ref="U608" r:id="journalLink2417"/>
    <hyperlink ref="P609" r:id="journalLink2418"/>
    <hyperlink ref="Q609" r:id="journalLink2419"/>
    <hyperlink ref="S609" r:id="journalLink2420"/>
    <hyperlink ref="U609" r:id="journalLink2421"/>
    <hyperlink ref="P610" r:id="journalLink2422"/>
    <hyperlink ref="Q610" r:id="journalLink2423"/>
    <hyperlink ref="S610" r:id="journalLink2424"/>
    <hyperlink ref="U610" r:id="journalLink2425"/>
    <hyperlink ref="P611" r:id="journalLink2426"/>
    <hyperlink ref="Q611" r:id="journalLink2427"/>
    <hyperlink ref="S611" r:id="journalLink2428"/>
    <hyperlink ref="U611" r:id="journalLink2429"/>
    <hyperlink ref="P612" r:id="journalLink2430"/>
    <hyperlink ref="Q612" r:id="journalLink2431"/>
    <hyperlink ref="S612" r:id="journalLink2432"/>
    <hyperlink ref="U612" r:id="journalLink2433"/>
    <hyperlink ref="P613" r:id="journalLink2434"/>
    <hyperlink ref="Q613" r:id="journalLink2435"/>
    <hyperlink ref="S613" r:id="journalLink2436"/>
    <hyperlink ref="U613" r:id="journalLink2437"/>
    <hyperlink ref="P614" r:id="journalLink2438"/>
    <hyperlink ref="Q614" r:id="journalLink2439"/>
    <hyperlink ref="S614" r:id="journalLink2440"/>
    <hyperlink ref="U614" r:id="journalLink2441"/>
    <hyperlink ref="P615" r:id="journalLink2442"/>
    <hyperlink ref="Q615" r:id="journalLink2443"/>
    <hyperlink ref="S615" r:id="journalLink2444"/>
    <hyperlink ref="U615" r:id="journalLink2445"/>
    <hyperlink ref="P616" r:id="journalLink2446"/>
    <hyperlink ref="Q616" r:id="journalLink2447"/>
    <hyperlink ref="S616" r:id="journalLink2448"/>
    <hyperlink ref="U616" r:id="journalLink2449"/>
    <hyperlink ref="P617" r:id="journalLink2450"/>
    <hyperlink ref="Q617" r:id="journalLink2451"/>
    <hyperlink ref="S617" r:id="journalLink2452"/>
    <hyperlink ref="U617" r:id="journalLink2453"/>
    <hyperlink ref="P618" r:id="journalLink2454"/>
    <hyperlink ref="Q618" r:id="journalLink2455"/>
    <hyperlink ref="S618" r:id="journalLink2456"/>
    <hyperlink ref="U618" r:id="journalLink2457"/>
    <hyperlink ref="P619" r:id="journalLink2458"/>
    <hyperlink ref="Q619" r:id="journalLink2459"/>
    <hyperlink ref="S619" r:id="journalLink2460"/>
    <hyperlink ref="U619" r:id="journalLink2461"/>
    <hyperlink ref="P620" r:id="journalLink2462"/>
    <hyperlink ref="Q620" r:id="journalLink2463"/>
    <hyperlink ref="S620" r:id="journalLink2464"/>
    <hyperlink ref="U620" r:id="journalLink2465"/>
    <hyperlink ref="P621" r:id="journalLink2466"/>
    <hyperlink ref="Q621" r:id="journalLink2467"/>
    <hyperlink ref="S621" r:id="journalLink2468"/>
    <hyperlink ref="U621" r:id="journalLink2469"/>
    <hyperlink ref="P622" r:id="journalLink2470"/>
    <hyperlink ref="Q622" r:id="journalLink2471"/>
    <hyperlink ref="S622" r:id="journalLink2472"/>
    <hyperlink ref="U622" r:id="journalLink2473"/>
    <hyperlink ref="P623" r:id="journalLink2474"/>
    <hyperlink ref="Q623" r:id="journalLink2475"/>
    <hyperlink ref="S623" r:id="journalLink2476"/>
    <hyperlink ref="U623" r:id="journalLink2477"/>
    <hyperlink ref="P624" r:id="journalLink2478"/>
    <hyperlink ref="Q624" r:id="journalLink2479"/>
    <hyperlink ref="S624" r:id="journalLink2480"/>
    <hyperlink ref="U624" r:id="journalLink2481"/>
    <hyperlink ref="P625" r:id="journalLink2482"/>
    <hyperlink ref="Q625" r:id="journalLink2483"/>
    <hyperlink ref="S625" r:id="journalLink2484"/>
    <hyperlink ref="U625" r:id="journalLink2485"/>
    <hyperlink ref="P626" r:id="journalLink2486"/>
    <hyperlink ref="Q626" r:id="journalLink2487"/>
    <hyperlink ref="S626" r:id="journalLink2488"/>
    <hyperlink ref="U626" r:id="journalLink2489"/>
    <hyperlink ref="P627" r:id="journalLink2490"/>
    <hyperlink ref="Q627" r:id="journalLink2491"/>
    <hyperlink ref="S627" r:id="journalLink2492"/>
    <hyperlink ref="U627" r:id="journalLink2493"/>
    <hyperlink ref="P628" r:id="journalLink2494"/>
    <hyperlink ref="Q628" r:id="journalLink2495"/>
    <hyperlink ref="S628" r:id="journalLink2496"/>
    <hyperlink ref="U628" r:id="journalLink2497"/>
    <hyperlink ref="P629" r:id="journalLink2498"/>
    <hyperlink ref="Q629" r:id="journalLink2499"/>
    <hyperlink ref="S629" r:id="journalLink2500"/>
    <hyperlink ref="U629" r:id="journalLink2501"/>
    <hyperlink ref="P630" r:id="journalLink2502"/>
    <hyperlink ref="Q630" r:id="journalLink2503"/>
    <hyperlink ref="S630" r:id="journalLink2504"/>
    <hyperlink ref="U630" r:id="journalLink2505"/>
    <hyperlink ref="P631" r:id="journalLink2506"/>
    <hyperlink ref="Q631" r:id="journalLink2507"/>
    <hyperlink ref="S631" r:id="journalLink2508"/>
    <hyperlink ref="U631" r:id="journalLink2509"/>
    <hyperlink ref="P632" r:id="journalLink2510"/>
    <hyperlink ref="Q632" r:id="journalLink2511"/>
    <hyperlink ref="S632" r:id="journalLink2512"/>
    <hyperlink ref="U632" r:id="journalLink2513"/>
    <hyperlink ref="P633" r:id="journalLink2514"/>
    <hyperlink ref="Q633" r:id="journalLink2515"/>
    <hyperlink ref="S633" r:id="journalLink2516"/>
    <hyperlink ref="U633" r:id="journalLink2517"/>
    <hyperlink ref="P634" r:id="journalLink2518"/>
    <hyperlink ref="Q634" r:id="journalLink2519"/>
    <hyperlink ref="S634" r:id="journalLink2520"/>
    <hyperlink ref="U634" r:id="journalLink2521"/>
    <hyperlink ref="P635" r:id="journalLink2522"/>
    <hyperlink ref="Q635" r:id="journalLink2523"/>
    <hyperlink ref="S635" r:id="journalLink2524"/>
    <hyperlink ref="U635" r:id="journalLink2525"/>
    <hyperlink ref="P636" r:id="journalLink2526"/>
    <hyperlink ref="Q636" r:id="journalLink2527"/>
    <hyperlink ref="S636" r:id="journalLink2528"/>
    <hyperlink ref="U636" r:id="journalLink2529"/>
    <hyperlink ref="P637" r:id="journalLink2530"/>
    <hyperlink ref="Q637" r:id="journalLink2531"/>
    <hyperlink ref="S637" r:id="journalLink2532"/>
    <hyperlink ref="U637" r:id="journalLink2533"/>
    <hyperlink ref="P638" r:id="journalLink2534"/>
    <hyperlink ref="Q638" r:id="journalLink2535"/>
    <hyperlink ref="S638" r:id="journalLink2536"/>
    <hyperlink ref="U638" r:id="journalLink2537"/>
    <hyperlink ref="P639" r:id="journalLink2538"/>
    <hyperlink ref="Q639" r:id="journalLink2539"/>
    <hyperlink ref="S639" r:id="journalLink2540"/>
    <hyperlink ref="U639" r:id="journalLink2541"/>
    <hyperlink ref="P640" r:id="journalLink2542"/>
    <hyperlink ref="Q640" r:id="journalLink2543"/>
    <hyperlink ref="S640" r:id="journalLink2544"/>
    <hyperlink ref="U640" r:id="journalLink2545"/>
    <hyperlink ref="P641" r:id="journalLink2546"/>
    <hyperlink ref="Q641" r:id="journalLink2547"/>
    <hyperlink ref="S641" r:id="journalLink2548"/>
    <hyperlink ref="U641" r:id="journalLink2549"/>
    <hyperlink ref="P642" r:id="journalLink2550"/>
    <hyperlink ref="Q642" r:id="journalLink2551"/>
    <hyperlink ref="S642" r:id="journalLink2552"/>
    <hyperlink ref="U642" r:id="journalLink2553"/>
    <hyperlink ref="P643" r:id="journalLink2554"/>
    <hyperlink ref="Q643" r:id="journalLink2555"/>
    <hyperlink ref="S643" r:id="journalLink2556"/>
    <hyperlink ref="U643" r:id="journalLink2557"/>
    <hyperlink ref="P644" r:id="journalLink2558"/>
    <hyperlink ref="Q644" r:id="journalLink2559"/>
    <hyperlink ref="S644" r:id="journalLink2560"/>
    <hyperlink ref="U644" r:id="journalLink2561"/>
    <hyperlink ref="P645" r:id="journalLink2562"/>
    <hyperlink ref="Q645" r:id="journalLink2563"/>
    <hyperlink ref="S645" r:id="journalLink2564"/>
    <hyperlink ref="U645" r:id="journalLink2565"/>
    <hyperlink ref="P646" r:id="journalLink2566"/>
    <hyperlink ref="Q646" r:id="journalLink2567"/>
    <hyperlink ref="S646" r:id="journalLink2568"/>
    <hyperlink ref="U646" r:id="journalLink2569"/>
    <hyperlink ref="P647" r:id="journalLink2570"/>
    <hyperlink ref="Q647" r:id="journalLink2571"/>
    <hyperlink ref="S647" r:id="journalLink2572"/>
    <hyperlink ref="U647" r:id="journalLink2573"/>
    <hyperlink ref="P648" r:id="journalLink2574"/>
    <hyperlink ref="Q648" r:id="journalLink2575"/>
    <hyperlink ref="S648" r:id="journalLink2576"/>
    <hyperlink ref="U648" r:id="journalLink2577"/>
    <hyperlink ref="P649" r:id="journalLink2578"/>
    <hyperlink ref="Q649" r:id="journalLink2579"/>
    <hyperlink ref="S649" r:id="journalLink2580"/>
    <hyperlink ref="U649" r:id="journalLink2581"/>
    <hyperlink ref="P650" r:id="journalLink2582"/>
    <hyperlink ref="Q650" r:id="journalLink2583"/>
    <hyperlink ref="S650" r:id="journalLink2584"/>
    <hyperlink ref="U650" r:id="journalLink2585"/>
    <hyperlink ref="P651" r:id="journalLink2586"/>
    <hyperlink ref="Q651" r:id="journalLink2587"/>
    <hyperlink ref="S651" r:id="journalLink2588"/>
    <hyperlink ref="U651" r:id="journalLink2589"/>
    <hyperlink ref="P652" r:id="journalLink2590"/>
    <hyperlink ref="Q652" r:id="journalLink2591"/>
    <hyperlink ref="S652" r:id="journalLink2592"/>
    <hyperlink ref="U652" r:id="journalLink2593"/>
    <hyperlink ref="P653" r:id="journalLink2594"/>
    <hyperlink ref="Q653" r:id="journalLink2595"/>
    <hyperlink ref="S653" r:id="journalLink2596"/>
    <hyperlink ref="U653" r:id="journalLink2597"/>
    <hyperlink ref="P654" r:id="journalLink2598"/>
    <hyperlink ref="Q654" r:id="journalLink2599"/>
    <hyperlink ref="S654" r:id="journalLink2600"/>
    <hyperlink ref="U654" r:id="journalLink2601"/>
    <hyperlink ref="P655" r:id="journalLink2602"/>
    <hyperlink ref="Q655" r:id="journalLink2603"/>
    <hyperlink ref="S655" r:id="journalLink2604"/>
    <hyperlink ref="U655" r:id="journalLink2605"/>
    <hyperlink ref="P656" r:id="journalLink2606"/>
    <hyperlink ref="Q656" r:id="journalLink2607"/>
    <hyperlink ref="S656" r:id="journalLink2608"/>
    <hyperlink ref="U656" r:id="journalLink2609"/>
    <hyperlink ref="P657" r:id="journalLink2610"/>
    <hyperlink ref="Q657" r:id="journalLink2611"/>
    <hyperlink ref="S657" r:id="journalLink2612"/>
    <hyperlink ref="U657" r:id="journalLink2613"/>
    <hyperlink ref="P658" r:id="journalLink2614"/>
    <hyperlink ref="Q658" r:id="journalLink2615"/>
    <hyperlink ref="S658" r:id="journalLink2616"/>
    <hyperlink ref="U658" r:id="journalLink2617"/>
    <hyperlink ref="P659" r:id="journalLink2618"/>
    <hyperlink ref="Q659" r:id="journalLink2619"/>
    <hyperlink ref="S659" r:id="journalLink2620"/>
    <hyperlink ref="U659" r:id="journalLink2621"/>
    <hyperlink ref="P660" r:id="journalLink2622"/>
    <hyperlink ref="Q660" r:id="journalLink2623"/>
    <hyperlink ref="S660" r:id="journalLink2624"/>
    <hyperlink ref="U660" r:id="journalLink2625"/>
    <hyperlink ref="P661" r:id="journalLink2626"/>
    <hyperlink ref="Q661" r:id="journalLink2627"/>
    <hyperlink ref="S661" r:id="journalLink2628"/>
    <hyperlink ref="U661" r:id="journalLink2629"/>
    <hyperlink ref="P662" r:id="journalLink2630"/>
    <hyperlink ref="Q662" r:id="journalLink2631"/>
    <hyperlink ref="S662" r:id="journalLink2632"/>
    <hyperlink ref="U662" r:id="journalLink2633"/>
    <hyperlink ref="P663" r:id="journalLink2634"/>
    <hyperlink ref="Q663" r:id="journalLink2635"/>
    <hyperlink ref="S663" r:id="journalLink2636"/>
    <hyperlink ref="U663" r:id="journalLink2637"/>
    <hyperlink ref="P664" r:id="journalLink2638"/>
    <hyperlink ref="Q664" r:id="journalLink2639"/>
    <hyperlink ref="S664" r:id="journalLink2640"/>
    <hyperlink ref="U664" r:id="journalLink2641"/>
    <hyperlink ref="P665" r:id="journalLink2642"/>
    <hyperlink ref="Q665" r:id="journalLink2643"/>
    <hyperlink ref="S665" r:id="journalLink2644"/>
    <hyperlink ref="U665" r:id="journalLink2645"/>
    <hyperlink ref="P666" r:id="journalLink2646"/>
    <hyperlink ref="Q666" r:id="journalLink2647"/>
    <hyperlink ref="S666" r:id="journalLink2648"/>
    <hyperlink ref="U666" r:id="journalLink2649"/>
    <hyperlink ref="P667" r:id="journalLink2650"/>
    <hyperlink ref="Q667" r:id="journalLink2651"/>
    <hyperlink ref="S667" r:id="journalLink2652"/>
    <hyperlink ref="U667" r:id="journalLink2653"/>
    <hyperlink ref="P668" r:id="journalLink2654"/>
    <hyperlink ref="Q668" r:id="journalLink2655"/>
    <hyperlink ref="S668" r:id="journalLink2656"/>
    <hyperlink ref="U668" r:id="journalLink2657"/>
    <hyperlink ref="P669" r:id="journalLink2658"/>
    <hyperlink ref="Q669" r:id="journalLink2659"/>
    <hyperlink ref="S669" r:id="journalLink2660"/>
    <hyperlink ref="U669" r:id="journalLink2661"/>
    <hyperlink ref="P670" r:id="journalLink2662"/>
    <hyperlink ref="Q670" r:id="journalLink2663"/>
    <hyperlink ref="S670" r:id="journalLink2664"/>
    <hyperlink ref="U670" r:id="journalLink2665"/>
    <hyperlink ref="P671" r:id="journalLink2666"/>
    <hyperlink ref="Q671" r:id="journalLink2667"/>
    <hyperlink ref="S671" r:id="journalLink2668"/>
    <hyperlink ref="U671" r:id="journalLink2669"/>
    <hyperlink ref="P672" r:id="journalLink2670"/>
    <hyperlink ref="Q672" r:id="journalLink2671"/>
    <hyperlink ref="S672" r:id="journalLink2672"/>
    <hyperlink ref="U672" r:id="journalLink2673"/>
    <hyperlink ref="P673" r:id="journalLink2674"/>
    <hyperlink ref="Q673" r:id="journalLink2675"/>
    <hyperlink ref="S673" r:id="journalLink2676"/>
    <hyperlink ref="U673" r:id="journalLink2677"/>
    <hyperlink ref="P674" r:id="journalLink2678"/>
    <hyperlink ref="Q674" r:id="journalLink2679"/>
    <hyperlink ref="S674" r:id="journalLink2680"/>
    <hyperlink ref="U674" r:id="journalLink2681"/>
    <hyperlink ref="P675" r:id="journalLink2682"/>
    <hyperlink ref="Q675" r:id="journalLink2683"/>
    <hyperlink ref="S675" r:id="journalLink2684"/>
    <hyperlink ref="U675" r:id="journalLink2685"/>
    <hyperlink ref="P676" r:id="journalLink2686"/>
    <hyperlink ref="Q676" r:id="journalLink2687"/>
    <hyperlink ref="S676" r:id="journalLink2688"/>
    <hyperlink ref="U676" r:id="journalLink2689"/>
    <hyperlink ref="P677" r:id="journalLink2690"/>
    <hyperlink ref="Q677" r:id="journalLink2691"/>
    <hyperlink ref="S677" r:id="journalLink2692"/>
    <hyperlink ref="U677" r:id="journalLink2693"/>
    <hyperlink ref="P678" r:id="journalLink2694"/>
    <hyperlink ref="Q678" r:id="journalLink2695"/>
    <hyperlink ref="S678" r:id="journalLink2696"/>
    <hyperlink ref="U678" r:id="journalLink2697"/>
    <hyperlink ref="P679" r:id="journalLink2698"/>
    <hyperlink ref="Q679" r:id="journalLink2699"/>
    <hyperlink ref="S679" r:id="journalLink2700"/>
    <hyperlink ref="U679" r:id="journalLink2701"/>
    <hyperlink ref="P680" r:id="journalLink2702"/>
    <hyperlink ref="Q680" r:id="journalLink2703"/>
    <hyperlink ref="S680" r:id="journalLink2704"/>
    <hyperlink ref="U680" r:id="journalLink2705"/>
    <hyperlink ref="P681" r:id="journalLink2706"/>
    <hyperlink ref="Q681" r:id="journalLink2707"/>
    <hyperlink ref="S681" r:id="journalLink2708"/>
    <hyperlink ref="U681" r:id="journalLink2709"/>
    <hyperlink ref="P682" r:id="journalLink2710"/>
    <hyperlink ref="Q682" r:id="journalLink2711"/>
    <hyperlink ref="S682" r:id="journalLink2712"/>
    <hyperlink ref="U682" r:id="journalLink2713"/>
    <hyperlink ref="P683" r:id="journalLink2714"/>
    <hyperlink ref="Q683" r:id="journalLink2715"/>
    <hyperlink ref="S683" r:id="journalLink2716"/>
    <hyperlink ref="U683" r:id="journalLink2717"/>
    <hyperlink ref="P684" r:id="journalLink2718"/>
    <hyperlink ref="Q684" r:id="journalLink2719"/>
    <hyperlink ref="S684" r:id="journalLink2720"/>
    <hyperlink ref="U684" r:id="journalLink2721"/>
    <hyperlink ref="P685" r:id="journalLink2722"/>
    <hyperlink ref="Q685" r:id="journalLink2723"/>
    <hyperlink ref="S685" r:id="journalLink2724"/>
    <hyperlink ref="U685" r:id="journalLink2725"/>
    <hyperlink ref="P686" r:id="journalLink2726"/>
    <hyperlink ref="Q686" r:id="journalLink2727"/>
    <hyperlink ref="S686" r:id="journalLink2728"/>
    <hyperlink ref="U686" r:id="journalLink2729"/>
    <hyperlink ref="P687" r:id="journalLink2730"/>
    <hyperlink ref="Q687" r:id="journalLink2731"/>
    <hyperlink ref="S687" r:id="journalLink2732"/>
    <hyperlink ref="U687" r:id="journalLink2733"/>
    <hyperlink ref="P688" r:id="journalLink2734"/>
    <hyperlink ref="Q688" r:id="journalLink2735"/>
    <hyperlink ref="S688" r:id="journalLink2736"/>
    <hyperlink ref="U688" r:id="journalLink2737"/>
    <hyperlink ref="P689" r:id="journalLink2738"/>
    <hyperlink ref="Q689" r:id="journalLink2739"/>
    <hyperlink ref="S689" r:id="journalLink2740"/>
    <hyperlink ref="U689" r:id="journalLink2741"/>
    <hyperlink ref="P690" r:id="journalLink2742"/>
    <hyperlink ref="Q690" r:id="journalLink2743"/>
    <hyperlink ref="S690" r:id="journalLink2744"/>
    <hyperlink ref="U690" r:id="journalLink2745"/>
    <hyperlink ref="P691" r:id="journalLink2746"/>
    <hyperlink ref="Q691" r:id="journalLink2747"/>
    <hyperlink ref="S691" r:id="journalLink2748"/>
    <hyperlink ref="U691" r:id="journalLink2749"/>
    <hyperlink ref="P692" r:id="journalLink2750"/>
    <hyperlink ref="Q692" r:id="journalLink2751"/>
    <hyperlink ref="S692" r:id="journalLink2752"/>
    <hyperlink ref="U692" r:id="journalLink2753"/>
    <hyperlink ref="P693" r:id="journalLink2754"/>
    <hyperlink ref="Q693" r:id="journalLink2755"/>
    <hyperlink ref="S693" r:id="journalLink2756"/>
    <hyperlink ref="U693" r:id="journalLink2757"/>
    <hyperlink ref="P694" r:id="journalLink2758"/>
    <hyperlink ref="Q694" r:id="journalLink2759"/>
    <hyperlink ref="S694" r:id="journalLink2760"/>
    <hyperlink ref="U694" r:id="journalLink2761"/>
    <hyperlink ref="P695" r:id="journalLink2762"/>
    <hyperlink ref="Q695" r:id="journalLink2763"/>
    <hyperlink ref="S695" r:id="journalLink2764"/>
    <hyperlink ref="U695" r:id="journalLink2765"/>
    <hyperlink ref="P696" r:id="journalLink2766"/>
    <hyperlink ref="Q696" r:id="journalLink2767"/>
    <hyperlink ref="S696" r:id="journalLink2768"/>
    <hyperlink ref="U696" r:id="journalLink2769"/>
    <hyperlink ref="P697" r:id="journalLink2770"/>
    <hyperlink ref="Q697" r:id="journalLink2771"/>
    <hyperlink ref="S697" r:id="journalLink2772"/>
    <hyperlink ref="U697" r:id="journalLink2773"/>
    <hyperlink ref="P698" r:id="journalLink2774"/>
    <hyperlink ref="Q698" r:id="journalLink2775"/>
    <hyperlink ref="S698" r:id="journalLink2776"/>
    <hyperlink ref="U698" r:id="journalLink2777"/>
    <hyperlink ref="P699" r:id="journalLink2778"/>
    <hyperlink ref="Q699" r:id="journalLink2779"/>
    <hyperlink ref="S699" r:id="journalLink2780"/>
    <hyperlink ref="U699" r:id="journalLink2781"/>
    <hyperlink ref="P700" r:id="journalLink2782"/>
    <hyperlink ref="Q700" r:id="journalLink2783"/>
    <hyperlink ref="S700" r:id="journalLink2784"/>
    <hyperlink ref="U700" r:id="journalLink2785"/>
    <hyperlink ref="P701" r:id="journalLink2786"/>
    <hyperlink ref="Q701" r:id="journalLink2787"/>
    <hyperlink ref="S701" r:id="journalLink2788"/>
    <hyperlink ref="U701" r:id="journalLink2789"/>
    <hyperlink ref="P702" r:id="journalLink2790"/>
    <hyperlink ref="Q702" r:id="journalLink2791"/>
    <hyperlink ref="S702" r:id="journalLink2792"/>
    <hyperlink ref="U702" r:id="journalLink2793"/>
    <hyperlink ref="P703" r:id="journalLink2794"/>
    <hyperlink ref="Q703" r:id="journalLink2795"/>
    <hyperlink ref="S703" r:id="journalLink2796"/>
    <hyperlink ref="U703" r:id="journalLink2797"/>
    <hyperlink ref="P704" r:id="journalLink2798"/>
    <hyperlink ref="Q704" r:id="journalLink2799"/>
    <hyperlink ref="S704" r:id="journalLink2800"/>
    <hyperlink ref="U704" r:id="journalLink2801"/>
    <hyperlink ref="P705" r:id="journalLink2802"/>
    <hyperlink ref="Q705" r:id="journalLink2803"/>
    <hyperlink ref="S705" r:id="journalLink2804"/>
    <hyperlink ref="U705" r:id="journalLink2805"/>
    <hyperlink ref="P706" r:id="journalLink2806"/>
    <hyperlink ref="Q706" r:id="journalLink2807"/>
    <hyperlink ref="S706" r:id="journalLink2808"/>
    <hyperlink ref="U706" r:id="journalLink2809"/>
    <hyperlink ref="P707" r:id="journalLink2810"/>
    <hyperlink ref="Q707" r:id="journalLink2811"/>
    <hyperlink ref="S707" r:id="journalLink2812"/>
    <hyperlink ref="U707" r:id="journalLink2813"/>
    <hyperlink ref="P708" r:id="journalLink2814"/>
    <hyperlink ref="Q708" r:id="journalLink2815"/>
    <hyperlink ref="S708" r:id="journalLink2816"/>
    <hyperlink ref="U708" r:id="journalLink2817"/>
    <hyperlink ref="P709" r:id="journalLink2818"/>
    <hyperlink ref="Q709" r:id="journalLink2819"/>
    <hyperlink ref="S709" r:id="journalLink2820"/>
    <hyperlink ref="U709" r:id="journalLink2821"/>
    <hyperlink ref="P710" r:id="journalLink2822"/>
    <hyperlink ref="Q710" r:id="journalLink2823"/>
    <hyperlink ref="S710" r:id="journalLink2824"/>
    <hyperlink ref="U710" r:id="journalLink2825"/>
    <hyperlink ref="P711" r:id="journalLink2826"/>
    <hyperlink ref="Q711" r:id="journalLink2827"/>
    <hyperlink ref="S711" r:id="journalLink2828"/>
    <hyperlink ref="U711" r:id="journalLink2829"/>
    <hyperlink ref="P712" r:id="journalLink2830"/>
    <hyperlink ref="Q712" r:id="journalLink2831"/>
    <hyperlink ref="S712" r:id="journalLink2832"/>
    <hyperlink ref="U712" r:id="journalLink2833"/>
    <hyperlink ref="P713" r:id="journalLink2834"/>
    <hyperlink ref="Q713" r:id="journalLink2835"/>
    <hyperlink ref="S713" r:id="journalLink2836"/>
    <hyperlink ref="U713" r:id="journalLink2837"/>
    <hyperlink ref="P714" r:id="journalLink2838"/>
    <hyperlink ref="Q714" r:id="journalLink2839"/>
    <hyperlink ref="S714" r:id="journalLink2840"/>
    <hyperlink ref="U714" r:id="journalLink2841"/>
    <hyperlink ref="P715" r:id="journalLink2842"/>
    <hyperlink ref="Q715" r:id="journalLink2843"/>
    <hyperlink ref="S715" r:id="journalLink2844"/>
    <hyperlink ref="U715" r:id="journalLink2845"/>
    <hyperlink ref="P716" r:id="journalLink2846"/>
    <hyperlink ref="Q716" r:id="journalLink2847"/>
    <hyperlink ref="S716" r:id="journalLink2848"/>
    <hyperlink ref="U716" r:id="journalLink2849"/>
    <hyperlink ref="P717" r:id="journalLink2850"/>
    <hyperlink ref="Q717" r:id="journalLink2851"/>
    <hyperlink ref="S717" r:id="journalLink2852"/>
    <hyperlink ref="U717" r:id="journalLink2853"/>
    <hyperlink ref="P718" r:id="journalLink2854"/>
    <hyperlink ref="Q718" r:id="journalLink2855"/>
    <hyperlink ref="S718" r:id="journalLink2856"/>
    <hyperlink ref="U718" r:id="journalLink2857"/>
    <hyperlink ref="P719" r:id="journalLink2858"/>
    <hyperlink ref="Q719" r:id="journalLink2859"/>
    <hyperlink ref="S719" r:id="journalLink2860"/>
    <hyperlink ref="U719" r:id="journalLink2861"/>
    <hyperlink ref="P720" r:id="journalLink2862"/>
    <hyperlink ref="Q720" r:id="journalLink2863"/>
    <hyperlink ref="S720" r:id="journalLink2864"/>
    <hyperlink ref="U720" r:id="journalLink2865"/>
    <hyperlink ref="P721" r:id="journalLink2866"/>
    <hyperlink ref="Q721" r:id="journalLink2867"/>
    <hyperlink ref="S721" r:id="journalLink2868"/>
    <hyperlink ref="U721" r:id="journalLink2869"/>
    <hyperlink ref="P722" r:id="journalLink2870"/>
    <hyperlink ref="Q722" r:id="journalLink2871"/>
    <hyperlink ref="S722" r:id="journalLink2872"/>
    <hyperlink ref="U722" r:id="journalLink2873"/>
    <hyperlink ref="P723" r:id="journalLink2874"/>
    <hyperlink ref="Q723" r:id="journalLink2875"/>
    <hyperlink ref="S723" r:id="journalLink2876"/>
    <hyperlink ref="U723" r:id="journalLink2877"/>
    <hyperlink ref="P724" r:id="journalLink2878"/>
    <hyperlink ref="Q724" r:id="journalLink2879"/>
    <hyperlink ref="S724" r:id="journalLink2880"/>
    <hyperlink ref="U724" r:id="journalLink2881"/>
    <hyperlink ref="P725" r:id="journalLink2882"/>
    <hyperlink ref="Q725" r:id="journalLink2883"/>
    <hyperlink ref="S725" r:id="journalLink2884"/>
    <hyperlink ref="U725" r:id="journalLink2885"/>
    <hyperlink ref="P726" r:id="journalLink2886"/>
    <hyperlink ref="Q726" r:id="journalLink2887"/>
    <hyperlink ref="S726" r:id="journalLink2888"/>
    <hyperlink ref="U726" r:id="journalLink2889"/>
    <hyperlink ref="P727" r:id="journalLink2890"/>
    <hyperlink ref="Q727" r:id="journalLink2891"/>
    <hyperlink ref="S727" r:id="journalLink2892"/>
    <hyperlink ref="U727" r:id="journalLink2893"/>
    <hyperlink ref="P728" r:id="journalLink2894"/>
    <hyperlink ref="Q728" r:id="journalLink2895"/>
    <hyperlink ref="S728" r:id="journalLink2896"/>
    <hyperlink ref="U728" r:id="journalLink2897"/>
    <hyperlink ref="P729" r:id="journalLink2898"/>
    <hyperlink ref="Q729" r:id="journalLink2899"/>
    <hyperlink ref="S729" r:id="journalLink2900"/>
    <hyperlink ref="U729" r:id="journalLink2901"/>
    <hyperlink ref="P730" r:id="journalLink2902"/>
    <hyperlink ref="Q730" r:id="journalLink2903"/>
    <hyperlink ref="S730" r:id="journalLink2904"/>
    <hyperlink ref="U730" r:id="journalLink2905"/>
    <hyperlink ref="P731" r:id="journalLink2906"/>
    <hyperlink ref="Q731" r:id="journalLink2907"/>
    <hyperlink ref="S731" r:id="journalLink2908"/>
    <hyperlink ref="U731" r:id="journalLink2909"/>
    <hyperlink ref="P732" r:id="journalLink2910"/>
    <hyperlink ref="S732" r:id="journalLink2911"/>
    <hyperlink ref="U732" r:id="journalLink2912"/>
    <hyperlink ref="P733" r:id="journalLink2913"/>
    <hyperlink ref="S733" r:id="journalLink2914"/>
    <hyperlink ref="U733" r:id="journalLink2915"/>
    <hyperlink ref="P734" r:id="journalLink2916"/>
    <hyperlink ref="S734" r:id="journalLink2917"/>
    <hyperlink ref="U734" r:id="journalLink2918"/>
    <hyperlink ref="P735" r:id="journalLink2919"/>
    <hyperlink ref="S735" r:id="journalLink2920"/>
    <hyperlink ref="U735" r:id="journalLink2921"/>
    <hyperlink ref="P736" r:id="journalLink2922"/>
    <hyperlink ref="Q736" r:id="journalLink2923"/>
    <hyperlink ref="S736" r:id="journalLink2924"/>
    <hyperlink ref="U736" r:id="journalLink2925"/>
    <hyperlink ref="P737" r:id="journalLink2926"/>
    <hyperlink ref="Q737" r:id="journalLink2927"/>
    <hyperlink ref="S737" r:id="journalLink2928"/>
    <hyperlink ref="U737" r:id="journalLink2929"/>
    <hyperlink ref="P738" r:id="journalLink2930"/>
    <hyperlink ref="Q738" r:id="journalLink2931"/>
    <hyperlink ref="S738" r:id="journalLink2932"/>
    <hyperlink ref="U738" r:id="journalLink2933"/>
    <hyperlink ref="P739" r:id="journalLink2934"/>
    <hyperlink ref="Q739" r:id="journalLink2935"/>
    <hyperlink ref="S739" r:id="journalLink2936"/>
    <hyperlink ref="U739" r:id="journalLink2937"/>
    <hyperlink ref="P740" r:id="journalLink2938"/>
    <hyperlink ref="Q740" r:id="journalLink2939"/>
    <hyperlink ref="S740" r:id="journalLink2940"/>
    <hyperlink ref="U740" r:id="journalLink2941"/>
    <hyperlink ref="P741" r:id="journalLink2942"/>
    <hyperlink ref="Q741" r:id="journalLink2943"/>
    <hyperlink ref="S741" r:id="journalLink2944"/>
    <hyperlink ref="U741" r:id="journalLink2945"/>
    <hyperlink ref="P742" r:id="journalLink2946"/>
    <hyperlink ref="Q742" r:id="journalLink2947"/>
    <hyperlink ref="S742" r:id="journalLink2948"/>
    <hyperlink ref="U742" r:id="journalLink2949"/>
    <hyperlink ref="P743" r:id="journalLink2950"/>
    <hyperlink ref="Q743" r:id="journalLink2951"/>
    <hyperlink ref="S743" r:id="journalLink2952"/>
    <hyperlink ref="U743" r:id="journalLink2953"/>
    <hyperlink ref="P744" r:id="journalLink2954"/>
    <hyperlink ref="Q744" r:id="journalLink2955"/>
    <hyperlink ref="S744" r:id="journalLink2956"/>
    <hyperlink ref="U744" r:id="journalLink2957"/>
    <hyperlink ref="P745" r:id="journalLink2958"/>
    <hyperlink ref="Q745" r:id="journalLink2959"/>
    <hyperlink ref="S745" r:id="journalLink2960"/>
    <hyperlink ref="U745" r:id="journalLink2961"/>
    <hyperlink ref="P746" r:id="journalLink2962"/>
    <hyperlink ref="Q746" r:id="journalLink2963"/>
    <hyperlink ref="S746" r:id="journalLink2964"/>
    <hyperlink ref="U746" r:id="journalLink2965"/>
    <hyperlink ref="P747" r:id="journalLink2966"/>
    <hyperlink ref="Q747" r:id="journalLink2967"/>
    <hyperlink ref="S747" r:id="journalLink2968"/>
    <hyperlink ref="U747" r:id="journalLink2969"/>
    <hyperlink ref="P748" r:id="journalLink2970"/>
    <hyperlink ref="Q748" r:id="journalLink2971"/>
    <hyperlink ref="S748" r:id="journalLink2972"/>
    <hyperlink ref="U748" r:id="journalLink2973"/>
    <hyperlink ref="P749" r:id="journalLink2974"/>
    <hyperlink ref="Q749" r:id="journalLink2975"/>
    <hyperlink ref="S749" r:id="journalLink2976"/>
    <hyperlink ref="U749" r:id="journalLink2977"/>
    <hyperlink ref="P750" r:id="journalLink2978"/>
    <hyperlink ref="Q750" r:id="journalLink2979"/>
    <hyperlink ref="S750" r:id="journalLink2980"/>
    <hyperlink ref="U750" r:id="journalLink2981"/>
    <hyperlink ref="P751" r:id="journalLink2982"/>
    <hyperlink ref="Q751" r:id="journalLink2983"/>
    <hyperlink ref="S751" r:id="journalLink2984"/>
    <hyperlink ref="U751" r:id="journalLink2985"/>
    <hyperlink ref="P752" r:id="journalLink2986"/>
    <hyperlink ref="Q752" r:id="journalLink2987"/>
    <hyperlink ref="S752" r:id="journalLink2988"/>
    <hyperlink ref="U752" r:id="journalLink2989"/>
    <hyperlink ref="P753" r:id="journalLink2990"/>
    <hyperlink ref="Q753" r:id="journalLink2991"/>
    <hyperlink ref="S753" r:id="journalLink2992"/>
    <hyperlink ref="U753" r:id="journalLink2993"/>
    <hyperlink ref="P754" r:id="journalLink2994"/>
    <hyperlink ref="Q754" r:id="journalLink2995"/>
    <hyperlink ref="S754" r:id="journalLink2996"/>
    <hyperlink ref="U754" r:id="journalLink2997"/>
    <hyperlink ref="P755" r:id="journalLink2998"/>
    <hyperlink ref="Q755" r:id="journalLink2999"/>
    <hyperlink ref="S755" r:id="journalLink3000"/>
    <hyperlink ref="U755" r:id="journalLink3001"/>
    <hyperlink ref="P756" r:id="journalLink3002"/>
    <hyperlink ref="Q756" r:id="journalLink3003"/>
    <hyperlink ref="S756" r:id="journalLink3004"/>
    <hyperlink ref="U756" r:id="journalLink3005"/>
    <hyperlink ref="P757" r:id="journalLink3006"/>
    <hyperlink ref="Q757" r:id="journalLink3007"/>
    <hyperlink ref="S757" r:id="journalLink3008"/>
    <hyperlink ref="U757" r:id="journalLink3009"/>
    <hyperlink ref="P758" r:id="journalLink3010"/>
    <hyperlink ref="Q758" r:id="journalLink3011"/>
    <hyperlink ref="S758" r:id="journalLink3012"/>
    <hyperlink ref="U758" r:id="journalLink3013"/>
    <hyperlink ref="P759" r:id="journalLink3014"/>
    <hyperlink ref="Q759" r:id="journalLink3015"/>
    <hyperlink ref="S759" r:id="journalLink3016"/>
    <hyperlink ref="U759" r:id="journalLink3017"/>
    <hyperlink ref="P760" r:id="journalLink3018"/>
    <hyperlink ref="Q760" r:id="journalLink3019"/>
    <hyperlink ref="S760" r:id="journalLink3020"/>
    <hyperlink ref="U760" r:id="journalLink3021"/>
    <hyperlink ref="P761" r:id="journalLink3022"/>
    <hyperlink ref="Q761" r:id="journalLink3023"/>
    <hyperlink ref="S761" r:id="journalLink3024"/>
    <hyperlink ref="U761" r:id="journalLink3025"/>
    <hyperlink ref="P762" r:id="journalLink3026"/>
    <hyperlink ref="Q762" r:id="journalLink3027"/>
    <hyperlink ref="S762" r:id="journalLink3028"/>
    <hyperlink ref="U762" r:id="journalLink3029"/>
    <hyperlink ref="P763" r:id="journalLink3030"/>
    <hyperlink ref="Q763" r:id="journalLink3031"/>
    <hyperlink ref="S763" r:id="journalLink3032"/>
    <hyperlink ref="U763" r:id="journalLink3033"/>
    <hyperlink ref="P764" r:id="journalLink3034"/>
    <hyperlink ref="Q764" r:id="journalLink3035"/>
    <hyperlink ref="S764" r:id="journalLink3036"/>
    <hyperlink ref="U764" r:id="journalLink3037"/>
    <hyperlink ref="P765" r:id="journalLink3038"/>
    <hyperlink ref="Q765" r:id="journalLink3039"/>
    <hyperlink ref="S765" r:id="journalLink3040"/>
    <hyperlink ref="U765" r:id="journalLink3041"/>
    <hyperlink ref="P766" r:id="journalLink3042"/>
    <hyperlink ref="Q766" r:id="journalLink3043"/>
    <hyperlink ref="S766" r:id="journalLink3044"/>
    <hyperlink ref="U766" r:id="journalLink3045"/>
    <hyperlink ref="P767" r:id="journalLink3046"/>
    <hyperlink ref="Q767" r:id="journalLink3047"/>
    <hyperlink ref="S767" r:id="journalLink3048"/>
    <hyperlink ref="U767" r:id="journalLink3049"/>
    <hyperlink ref="P768" r:id="journalLink3050"/>
    <hyperlink ref="Q768" r:id="journalLink3051"/>
    <hyperlink ref="S768" r:id="journalLink3052"/>
    <hyperlink ref="U768" r:id="journalLink3053"/>
    <hyperlink ref="P769" r:id="journalLink3054"/>
    <hyperlink ref="Q769" r:id="journalLink3055"/>
    <hyperlink ref="S769" r:id="journalLink3056"/>
    <hyperlink ref="U769" r:id="journalLink3057"/>
    <hyperlink ref="P770" r:id="journalLink3058"/>
    <hyperlink ref="Q770" r:id="journalLink3059"/>
    <hyperlink ref="S770" r:id="journalLink3060"/>
    <hyperlink ref="U770" r:id="journalLink3061"/>
    <hyperlink ref="P771" r:id="journalLink3062"/>
    <hyperlink ref="Q771" r:id="journalLink3063"/>
    <hyperlink ref="S771" r:id="journalLink3064"/>
    <hyperlink ref="U771" r:id="journalLink3065"/>
    <hyperlink ref="P772" r:id="journalLink3066"/>
    <hyperlink ref="Q772" r:id="journalLink3067"/>
    <hyperlink ref="S772" r:id="journalLink3068"/>
    <hyperlink ref="U772" r:id="journalLink3069"/>
    <hyperlink ref="P773" r:id="journalLink3070"/>
    <hyperlink ref="Q773" r:id="journalLink3071"/>
    <hyperlink ref="S773" r:id="journalLink3072"/>
    <hyperlink ref="U773" r:id="journalLink3073"/>
    <hyperlink ref="P774" r:id="journalLink3074"/>
    <hyperlink ref="Q774" r:id="journalLink3075"/>
    <hyperlink ref="S774" r:id="journalLink3076"/>
    <hyperlink ref="U774" r:id="journalLink3077"/>
    <hyperlink ref="P775" r:id="journalLink3078"/>
    <hyperlink ref="Q775" r:id="journalLink3079"/>
    <hyperlink ref="S775" r:id="journalLink3080"/>
    <hyperlink ref="U775" r:id="journalLink3081"/>
    <hyperlink ref="P776" r:id="journalLink3082"/>
    <hyperlink ref="Q776" r:id="journalLink3083"/>
    <hyperlink ref="S776" r:id="journalLink3084"/>
    <hyperlink ref="U776" r:id="journalLink3085"/>
    <hyperlink ref="P777" r:id="journalLink3086"/>
    <hyperlink ref="Q777" r:id="journalLink3087"/>
    <hyperlink ref="S777" r:id="journalLink3088"/>
    <hyperlink ref="U777" r:id="journalLink3089"/>
    <hyperlink ref="P778" r:id="journalLink3090"/>
    <hyperlink ref="Q778" r:id="journalLink3091"/>
    <hyperlink ref="S778" r:id="journalLink3092"/>
    <hyperlink ref="U778" r:id="journalLink3093"/>
    <hyperlink ref="P779" r:id="journalLink3094"/>
    <hyperlink ref="Q779" r:id="journalLink3095"/>
    <hyperlink ref="S779" r:id="journalLink3096"/>
    <hyperlink ref="U779" r:id="journalLink3097"/>
    <hyperlink ref="P780" r:id="journalLink3098"/>
    <hyperlink ref="Q780" r:id="journalLink3099"/>
    <hyperlink ref="S780" r:id="journalLink3100"/>
    <hyperlink ref="U780" r:id="journalLink3101"/>
  </hyperlinks>
  <pageMargins left="0.7" right="0.7" top="0.75" bottom="0.75" header="0.3" footer="0.3"/>
  <tableParts count="1">
    <tablePart r:id="Rbdc102b7746b4c30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45C46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45" hidden="0" customWidth="1"/>
    <col min="2" max="2" width="29" hidden="0" customWidth="1"/>
    <col min="3" max="3" width="17" hidden="0" customWidth="1"/>
    <col min="4" max="4" width="17" hidden="0" customWidth="1"/>
    <col min="5" max="5" width="14" hidden="0" customWidth="1"/>
    <col min="6" max="6" width="14" hidden="0" customWidth="1"/>
    <col min="7" max="7" width="40" hidden="0" customWidth="1"/>
    <col min="8" max="8" width="24" hidden="0" customWidth="1"/>
    <col min="9" max="9" width="21" hidden="0" customWidth="1"/>
    <col min="10" max="10" width="19" hidden="0" customWidth="1"/>
    <col min="11" max="11" width="35" hidden="0" customWidth="1"/>
    <col min="12" max="12" width="19" hidden="0" customWidth="1"/>
    <col min="13" max="13" width="68" hidden="0" customWidth="1"/>
    <col min="14" max="14" width="42" hidden="0" customWidth="1"/>
    <col min="15" max="15" width="22" hidden="0" customWidth="1"/>
  </cols>
  <sheetData>
    <row r="1" ht="34" customHeight="1">
      <c r="A1" s="19" t="str">
        <v>中文期刊名称</v>
      </c>
      <c r="B1" s="19" t="str">
        <v>研究方向</v>
      </c>
      <c r="C1" s="19" t="str">
        <v>复合影响因子</v>
      </c>
      <c r="D1" s="19" t="str">
        <v>综合影响因子</v>
      </c>
      <c r="E1" s="19" t="str">
        <v>指标统计年</v>
      </c>
      <c r="F1" s="19" t="str">
        <v>年报版本年</v>
      </c>
      <c r="G1" s="19" t="str">
        <v>指标口径</v>
      </c>
      <c r="H1" s="19" t="str">
        <v>中科院分区</v>
      </c>
      <c r="I1" s="19" t="str">
        <v>核对状态</v>
      </c>
      <c r="J1" s="19" t="str">
        <v>年报PDF页码</v>
      </c>
      <c r="K1" s="19" t="str">
        <v>备注</v>
      </c>
      <c r="L1" s="19" t="str">
        <v>数据来源</v>
      </c>
      <c r="M1" s="19" t="str">
        <v>官网网址</v>
      </c>
      <c r="N1" s="19" t="str">
        <v>官网核对状态</v>
      </c>
      <c r="O1" s="19" t="str">
        <v>官网来源</v>
      </c>
    </row>
    <row r="2" ht="30" customHeight="1">
      <c r="A2" s="7" t="str">
        <v>中国科学:生命科学</v>
      </c>
      <c r="B2" s="7" t="str">
        <v>综合与生命科学</v>
      </c>
      <c r="C2" s="21" t="n">
        <v>3.085</v>
      </c>
      <c r="D2" s="21" t="n">
        <v>2.018</v>
      </c>
      <c r="E2" s="13" t="n">
        <v>2024</v>
      </c>
      <c r="F2" s="13" t="n">
        <v>2025</v>
      </c>
      <c r="G2" s="2" t="str">
        <v>国内年报口径；不与JIF混排</v>
      </c>
      <c r="H2" s="2" t="str">
        <v>不按此口径列示</v>
      </c>
      <c r="I2" s="2" t="str">
        <v>已提取2025版原表</v>
      </c>
      <c r="J2" s="10" t="n">
        <v>54</v>
      </c>
      <c r="K2" s="2" t="str">
        <v>2025版年报统计年为2024。</v>
      </c>
      <c r="L2" s="14" t="str">
        <v>年报原页</v>
      </c>
      <c r="M2" s="14" t="str">
        <v>https://www.sciengine.com/SSV/home</v>
      </c>
      <c r="N2" s="7" t="str">
        <v>期刊/主办方官方入口匹配</v>
      </c>
      <c r="O2" s="2" t="str">
        <v>官网来源</v>
      </c>
    </row>
    <row r="3" ht="30" customHeight="1">
      <c r="A3" s="7" t="str">
        <v>科学通报</v>
      </c>
      <c r="B3" s="7" t="str">
        <v>综合与生命科学</v>
      </c>
      <c r="C3" s="21" t="n">
        <v>2.639</v>
      </c>
      <c r="D3" s="21" t="n">
        <v>1.839</v>
      </c>
      <c r="E3" s="13" t="n">
        <v>2024</v>
      </c>
      <c r="F3" s="13" t="n">
        <v>2025</v>
      </c>
      <c r="G3" s="2" t="str">
        <v>国内年报口径；不与JIF混排</v>
      </c>
      <c r="H3" s="2" t="str">
        <v>不按此口径列示</v>
      </c>
      <c r="I3" s="2" t="str">
        <v>已提取2025版原表</v>
      </c>
      <c r="J3" s="10" t="n">
        <v>32</v>
      </c>
      <c r="K3" s="2" t="str">
        <v>2025版年报统计年为2024。</v>
      </c>
      <c r="L3" s="14" t="str">
        <v>年报原页</v>
      </c>
      <c r="M3" s="14" t="str">
        <v>https://www.sciengine.com/CSB/home</v>
      </c>
      <c r="N3" s="7" t="str">
        <v>期刊/主办方官方入口匹配</v>
      </c>
      <c r="O3" s="2" t="str">
        <v>官网来源</v>
      </c>
    </row>
    <row r="4" ht="30" customHeight="1">
      <c r="A4" s="7" t="str">
        <v>生物工程学报</v>
      </c>
      <c r="B4" s="7" t="str">
        <v>综合与生命科学</v>
      </c>
      <c r="C4" s="21" t="n">
        <v>2.299</v>
      </c>
      <c r="D4" s="21" t="n">
        <v>1.26</v>
      </c>
      <c r="E4" s="13" t="n">
        <v>2024</v>
      </c>
      <c r="F4" s="13" t="n">
        <v>2025</v>
      </c>
      <c r="G4" s="2" t="str">
        <v>国内年报口径；不与JIF混排</v>
      </c>
      <c r="H4" s="2" t="str">
        <v>不按此口径列示</v>
      </c>
      <c r="I4" s="2" t="str">
        <v>已提取2025版原表</v>
      </c>
      <c r="J4" s="10" t="n">
        <v>55</v>
      </c>
      <c r="K4" s="2" t="str">
        <v>2025版年报统计年为2024。</v>
      </c>
      <c r="L4" s="14" t="str">
        <v>年报原页</v>
      </c>
      <c r="M4" s="14" t="str">
        <v>https://cjb.ijournals.cn/cjbcn/home</v>
      </c>
      <c r="N4" s="7" t="str">
        <v>期刊/主办方官方入口匹配</v>
      </c>
      <c r="O4" s="2" t="str">
        <v>官网来源</v>
      </c>
    </row>
    <row r="5" ht="30" customHeight="1">
      <c r="A5" s="7" t="str">
        <v>生物技术通报</v>
      </c>
      <c r="B5" s="7" t="str">
        <v>综合与生命科学</v>
      </c>
      <c r="C5" s="21" t="n">
        <v>2.623</v>
      </c>
      <c r="D5" s="21" t="n">
        <v>1.463</v>
      </c>
      <c r="E5" s="13" t="n">
        <v>2024</v>
      </c>
      <c r="F5" s="13" t="n">
        <v>2025</v>
      </c>
      <c r="G5" s="2" t="str">
        <v>国内年报口径；不与JIF混排</v>
      </c>
      <c r="H5" s="2" t="str">
        <v>不按此口径列示</v>
      </c>
      <c r="I5" s="2" t="str">
        <v>已提取2025版原表</v>
      </c>
      <c r="J5" s="10" t="n">
        <v>54</v>
      </c>
      <c r="K5" s="2" t="str">
        <v>2025版年报统计年为2024。</v>
      </c>
      <c r="L5" s="14" t="str">
        <v>年报原页</v>
      </c>
      <c r="M5" s="14" t="str">
        <v>https://biotech.aiijournal.com/CN/1002-5464/home.shtml</v>
      </c>
      <c r="N5" s="7" t="str">
        <v>期刊/出版平台页面检索核对</v>
      </c>
      <c r="O5" s="2" t="str">
        <v>官网来源</v>
      </c>
    </row>
    <row r="6" ht="30" customHeight="1">
      <c r="A6" s="7" t="str">
        <v>生物技术</v>
      </c>
      <c r="B6" s="7" t="str">
        <v>综合与生命科学</v>
      </c>
      <c r="C6" s="21" t="n">
        <v>0.597</v>
      </c>
      <c r="D6" s="21" t="n">
        <v>0.395</v>
      </c>
      <c r="E6" s="13" t="n">
        <v>2024</v>
      </c>
      <c r="F6" s="13" t="n">
        <v>2025</v>
      </c>
      <c r="G6" s="2" t="str">
        <v>国内年报口径；不与JIF混排</v>
      </c>
      <c r="H6" s="2" t="str">
        <v>不按此口径列示</v>
      </c>
      <c r="I6" s="2" t="str">
        <v>已提取2025版原表</v>
      </c>
      <c r="J6" s="10" t="n">
        <v>57</v>
      </c>
      <c r="K6" s="2" t="str">
        <v>2025版年报统计年为2024。</v>
      </c>
      <c r="L6" s="14" t="str">
        <v>年报原页</v>
      </c>
      <c r="M6" s="14" t="str">
        <v>https://swjs.cbpt.cnki.net/</v>
      </c>
      <c r="N6" s="7" t="str">
        <v>期刊/主办方官方入口匹配</v>
      </c>
      <c r="O6" s="2" t="str">
        <v>官网来源</v>
      </c>
    </row>
    <row r="7" ht="30" customHeight="1">
      <c r="A7" s="7" t="str">
        <v>生物技术进展</v>
      </c>
      <c r="B7" s="7" t="str">
        <v>综合与生命科学</v>
      </c>
      <c r="C7" s="21" t="n">
        <v>1.628</v>
      </c>
      <c r="D7" s="21" t="n">
        <v>1.155</v>
      </c>
      <c r="E7" s="13" t="n">
        <v>2024</v>
      </c>
      <c r="F7" s="13" t="n">
        <v>2025</v>
      </c>
      <c r="G7" s="2" t="str">
        <v>国内年报口径；不与JIF混排</v>
      </c>
      <c r="H7" s="2" t="str">
        <v>不按此口径列示</v>
      </c>
      <c r="I7" s="2" t="str">
        <v>已提取2025版原表</v>
      </c>
      <c r="J7" s="10" t="n">
        <v>55</v>
      </c>
      <c r="K7" s="2" t="str">
        <v>2025版年报统计年为2024。</v>
      </c>
      <c r="L7" s="14" t="str">
        <v>年报原页</v>
      </c>
      <c r="M7" s="14" t="str">
        <v>http://www.swjsjz.cn/</v>
      </c>
      <c r="N7" s="7" t="str">
        <v>期刊/主办方官方入口匹配</v>
      </c>
      <c r="O7" s="2" t="str">
        <v>官网来源</v>
      </c>
    </row>
    <row r="8" ht="30" customHeight="1">
      <c r="A8" s="7" t="str">
        <v>生物学杂志</v>
      </c>
      <c r="B8" s="7" t="str">
        <v>综合与生命科学</v>
      </c>
      <c r="C8" s="21" t="n">
        <v>1.532</v>
      </c>
      <c r="D8" s="21" t="n">
        <v>1.007</v>
      </c>
      <c r="E8" s="13" t="n">
        <v>2024</v>
      </c>
      <c r="F8" s="13" t="n">
        <v>2025</v>
      </c>
      <c r="G8" s="2" t="str">
        <v>国内年报口径；不与JIF混排</v>
      </c>
      <c r="H8" s="2" t="str">
        <v>不按此口径列示</v>
      </c>
      <c r="I8" s="2" t="str">
        <v>已提取2025版原表</v>
      </c>
      <c r="J8" s="10" t="n">
        <v>56</v>
      </c>
      <c r="K8" s="2" t="str">
        <v>2025版年报统计年为2024。</v>
      </c>
      <c r="L8" s="14" t="str">
        <v>年报原页</v>
      </c>
      <c r="M8" s="14" t="str">
        <v>http://www.swxzz.com/CN/1673-6141/home.shtml</v>
      </c>
      <c r="N8" s="7" t="str">
        <v>期刊/出版平台页面检索核对</v>
      </c>
      <c r="O8" s="2" t="str">
        <v>官网来源</v>
      </c>
    </row>
    <row r="9" ht="30" customHeight="1">
      <c r="A9" s="7" t="str">
        <v>生命科学</v>
      </c>
      <c r="B9" s="7" t="str">
        <v>综合与生命科学</v>
      </c>
      <c r="C9" s="21" t="n">
        <v>1.543</v>
      </c>
      <c r="D9" s="21" t="n">
        <v>0.962</v>
      </c>
      <c r="E9" s="13" t="n">
        <v>2024</v>
      </c>
      <c r="F9" s="13" t="n">
        <v>2025</v>
      </c>
      <c r="G9" s="2" t="str">
        <v>国内年报口径；不与JIF混排</v>
      </c>
      <c r="H9" s="2" t="str">
        <v>不按此口径列示</v>
      </c>
      <c r="I9" s="2" t="str">
        <v>已提取2025版原表</v>
      </c>
      <c r="J9" s="10" t="n">
        <v>55</v>
      </c>
      <c r="K9" s="2" t="str">
        <v>2025版年报统计年为2024。</v>
      </c>
      <c r="L9" s="14" t="str">
        <v>年报原页</v>
      </c>
      <c r="M9" s="14" t="str">
        <v>https://lifescience.sinh.ac.cn/</v>
      </c>
      <c r="N9" s="7" t="str">
        <v>期刊/出版平台页面检索核对</v>
      </c>
      <c r="O9" s="2" t="str">
        <v>官网来源</v>
      </c>
    </row>
    <row r="10" ht="30" customHeight="1">
      <c r="A10" s="7" t="str">
        <v>生命科学研究</v>
      </c>
      <c r="B10" s="7" t="str">
        <v>综合与生命科学</v>
      </c>
      <c r="C10" s="21" t="n">
        <v>1.021</v>
      </c>
      <c r="D10" s="21" t="n">
        <v>0.573</v>
      </c>
      <c r="E10" s="13" t="n">
        <v>2024</v>
      </c>
      <c r="F10" s="13" t="n">
        <v>2025</v>
      </c>
      <c r="G10" s="2" t="str">
        <v>国内年报口径；不与JIF混排</v>
      </c>
      <c r="H10" s="2" t="str">
        <v>不按此口径列示</v>
      </c>
      <c r="I10" s="2" t="str">
        <v>已提取2025版原表</v>
      </c>
      <c r="J10" s="10" t="n">
        <v>56</v>
      </c>
      <c r="K10" s="2" t="str">
        <v>2025版年报统计年为2024。</v>
      </c>
      <c r="L10" s="14" t="str">
        <v>年报原页</v>
      </c>
      <c r="M10" s="14" t="str">
        <v>https://smkx.hunnu.edu.cn/CN/home</v>
      </c>
      <c r="N10" s="7" t="str">
        <v>期刊/主办方官方入口匹配</v>
      </c>
      <c r="O10" s="2" t="str">
        <v>官网来源</v>
      </c>
    </row>
    <row r="11" ht="30" customHeight="1">
      <c r="A11" s="7" t="str">
        <v>遗传</v>
      </c>
      <c r="B11" s="7" t="str">
        <v>综合与生命科学</v>
      </c>
      <c r="C11" s="21" t="n">
        <v>1.552</v>
      </c>
      <c r="D11" s="21" t="n">
        <v>0.969</v>
      </c>
      <c r="E11" s="13" t="n">
        <v>2024</v>
      </c>
      <c r="F11" s="13" t="n">
        <v>2025</v>
      </c>
      <c r="G11" s="2" t="str">
        <v>国内年报口径；不与JIF混排</v>
      </c>
      <c r="H11" s="2" t="str">
        <v>不按此口径列示</v>
      </c>
      <c r="I11" s="2" t="str">
        <v>已提取2025版原表</v>
      </c>
      <c r="J11" s="10" t="n">
        <v>55</v>
      </c>
      <c r="K11" s="2" t="str">
        <v>2025版年报统计年为2024。</v>
      </c>
      <c r="L11" s="14" t="str">
        <v>年报原页</v>
      </c>
      <c r="M11" s="14" t="str">
        <v>https://www.chinagene.cn/CN/0253-9772/home.shtml</v>
      </c>
      <c r="N11" s="7" t="str">
        <v>期刊/出版平台页面检索核对</v>
      </c>
      <c r="O11" s="2" t="str">
        <v>官网来源</v>
      </c>
    </row>
    <row r="12" ht="30" customHeight="1">
      <c r="A12" s="7" t="str">
        <v>基因组学与应用生物学</v>
      </c>
      <c r="B12" s="7" t="str">
        <v>综合与生命科学</v>
      </c>
      <c r="C12" s="21" t="n">
        <v>0.916</v>
      </c>
      <c r="D12" s="21" t="n">
        <v>0.546</v>
      </c>
      <c r="E12" s="13" t="n">
        <v>2024</v>
      </c>
      <c r="F12" s="13" t="n">
        <v>2025</v>
      </c>
      <c r="G12" s="2" t="str">
        <v>国内年报口径；不与JIF混排</v>
      </c>
      <c r="H12" s="2" t="str">
        <v>不按此口径列示</v>
      </c>
      <c r="I12" s="2" t="str">
        <v>已提取2025版原表</v>
      </c>
      <c r="J12" s="10" t="n">
        <v>56</v>
      </c>
      <c r="K12" s="2" t="str">
        <v>2025版年报统计年为2024。</v>
      </c>
      <c r="L12" s="14" t="str">
        <v>年报原页</v>
      </c>
      <c r="M12" s="14" t="str">
        <v>https://cjournal.hep.com.cn/1674-568X/CN/home</v>
      </c>
      <c r="N12" s="7" t="str">
        <v>期刊/出版平台页面检索核对</v>
      </c>
      <c r="O12" s="2" t="str">
        <v>官网来源</v>
      </c>
    </row>
    <row r="13" ht="30" customHeight="1">
      <c r="A13" s="7" t="str">
        <v>中国生物化学与分子生物学报</v>
      </c>
      <c r="B13" s="7" t="str">
        <v>综合与生命科学</v>
      </c>
      <c r="C13" s="21" t="n">
        <v>1.348</v>
      </c>
      <c r="D13" s="21" t="n">
        <v>0.86</v>
      </c>
      <c r="E13" s="13" t="n">
        <v>2024</v>
      </c>
      <c r="F13" s="13" t="n">
        <v>2025</v>
      </c>
      <c r="G13" s="2" t="str">
        <v>国内年报口径；不与JIF混排</v>
      </c>
      <c r="H13" s="2" t="str">
        <v>不按此口径列示</v>
      </c>
      <c r="I13" s="2" t="str">
        <v>已提取2025版原表</v>
      </c>
      <c r="J13" s="10" t="n">
        <v>56</v>
      </c>
      <c r="K13" s="2" t="str">
        <v>2025版年报统计年为2024。</v>
      </c>
      <c r="L13" s="14" t="str">
        <v>年报原页</v>
      </c>
      <c r="M13" s="14" t="str">
        <v>http://cjbmb.bjmu.edu.cn/CN/current</v>
      </c>
      <c r="N13" s="7" t="str">
        <v>期刊/主办方官方入口匹配</v>
      </c>
      <c r="O13" s="2" t="str">
        <v>官网来源</v>
      </c>
    </row>
    <row r="14" ht="30" customHeight="1">
      <c r="A14" s="7" t="str">
        <v>生物化学与生物物理进展</v>
      </c>
      <c r="B14" s="7" t="str">
        <v>综合与生命科学</v>
      </c>
      <c r="C14" s="21" t="n">
        <v>1.211</v>
      </c>
      <c r="D14" s="21" t="n">
        <v>0.704</v>
      </c>
      <c r="E14" s="13" t="n">
        <v>2024</v>
      </c>
      <c r="F14" s="13" t="n">
        <v>2025</v>
      </c>
      <c r="G14" s="2" t="str">
        <v>国内年报口径；不与JIF混排</v>
      </c>
      <c r="H14" s="2" t="str">
        <v>不按此口径列示</v>
      </c>
      <c r="I14" s="2" t="str">
        <v>已提取2025版原表</v>
      </c>
      <c r="J14" s="10" t="n">
        <v>56</v>
      </c>
      <c r="K14" s="2" t="str">
        <v>2025版年报统计年为2024。</v>
      </c>
      <c r="L14" s="14" t="str">
        <v>年报原页</v>
      </c>
      <c r="M14" s="14" t="str">
        <v>https://www.pibb.ac.cn/</v>
      </c>
      <c r="N14" s="7" t="str">
        <v>期刊/出版平台页面检索核对</v>
      </c>
      <c r="O14" s="2" t="str">
        <v>官网来源</v>
      </c>
    </row>
    <row r="15" ht="30" customHeight="1">
      <c r="A15" s="7" t="str">
        <v>中国细胞生物学学报</v>
      </c>
      <c r="B15" s="7" t="str">
        <v>综合与生命科学</v>
      </c>
      <c r="C15" s="21" t="n">
        <v>0.97</v>
      </c>
      <c r="D15" s="21" t="n">
        <v>0.652</v>
      </c>
      <c r="E15" s="13" t="n">
        <v>2024</v>
      </c>
      <c r="F15" s="13" t="n">
        <v>2025</v>
      </c>
      <c r="G15" s="2" t="str">
        <v>国内年报口径；不与JIF混排</v>
      </c>
      <c r="H15" s="2" t="str">
        <v>不按此口径列示</v>
      </c>
      <c r="I15" s="2" t="str">
        <v>已提取2025版原表</v>
      </c>
      <c r="J15" s="10" t="n">
        <v>56</v>
      </c>
      <c r="K15" s="2" t="str">
        <v>2025版年报统计年为2024。</v>
      </c>
      <c r="L15" s="14" t="str">
        <v>年报原页</v>
      </c>
      <c r="M15" s="14" t="str">
        <v>https://www.cjcb.org/portal/dzyk.jsp</v>
      </c>
      <c r="N15" s="7" t="str">
        <v>期刊/主办方官方入口匹配</v>
      </c>
      <c r="O15" s="2" t="str">
        <v>官网来源</v>
      </c>
    </row>
    <row r="16" ht="30" customHeight="1">
      <c r="A16" s="7" t="str">
        <v>细胞与分子免疫学杂志</v>
      </c>
      <c r="B16" s="7" t="str">
        <v>综合与生命科学</v>
      </c>
      <c r="C16" s="21" t="n">
        <v>1.238</v>
      </c>
      <c r="D16" s="21" t="n">
        <v>0.94</v>
      </c>
      <c r="E16" s="13" t="n">
        <v>2024</v>
      </c>
      <c r="F16" s="13" t="n">
        <v>2025</v>
      </c>
      <c r="G16" s="2" t="str">
        <v>国内年报口径；不与JIF混排</v>
      </c>
      <c r="H16" s="2" t="str">
        <v>不按此口径列示</v>
      </c>
      <c r="I16" s="2" t="str">
        <v>已提取2025版原表</v>
      </c>
      <c r="J16" s="10" t="n">
        <v>71</v>
      </c>
      <c r="K16" s="2" t="str">
        <v>2025版年报统计年为2024。</v>
      </c>
      <c r="L16" s="14" t="str">
        <v>年报原页</v>
      </c>
      <c r="M16" s="14" t="str">
        <v>https://xbfm.cbpt.cnki.net/portal</v>
      </c>
      <c r="N16" s="7" t="str">
        <v>期刊/主办方官方入口匹配</v>
      </c>
      <c r="O16" s="2" t="str">
        <v>官网来源</v>
      </c>
    </row>
    <row r="17" ht="30" customHeight="1">
      <c r="A17" s="7" t="str">
        <v>合成生物学</v>
      </c>
      <c r="B17" s="7" t="str">
        <v>综合与生命科学</v>
      </c>
      <c r="C17" s="21" t="n">
        <v>1.623</v>
      </c>
      <c r="D17" s="21" t="n">
        <v>0.987</v>
      </c>
      <c r="E17" s="13" t="n">
        <v>2024</v>
      </c>
      <c r="F17" s="13" t="n">
        <v>2025</v>
      </c>
      <c r="G17" s="2" t="str">
        <v>国内年报口径；不与JIF混排</v>
      </c>
      <c r="H17" s="2" t="str">
        <v>不按此口径列示</v>
      </c>
      <c r="I17" s="2" t="str">
        <v>已提取2025版原表</v>
      </c>
      <c r="J17" s="10" t="n">
        <v>55</v>
      </c>
      <c r="K17" s="2" t="str">
        <v>2025版年报统计年为2024。</v>
      </c>
      <c r="L17" s="14" t="str">
        <v>年报原页</v>
      </c>
      <c r="M17" s="14" t="str">
        <v>https://www.synbioj.com/zh/home/</v>
      </c>
      <c r="N17" s="7" t="str">
        <v>期刊/主办方官方入口匹配</v>
      </c>
      <c r="O17" s="2" t="str">
        <v>官网来源</v>
      </c>
    </row>
    <row r="18" ht="30" customHeight="1">
      <c r="A18" s="7" t="str">
        <v>微生物学报</v>
      </c>
      <c r="B18" s="7" t="str">
        <v>综合与生命科学</v>
      </c>
      <c r="C18" s="21" t="n">
        <v>2.262</v>
      </c>
      <c r="D18" s="21" t="n">
        <v>1.324</v>
      </c>
      <c r="E18" s="13" t="n">
        <v>2024</v>
      </c>
      <c r="F18" s="13" t="n">
        <v>2025</v>
      </c>
      <c r="G18" s="2" t="str">
        <v>国内年报口径；不与JIF混排</v>
      </c>
      <c r="H18" s="2" t="str">
        <v>不按此口径列示</v>
      </c>
      <c r="I18" s="2" t="str">
        <v>已提取2025版原表</v>
      </c>
      <c r="J18" s="10" t="n">
        <v>55</v>
      </c>
      <c r="K18" s="2" t="str">
        <v>2025版年报统计年为2024。</v>
      </c>
      <c r="L18" s="14" t="str">
        <v>年报原页</v>
      </c>
      <c r="M18" s="14" t="str">
        <v>https://actamicro.ijournals.cn/actamicrocn/home</v>
      </c>
      <c r="N18" s="7" t="str">
        <v>期刊/出版平台页面检索核对</v>
      </c>
      <c r="O18" s="2" t="str">
        <v>官网来源</v>
      </c>
    </row>
    <row r="19" ht="30" customHeight="1">
      <c r="A19" s="7" t="str">
        <v>微生物学通报</v>
      </c>
      <c r="B19" s="7" t="str">
        <v>综合与生命科学</v>
      </c>
      <c r="C19" s="21" t="n">
        <v>2.801</v>
      </c>
      <c r="D19" s="21" t="n">
        <v>1.614</v>
      </c>
      <c r="E19" s="13" t="n">
        <v>2024</v>
      </c>
      <c r="F19" s="13" t="n">
        <v>2025</v>
      </c>
      <c r="G19" s="2" t="str">
        <v>国内年报口径；不与JIF混排</v>
      </c>
      <c r="H19" s="2" t="str">
        <v>不按此口径列示</v>
      </c>
      <c r="I19" s="2" t="str">
        <v>已提取2025版原表</v>
      </c>
      <c r="J19" s="10" t="n">
        <v>54</v>
      </c>
      <c r="K19" s="2" t="str">
        <v>2025版年报统计年为2024。</v>
      </c>
      <c r="L19" s="14" t="str">
        <v>年报原页</v>
      </c>
      <c r="M19" s="14" t="str">
        <v>https://wswxtb.ijournals.cn/wswxtbcn/home</v>
      </c>
      <c r="N19" s="7" t="str">
        <v>期刊/出版平台页面检索核对</v>
      </c>
      <c r="O19" s="2" t="str">
        <v>官网来源</v>
      </c>
    </row>
    <row r="20" ht="30" customHeight="1">
      <c r="A20" s="7" t="str">
        <v>微生物学杂志</v>
      </c>
      <c r="B20" s="7" t="str">
        <v>综合与生命科学</v>
      </c>
      <c r="C20" s="21" t="n">
        <v>1.719</v>
      </c>
      <c r="D20" s="21" t="n">
        <v>1.056</v>
      </c>
      <c r="E20" s="13" t="n">
        <v>2024</v>
      </c>
      <c r="F20" s="13" t="n">
        <v>2025</v>
      </c>
      <c r="G20" s="2" t="str">
        <v>国内年报口径；不与JIF混排</v>
      </c>
      <c r="H20" s="2" t="str">
        <v>不按此口径列示</v>
      </c>
      <c r="I20" s="2" t="str">
        <v>已提取2025版原表</v>
      </c>
      <c r="J20" s="10" t="n">
        <v>55</v>
      </c>
      <c r="K20" s="2" t="str">
        <v>2025版年报统计年为2024。</v>
      </c>
      <c r="L20" s="14" t="str">
        <v>年报原页</v>
      </c>
      <c r="M20" s="14" t="str">
        <v>http://wswx.cnjournals.com/ch/index.aspx</v>
      </c>
      <c r="N20" s="7" t="str">
        <v>期刊/主办方官方入口匹配</v>
      </c>
      <c r="O20" s="2" t="str">
        <v>官网来源</v>
      </c>
    </row>
    <row r="21" ht="30" customHeight="1">
      <c r="A21" s="7" t="str">
        <v>菌物学报</v>
      </c>
      <c r="B21" s="7" t="str">
        <v>综合与生命科学</v>
      </c>
      <c r="C21" s="21" t="n">
        <v>3.267</v>
      </c>
      <c r="D21" s="21" t="n">
        <v>2.435</v>
      </c>
      <c r="E21" s="13" t="n">
        <v>2024</v>
      </c>
      <c r="F21" s="13" t="n">
        <v>2025</v>
      </c>
      <c r="G21" s="2" t="str">
        <v>国内年报口径；不与JIF混排</v>
      </c>
      <c r="H21" s="2" t="str">
        <v>不按此口径列示</v>
      </c>
      <c r="I21" s="2" t="str">
        <v>已提取2025版原表</v>
      </c>
      <c r="J21" s="10" t="n">
        <v>54</v>
      </c>
      <c r="K21" s="2" t="str">
        <v>2025版年报统计年为2024。</v>
      </c>
      <c r="L21" s="14" t="str">
        <v>年报原页</v>
      </c>
      <c r="M21" s="14" t="str">
        <v>http://journals.im.ac.cn/jwxtcn/ch/index.aspx</v>
      </c>
      <c r="N21" s="7" t="str">
        <v>期刊/出版平台页面检索核对</v>
      </c>
      <c r="O21" s="2" t="str">
        <v>官网来源</v>
      </c>
    </row>
    <row r="22" ht="30" customHeight="1">
      <c r="A22" s="7" t="str">
        <v>菌物研究</v>
      </c>
      <c r="B22" s="7" t="str">
        <v>综合与生命科学</v>
      </c>
      <c r="C22" s="21" t="n">
        <v>3.955</v>
      </c>
      <c r="D22" s="21" t="n">
        <v>3.09</v>
      </c>
      <c r="E22" s="13" t="n">
        <v>2024</v>
      </c>
      <c r="F22" s="13" t="n">
        <v>2025</v>
      </c>
      <c r="G22" s="2" t="str">
        <v>国内年报口径；不与JIF混排</v>
      </c>
      <c r="H22" s="2" t="str">
        <v>不按此口径列示</v>
      </c>
      <c r="I22" s="2" t="str">
        <v>已提取2025版原表</v>
      </c>
      <c r="J22" s="10" t="n">
        <v>54</v>
      </c>
      <c r="K22" s="2" t="str">
        <v>2025版年报统计年为2024。</v>
      </c>
      <c r="L22" s="14" t="str">
        <v>年报原页</v>
      </c>
      <c r="M22" s="14" t="str">
        <v>http://journals.caass.org.cn/jwyj/CN/home</v>
      </c>
      <c r="N22" s="7" t="str">
        <v>期刊/出版平台页面检索核对</v>
      </c>
      <c r="O22" s="2" t="str">
        <v>官网来源</v>
      </c>
    </row>
    <row r="23" ht="30" customHeight="1">
      <c r="A23" s="7" t="str">
        <v>生物多样性</v>
      </c>
      <c r="B23" s="7" t="str">
        <v>综合与生命科学</v>
      </c>
      <c r="C23" s="21" t="n">
        <v>3.853</v>
      </c>
      <c r="D23" s="21" t="n">
        <v>2.746</v>
      </c>
      <c r="E23" s="13" t="n">
        <v>2024</v>
      </c>
      <c r="F23" s="13" t="n">
        <v>2025</v>
      </c>
      <c r="G23" s="2" t="str">
        <v>国内年报口径；不与JIF混排</v>
      </c>
      <c r="H23" s="2" t="str">
        <v>不按此口径列示</v>
      </c>
      <c r="I23" s="2" t="str">
        <v>已提取2025版原表</v>
      </c>
      <c r="J23" s="10" t="n">
        <v>54</v>
      </c>
      <c r="K23" s="2" t="str">
        <v>2025版年报统计年为2024。</v>
      </c>
      <c r="L23" s="14" t="str">
        <v>年报原页</v>
      </c>
      <c r="M23" s="14" t="str">
        <v>https://www.biodiversity-science.net/</v>
      </c>
      <c r="N23" s="7" t="str">
        <v>期刊/主办方官方入口匹配</v>
      </c>
      <c r="O23" s="2" t="str">
        <v>官网来源</v>
      </c>
    </row>
    <row r="24" ht="30" customHeight="1">
      <c r="A24" s="7" t="str">
        <v>植物学报</v>
      </c>
      <c r="B24" s="7" t="str">
        <v>综合与生命科学</v>
      </c>
      <c r="C24" s="21" t="n">
        <v>2.512</v>
      </c>
      <c r="D24" s="21" t="n">
        <v>1.661</v>
      </c>
      <c r="E24" s="13" t="n">
        <v>2024</v>
      </c>
      <c r="F24" s="13" t="n">
        <v>2025</v>
      </c>
      <c r="G24" s="2" t="str">
        <v>国内年报口径；不与JIF混排</v>
      </c>
      <c r="H24" s="2" t="str">
        <v>不按此口径列示</v>
      </c>
      <c r="I24" s="2" t="str">
        <v>已提取2025版原表</v>
      </c>
      <c r="J24" s="10" t="n">
        <v>55</v>
      </c>
      <c r="K24" s="2" t="str">
        <v>2025版年报统计年为2024。</v>
      </c>
      <c r="L24" s="14" t="str">
        <v>年报原页</v>
      </c>
      <c r="M24" s="14" t="str">
        <v>https://www.chinbullbotany.com/</v>
      </c>
      <c r="N24" s="7" t="str">
        <v>期刊/出版平台页面检索核对</v>
      </c>
      <c r="O24" s="2" t="str">
        <v>官网来源</v>
      </c>
    </row>
    <row r="25" ht="30" customHeight="1">
      <c r="A25" s="7" t="str">
        <v>植物生态学报</v>
      </c>
      <c r="B25" s="7" t="str">
        <v>综合与生命科学</v>
      </c>
      <c r="C25" s="21" t="n">
        <v>4.056</v>
      </c>
      <c r="D25" s="21" t="n">
        <v>2.485</v>
      </c>
      <c r="E25" s="13" t="n">
        <v>2024</v>
      </c>
      <c r="F25" s="13" t="n">
        <v>2025</v>
      </c>
      <c r="G25" s="2" t="str">
        <v>国内年报口径；不与JIF混排</v>
      </c>
      <c r="H25" s="2" t="str">
        <v>不按此口径列示</v>
      </c>
      <c r="I25" s="2" t="str">
        <v>已提取2025版原表</v>
      </c>
      <c r="J25" s="10" t="n">
        <v>54</v>
      </c>
      <c r="K25" s="2" t="str">
        <v>2025版年报统计年为2024。</v>
      </c>
      <c r="L25" s="14" t="str">
        <v>年报原页</v>
      </c>
      <c r="M25" s="14" t="str">
        <v>https://www.plant-ecology.com/</v>
      </c>
      <c r="N25" s="7" t="str">
        <v>期刊/主办方官方入口匹配</v>
      </c>
      <c r="O25" s="2" t="str">
        <v>官网来源</v>
      </c>
    </row>
    <row r="26" ht="30" customHeight="1">
      <c r="A26" s="7" t="str">
        <v>植物生理学报</v>
      </c>
      <c r="B26" s="7" t="str">
        <v>综合与生命科学</v>
      </c>
      <c r="C26" s="21" t="n">
        <v>2.974</v>
      </c>
      <c r="D26" s="21" t="n">
        <v>1.801</v>
      </c>
      <c r="E26" s="13" t="n">
        <v>2024</v>
      </c>
      <c r="F26" s="13" t="n">
        <v>2025</v>
      </c>
      <c r="G26" s="2" t="str">
        <v>国内年报口径；不与JIF混排</v>
      </c>
      <c r="H26" s="2" t="str">
        <v>不按此口径列示</v>
      </c>
      <c r="I26" s="2" t="str">
        <v>已提取2025版原表</v>
      </c>
      <c r="J26" s="10" t="n">
        <v>54</v>
      </c>
      <c r="K26" s="2" t="str">
        <v>2025版年报统计年为2024。</v>
      </c>
      <c r="L26" s="14" t="str">
        <v>年报原页</v>
      </c>
      <c r="M26" s="14" t="str">
        <v>https://www.sciengine.com/PPJ/home</v>
      </c>
      <c r="N26" s="7" t="str">
        <v>期刊/主办方官方入口匹配</v>
      </c>
      <c r="O26" s="2" t="str">
        <v>官网来源</v>
      </c>
    </row>
    <row r="27" ht="30" customHeight="1">
      <c r="A27" s="7" t="str">
        <v>植物科学学报</v>
      </c>
      <c r="B27" s="7" t="str">
        <v>综合与生命科学</v>
      </c>
      <c r="C27" s="21" t="n">
        <v>2.191</v>
      </c>
      <c r="D27" s="21" t="n">
        <v>1.422</v>
      </c>
      <c r="E27" s="13" t="n">
        <v>2024</v>
      </c>
      <c r="F27" s="13" t="n">
        <v>2025</v>
      </c>
      <c r="G27" s="2" t="str">
        <v>国内年报口径；不与JIF混排</v>
      </c>
      <c r="H27" s="2" t="str">
        <v>不按此口径列示</v>
      </c>
      <c r="I27" s="2" t="str">
        <v>已提取2025版原表</v>
      </c>
      <c r="J27" s="10" t="n">
        <v>55</v>
      </c>
      <c r="K27" s="2" t="str">
        <v>2025版年报统计年为2024。</v>
      </c>
      <c r="L27" s="14" t="str">
        <v>年报原页</v>
      </c>
      <c r="M27" s="14" t="str">
        <v>https://plantscience.cn/index.htm</v>
      </c>
      <c r="N27" s="7" t="str">
        <v>期刊/出版平台页面检索核对</v>
      </c>
      <c r="O27" s="2" t="str">
        <v>官网来源</v>
      </c>
    </row>
    <row r="28" ht="30" customHeight="1">
      <c r="A28" s="7" t="str">
        <v>西北植物学报</v>
      </c>
      <c r="B28" s="7" t="str">
        <v>综合与生命科学</v>
      </c>
      <c r="C28" s="21" t="n">
        <v>2.839</v>
      </c>
      <c r="D28" s="21" t="n">
        <v>1.93</v>
      </c>
      <c r="E28" s="13" t="n">
        <v>2024</v>
      </c>
      <c r="F28" s="13" t="n">
        <v>2025</v>
      </c>
      <c r="G28" s="2" t="str">
        <v>国内年报口径；不与JIF混排</v>
      </c>
      <c r="H28" s="2" t="str">
        <v>不按此口径列示</v>
      </c>
      <c r="I28" s="2" t="str">
        <v>已提取2025版原表</v>
      </c>
      <c r="J28" s="10" t="n">
        <v>54</v>
      </c>
      <c r="K28" s="2" t="str">
        <v>2025版年报统计年为2024。</v>
      </c>
      <c r="L28" s="14" t="str">
        <v>年报原页</v>
      </c>
      <c r="M28" s="14" t="str">
        <v>http://xbzwxb.alljournal.net/xbzwxb/home</v>
      </c>
      <c r="N28" s="7" t="str">
        <v>期刊/出版平台页面检索核对</v>
      </c>
      <c r="O28" s="2" t="str">
        <v>官网来源</v>
      </c>
    </row>
    <row r="29" ht="30" customHeight="1">
      <c r="A29" s="7" t="str">
        <v>热带亚热带植物学报</v>
      </c>
      <c r="B29" s="7" t="str">
        <v>综合与生命科学</v>
      </c>
      <c r="C29" s="21" t="n">
        <v>2.157</v>
      </c>
      <c r="D29" s="21" t="n">
        <v>1.221</v>
      </c>
      <c r="E29" s="13" t="n">
        <v>2024</v>
      </c>
      <c r="F29" s="13" t="n">
        <v>2025</v>
      </c>
      <c r="G29" s="2" t="str">
        <v>国内年报口径；不与JIF混排</v>
      </c>
      <c r="H29" s="2" t="str">
        <v>不按此口径列示</v>
      </c>
      <c r="I29" s="2" t="str">
        <v>已提取2025版原表</v>
      </c>
      <c r="J29" s="10" t="n">
        <v>55</v>
      </c>
      <c r="K29" s="2" t="str">
        <v>2025版年报统计年为2024。</v>
      </c>
      <c r="L29" s="14" t="str">
        <v>年报原页</v>
      </c>
      <c r="M29" s="14" t="str">
        <v>https://www.integrativebiology.ac.cn/jotasb/CN/home</v>
      </c>
      <c r="N29" s="7" t="str">
        <v>期刊/出版平台页面检索核对</v>
      </c>
      <c r="O29" s="2" t="str">
        <v>官网来源</v>
      </c>
    </row>
    <row r="30" ht="30" customHeight="1">
      <c r="A30" s="7" t="str">
        <v>广西植物</v>
      </c>
      <c r="B30" s="7" t="str">
        <v>综合与生命科学</v>
      </c>
      <c r="C30" s="21" t="n">
        <v>2.132</v>
      </c>
      <c r="D30" s="21" t="n">
        <v>1.342</v>
      </c>
      <c r="E30" s="13" t="n">
        <v>2024</v>
      </c>
      <c r="F30" s="13" t="n">
        <v>2025</v>
      </c>
      <c r="G30" s="2" t="str">
        <v>国内年报口径；不与JIF混排</v>
      </c>
      <c r="H30" s="2" t="str">
        <v>不按此口径列示</v>
      </c>
      <c r="I30" s="2" t="str">
        <v>已提取2025版原表</v>
      </c>
      <c r="J30" s="10" t="n">
        <v>55</v>
      </c>
      <c r="K30" s="2" t="str">
        <v>2025版年报统计年为2024。</v>
      </c>
      <c r="L30" s="14" t="str">
        <v>年报原页</v>
      </c>
      <c r="M30" s="14" t="str">
        <v>https://gxzw.ijournals.cn/gxzw/ch/index.aspx</v>
      </c>
      <c r="N30" s="7" t="str">
        <v>期刊/主办方官方入口匹配</v>
      </c>
      <c r="O30" s="2" t="str">
        <v>官网来源</v>
      </c>
    </row>
    <row r="31" ht="30" customHeight="1">
      <c r="A31" s="7" t="str">
        <v>植物研究</v>
      </c>
      <c r="B31" s="7" t="str">
        <v>综合与生命科学</v>
      </c>
      <c r="C31" s="21" t="n">
        <v>2.088</v>
      </c>
      <c r="D31" s="21" t="n">
        <v>1.26</v>
      </c>
      <c r="E31" s="13" t="n">
        <v>2024</v>
      </c>
      <c r="F31" s="13" t="n">
        <v>2025</v>
      </c>
      <c r="G31" s="2" t="str">
        <v>国内年报口径；不与JIF混排</v>
      </c>
      <c r="H31" s="2" t="str">
        <v>不按此口径列示</v>
      </c>
      <c r="I31" s="2" t="str">
        <v>已提取2025版原表</v>
      </c>
      <c r="J31" s="10" t="n">
        <v>55</v>
      </c>
      <c r="K31" s="2" t="str">
        <v>2025版年报统计年为2024。</v>
      </c>
      <c r="L31" s="14" t="str">
        <v>年报原页</v>
      </c>
      <c r="M31" s="14" t="str">
        <v>https://bbr.nefu.edu.cn/</v>
      </c>
      <c r="N31" s="7" t="str">
        <v>期刊/主办方官方入口匹配</v>
      </c>
      <c r="O31" s="2" t="str">
        <v>官网来源</v>
      </c>
    </row>
    <row r="32" ht="30" customHeight="1">
      <c r="A32" s="7" t="str">
        <v>植物资源与环境学报</v>
      </c>
      <c r="B32" s="7" t="str">
        <v>综合与生命科学</v>
      </c>
      <c r="C32" s="21" t="n">
        <v>2.669</v>
      </c>
      <c r="D32" s="21" t="n">
        <v>1.921</v>
      </c>
      <c r="E32" s="13" t="n">
        <v>2024</v>
      </c>
      <c r="F32" s="13" t="n">
        <v>2025</v>
      </c>
      <c r="G32" s="2" t="str">
        <v>国内年报口径；不与JIF混排</v>
      </c>
      <c r="H32" s="2" t="str">
        <v>不按此口径列示</v>
      </c>
      <c r="I32" s="2" t="str">
        <v>已提取2025版原表</v>
      </c>
      <c r="J32" s="10" t="n">
        <v>55</v>
      </c>
      <c r="K32" s="2" t="str">
        <v>2025版年报统计年为2024。</v>
      </c>
      <c r="L32" s="14" t="str">
        <v>年报原页</v>
      </c>
      <c r="M32" s="14" t="str">
        <v>https://zwzy.jib.ac.cn/</v>
      </c>
      <c r="N32" s="7" t="str">
        <v>期刊/出版平台页面检索核对</v>
      </c>
      <c r="O32" s="2" t="str">
        <v>官网来源</v>
      </c>
    </row>
    <row r="33" ht="30" customHeight="1">
      <c r="A33" s="7" t="str">
        <v>应用与环境生物学报</v>
      </c>
      <c r="B33" s="7" t="str">
        <v>综合与生命科学</v>
      </c>
      <c r="C33" s="21" t="n">
        <v>3.246</v>
      </c>
      <c r="D33" s="21" t="n">
        <v>1.793</v>
      </c>
      <c r="E33" s="13" t="n">
        <v>2024</v>
      </c>
      <c r="F33" s="13" t="n">
        <v>2025</v>
      </c>
      <c r="G33" s="2" t="str">
        <v>国内年报口径；不与JIF混排</v>
      </c>
      <c r="H33" s="2" t="str">
        <v>不按此口径列示</v>
      </c>
      <c r="I33" s="2" t="str">
        <v>已提取2025版原表</v>
      </c>
      <c r="J33" s="10" t="n">
        <v>54</v>
      </c>
      <c r="K33" s="2" t="str">
        <v>2025版年报统计年为2024。</v>
      </c>
      <c r="L33" s="14" t="str">
        <v>年报原页</v>
      </c>
      <c r="M33" s="14" t="str">
        <v>https://www.integrativebiology.ac.cn/yyyhjswxb/CN/current</v>
      </c>
      <c r="N33" s="7" t="str">
        <v>期刊/出版平台页面检索核对</v>
      </c>
      <c r="O33" s="2" t="str">
        <v>官网来源</v>
      </c>
    </row>
    <row r="34" ht="30" customHeight="1">
      <c r="A34" s="7" t="str">
        <v>动物学杂志</v>
      </c>
      <c r="B34" s="7" t="str">
        <v>综合与生命科学</v>
      </c>
      <c r="C34" s="21" t="n">
        <v>0.703</v>
      </c>
      <c r="D34" s="21" t="n">
        <v>0.573</v>
      </c>
      <c r="E34" s="13" t="n">
        <v>2024</v>
      </c>
      <c r="F34" s="13" t="n">
        <v>2025</v>
      </c>
      <c r="G34" s="2" t="str">
        <v>国内年报口径；不与JIF混排</v>
      </c>
      <c r="H34" s="2" t="str">
        <v>不按此口径列示</v>
      </c>
      <c r="I34" s="2" t="str">
        <v>已提取2025版原表</v>
      </c>
      <c r="J34" s="10" t="n">
        <v>56</v>
      </c>
      <c r="K34" s="2" t="str">
        <v>2025版年报统计年为2024。</v>
      </c>
      <c r="L34" s="14" t="str">
        <v>年报原页</v>
      </c>
      <c r="M34" s="14" t="str">
        <v>http://dwxzz.ioz.ac.cn/dwxb/home</v>
      </c>
      <c r="N34" s="7" t="str">
        <v>期刊/出版平台页面检索核对</v>
      </c>
      <c r="O34" s="2" t="str">
        <v>官网来源</v>
      </c>
    </row>
    <row r="35" ht="30" customHeight="1">
      <c r="A35" s="7" t="str">
        <v>兽类学报</v>
      </c>
      <c r="B35" s="7" t="str">
        <v>综合与生命科学</v>
      </c>
      <c r="C35" s="21" t="n">
        <v>2.02</v>
      </c>
      <c r="D35" s="21" t="n">
        <v>1.52</v>
      </c>
      <c r="E35" s="13" t="n">
        <v>2024</v>
      </c>
      <c r="F35" s="13" t="n">
        <v>2025</v>
      </c>
      <c r="G35" s="2" t="str">
        <v>国内年报口径；不与JIF混排</v>
      </c>
      <c r="H35" s="2" t="str">
        <v>不按此口径列示</v>
      </c>
      <c r="I35" s="2" t="str">
        <v>已提取2025版原表</v>
      </c>
      <c r="J35" s="10" t="n">
        <v>56</v>
      </c>
      <c r="K35" s="2" t="str">
        <v>2025版年报统计年为2024。</v>
      </c>
      <c r="L35" s="14" t="str">
        <v>年报原页</v>
      </c>
      <c r="M35" s="14" t="str">
        <v>https://www.mammal.cn/CN/1000-1050/home.shtml</v>
      </c>
      <c r="N35" s="7" t="str">
        <v>期刊/出版平台页面检索核对</v>
      </c>
      <c r="O35" s="2" t="str">
        <v>官网来源</v>
      </c>
    </row>
    <row r="36" ht="30" customHeight="1">
      <c r="A36" s="7" t="str">
        <v>四川动物</v>
      </c>
      <c r="B36" s="7" t="str">
        <v>综合与生命科学</v>
      </c>
      <c r="C36" s="21" t="n">
        <v>1.152</v>
      </c>
      <c r="D36" s="21" t="n">
        <v>0.848</v>
      </c>
      <c r="E36" s="13" t="n">
        <v>2024</v>
      </c>
      <c r="F36" s="13" t="n">
        <v>2025</v>
      </c>
      <c r="G36" s="2" t="str">
        <v>国内年报口径；不与JIF混排</v>
      </c>
      <c r="H36" s="2" t="str">
        <v>不按此口径列示</v>
      </c>
      <c r="I36" s="2" t="str">
        <v>已提取2025版原表</v>
      </c>
      <c r="J36" s="10" t="n">
        <v>56</v>
      </c>
      <c r="K36" s="2" t="str">
        <v>2025版年报统计年为2024。</v>
      </c>
      <c r="L36" s="14" t="str">
        <v>年报原页</v>
      </c>
      <c r="M36" s="14" t="str">
        <v>https://jourtrics.hep.com.cn/journal?journalId=1019598576195285312&amp;basicId=1</v>
      </c>
      <c r="N36" s="7" t="str">
        <v>期刊/出版平台页面检索核对</v>
      </c>
      <c r="O36" s="2" t="str">
        <v>官网来源</v>
      </c>
    </row>
    <row r="37" ht="30" customHeight="1">
      <c r="A37" s="7" t="str">
        <v>中国农业科学</v>
      </c>
      <c r="B37" s="7" t="str">
        <v>农学作物与种质</v>
      </c>
      <c r="C37" s="21" t="n">
        <v>3.958</v>
      </c>
      <c r="D37" s="21" t="n">
        <v>2.495</v>
      </c>
      <c r="E37" s="13" t="n">
        <v>2024</v>
      </c>
      <c r="F37" s="13" t="n">
        <v>2025</v>
      </c>
      <c r="G37" s="2" t="str">
        <v>国内年报口径；不与JIF混排</v>
      </c>
      <c r="H37" s="2" t="str">
        <v>不按此口径列示</v>
      </c>
      <c r="I37" s="2" t="str">
        <v>已提取2025版原表</v>
      </c>
      <c r="J37" s="10" t="n">
        <v>92</v>
      </c>
      <c r="K37" s="2" t="str">
        <v>2025版年报统计年为2024。</v>
      </c>
      <c r="L37" s="14" t="str">
        <v>年报原页</v>
      </c>
      <c r="M37" s="14" t="str">
        <v>https://www.chinaagrisci.com/CN/0578-1752/home.shtml</v>
      </c>
      <c r="N37" s="7" t="str">
        <v>期刊/主办方官方入口匹配</v>
      </c>
      <c r="O37" s="2" t="str">
        <v>官网来源</v>
      </c>
    </row>
    <row r="38" ht="30" customHeight="1">
      <c r="A38" s="7" t="str">
        <v>中国农学通报</v>
      </c>
      <c r="B38" s="7" t="str">
        <v>农学作物与种质</v>
      </c>
      <c r="C38" s="21" t="n">
        <v>2.077</v>
      </c>
      <c r="D38" s="21" t="n">
        <v>1.176</v>
      </c>
      <c r="E38" s="13" t="n">
        <v>2024</v>
      </c>
      <c r="F38" s="13" t="n">
        <v>2025</v>
      </c>
      <c r="G38" s="2" t="str">
        <v>国内年报口径；不与JIF混排</v>
      </c>
      <c r="H38" s="2" t="str">
        <v>不按此口径列示</v>
      </c>
      <c r="I38" s="2" t="str">
        <v>已提取2025版原表</v>
      </c>
      <c r="J38" s="10" t="n">
        <v>92</v>
      </c>
      <c r="K38" s="2" t="str">
        <v>2025版年报统计年为2024。</v>
      </c>
      <c r="L38" s="14" t="str">
        <v>年报原页</v>
      </c>
      <c r="M38" s="14" t="str">
        <v>https://www.casb.org.cn/</v>
      </c>
      <c r="N38" s="7" t="str">
        <v>期刊/主办方官方入口匹配</v>
      </c>
      <c r="O38" s="2" t="str">
        <v>官网来源</v>
      </c>
    </row>
    <row r="39" ht="30" customHeight="1">
      <c r="A39" s="7" t="str">
        <v>农业现代化研究</v>
      </c>
      <c r="B39" s="7" t="str">
        <v>农学作物与种质</v>
      </c>
      <c r="C39" s="21" t="n">
        <v>6.758</v>
      </c>
      <c r="D39" s="21" t="n">
        <v>3.815</v>
      </c>
      <c r="E39" s="13" t="n">
        <v>2024</v>
      </c>
      <c r="F39" s="13" t="n">
        <v>2025</v>
      </c>
      <c r="G39" s="2" t="str">
        <v>国内年报口径；不与JIF混排</v>
      </c>
      <c r="H39" s="2" t="str">
        <v>不按此口径列示</v>
      </c>
      <c r="I39" s="2" t="str">
        <v>已提取2025版原表</v>
      </c>
      <c r="J39" s="10" t="n">
        <v>92</v>
      </c>
      <c r="K39" s="2" t="str">
        <v>2025版年报统计年为2024。</v>
      </c>
      <c r="L39" s="14" t="str">
        <v>年报原页</v>
      </c>
      <c r="M39" s="14" t="str">
        <v>https://nyxdhyj.isa.ac.cn/</v>
      </c>
      <c r="N39" s="7" t="str">
        <v>期刊/出版平台页面检索核对</v>
      </c>
      <c r="O39" s="2" t="str">
        <v>官网来源</v>
      </c>
    </row>
    <row r="40" ht="30" customHeight="1">
      <c r="A40" s="7" t="str">
        <v>中国农业大学学报</v>
      </c>
      <c r="B40" s="7" t="str">
        <v>农学作物与种质</v>
      </c>
      <c r="C40" s="21" t="n">
        <v>4.406</v>
      </c>
      <c r="D40" s="21" t="n">
        <v>2.488</v>
      </c>
      <c r="E40" s="13" t="n">
        <v>2024</v>
      </c>
      <c r="F40" s="13" t="n">
        <v>2025</v>
      </c>
      <c r="G40" s="2" t="str">
        <v>国内年报口径；不与JIF混排</v>
      </c>
      <c r="H40" s="2" t="str">
        <v>不按此口径列示</v>
      </c>
      <c r="I40" s="2" t="str">
        <v>已提取2025版原表</v>
      </c>
      <c r="J40" s="10" t="n">
        <v>92</v>
      </c>
      <c r="K40" s="2" t="str">
        <v>2025版年报统计年为2024。</v>
      </c>
      <c r="L40" s="14" t="str">
        <v>年报原页</v>
      </c>
      <c r="M40" s="14" t="str">
        <v>https://cjournal.hep.com.cn/1007-4333/CN/home</v>
      </c>
      <c r="N40" s="7" t="str">
        <v>期刊/出版平台页面检索核对</v>
      </c>
      <c r="O40" s="2" t="str">
        <v>官网来源</v>
      </c>
    </row>
    <row r="41" ht="30" customHeight="1">
      <c r="A41" s="7" t="str">
        <v>南京农业大学学报</v>
      </c>
      <c r="B41" s="7" t="str">
        <v>农学作物与种质</v>
      </c>
      <c r="C41" s="21" t="n">
        <v>3.159</v>
      </c>
      <c r="D41" s="21" t="n">
        <v>1.955</v>
      </c>
      <c r="E41" s="13" t="n">
        <v>2024</v>
      </c>
      <c r="F41" s="13" t="n">
        <v>2025</v>
      </c>
      <c r="G41" s="2" t="str">
        <v>国内年报口径；不与JIF混排</v>
      </c>
      <c r="H41" s="2" t="str">
        <v>不按此口径列示</v>
      </c>
      <c r="I41" s="2" t="str">
        <v>已提取2025版原表</v>
      </c>
      <c r="J41" s="10" t="n">
        <v>93</v>
      </c>
      <c r="K41" s="2" t="str">
        <v>2025版年报统计年为2024。</v>
      </c>
      <c r="L41" s="14" t="str">
        <v>年报原页</v>
      </c>
      <c r="M41" s="14" t="str">
        <v>https://nauxb.njau.edu.cn/</v>
      </c>
      <c r="N41" s="7" t="str">
        <v>期刊/出版平台页面检索核对</v>
      </c>
      <c r="O41" s="2" t="str">
        <v>官网来源</v>
      </c>
    </row>
    <row r="42" ht="30" customHeight="1">
      <c r="A42" s="7" t="str">
        <v>华中农业大学学报</v>
      </c>
      <c r="B42" s="7" t="str">
        <v>农学作物与种质</v>
      </c>
      <c r="C42" s="21" t="n">
        <v>3.698</v>
      </c>
      <c r="D42" s="21" t="n">
        <v>2.188</v>
      </c>
      <c r="E42" s="13" t="n">
        <v>2024</v>
      </c>
      <c r="F42" s="13" t="n">
        <v>2025</v>
      </c>
      <c r="G42" s="2" t="str">
        <v>国内年报口径；不与JIF混排</v>
      </c>
      <c r="H42" s="2" t="str">
        <v>不按此口径列示</v>
      </c>
      <c r="I42" s="2" t="str">
        <v>已提取2025版原表</v>
      </c>
      <c r="J42" s="10" t="n">
        <v>93</v>
      </c>
      <c r="K42" s="2" t="str">
        <v>2025版年报统计年为2024。</v>
      </c>
      <c r="L42" s="14" t="str">
        <v>年报原页</v>
      </c>
      <c r="M42" s="14" t="str">
        <v>https://cjournal.hep.com.cn/1000-2421/CN/home</v>
      </c>
      <c r="N42" s="7" t="str">
        <v>期刊/出版平台页面检索核对</v>
      </c>
      <c r="O42" s="2" t="str">
        <v>官网来源</v>
      </c>
    </row>
    <row r="43" ht="30" customHeight="1">
      <c r="A43" s="7" t="str">
        <v>华南农业大学学报</v>
      </c>
      <c r="B43" s="7" t="str">
        <v>农学作物与种质</v>
      </c>
      <c r="C43" s="21" t="n">
        <v>2.68</v>
      </c>
      <c r="D43" s="21" t="n">
        <v>1.455</v>
      </c>
      <c r="E43" s="13" t="n">
        <v>2024</v>
      </c>
      <c r="F43" s="13" t="n">
        <v>2025</v>
      </c>
      <c r="G43" s="2" t="str">
        <v>国内年报口径；不与JIF混排</v>
      </c>
      <c r="H43" s="2" t="str">
        <v>不按此口径列示</v>
      </c>
      <c r="I43" s="2" t="str">
        <v>已提取2025版原表</v>
      </c>
      <c r="J43" s="10" t="n">
        <v>93</v>
      </c>
      <c r="K43" s="2" t="str">
        <v>2025版年报统计年为2024。</v>
      </c>
      <c r="L43" s="14" t="str">
        <v>年报原页</v>
      </c>
      <c r="M43" s="14" t="str">
        <v>https://journal.scau.edu.cn/</v>
      </c>
      <c r="N43" s="7" t="str">
        <v>期刊/出版平台页面检索核对</v>
      </c>
      <c r="O43" s="2" t="str">
        <v>官网来源</v>
      </c>
    </row>
    <row r="44" ht="30" customHeight="1">
      <c r="A44" s="7" t="str">
        <v>西北农林科技大学学报(自然科学版)</v>
      </c>
      <c r="B44" s="7" t="str">
        <v>农学作物与种质</v>
      </c>
      <c r="C44" s="21" t="n">
        <v>2.616</v>
      </c>
      <c r="D44" s="21" t="n">
        <v>1.539</v>
      </c>
      <c r="E44" s="13" t="n">
        <v>2024</v>
      </c>
      <c r="F44" s="13" t="n">
        <v>2025</v>
      </c>
      <c r="G44" s="2" t="str">
        <v>国内年报口径；不与JIF混排</v>
      </c>
      <c r="H44" s="2" t="str">
        <v>不按此口径列示</v>
      </c>
      <c r="I44" s="2" t="str">
        <v>已提取2025版原表</v>
      </c>
      <c r="J44" s="10" t="n">
        <v>92</v>
      </c>
      <c r="K44" s="2" t="str">
        <v>2025版年报统计年为2024。</v>
      </c>
      <c r="L44" s="14" t="str">
        <v>年报原页</v>
      </c>
      <c r="M44" s="14" t="str">
        <v>https://cjournal.hep.com.cn/1671-9387/CN/home</v>
      </c>
      <c r="N44" s="7" t="str">
        <v>期刊/出版平台页面检索核对</v>
      </c>
      <c r="O44" s="2" t="str">
        <v>官网来源</v>
      </c>
    </row>
    <row r="45" ht="30" customHeight="1">
      <c r="A45" s="7" t="str">
        <v>东北农业大学学报</v>
      </c>
      <c r="B45" s="7" t="str">
        <v>农学作物与种质</v>
      </c>
      <c r="C45" s="21" t="n">
        <v>2.681</v>
      </c>
      <c r="D45" s="21" t="n">
        <v>1.651</v>
      </c>
      <c r="E45" s="13" t="n">
        <v>2024</v>
      </c>
      <c r="F45" s="13" t="n">
        <v>2025</v>
      </c>
      <c r="G45" s="2" t="str">
        <v>国内年报口径；不与JIF混排</v>
      </c>
      <c r="H45" s="2" t="str">
        <v>不按此口径列示</v>
      </c>
      <c r="I45" s="2" t="str">
        <v>已提取2025版原表</v>
      </c>
      <c r="J45" s="10" t="n">
        <v>93</v>
      </c>
      <c r="K45" s="2" t="str">
        <v>2025版年报统计年为2024。</v>
      </c>
      <c r="L45" s="14" t="str">
        <v>年报原页</v>
      </c>
      <c r="M45" s="14" t="str">
        <v>https://www.dbdn.cbpt.cnki.net/WKD/WebPublication/index.aspx</v>
      </c>
      <c r="N45" s="7" t="str">
        <v>期刊/出版平台页面检索核对</v>
      </c>
      <c r="O45" s="2" t="str">
        <v>官网来源</v>
      </c>
    </row>
    <row r="46" ht="30" customHeight="1">
      <c r="A46" s="7" t="str">
        <v>沈阳农业大学学报</v>
      </c>
      <c r="B46" s="7" t="str">
        <v>农学作物与种质</v>
      </c>
      <c r="C46" s="21" t="n">
        <v>2.629</v>
      </c>
      <c r="D46" s="21" t="n">
        <v>1.876</v>
      </c>
      <c r="E46" s="13" t="n">
        <v>2024</v>
      </c>
      <c r="F46" s="13" t="n">
        <v>2025</v>
      </c>
      <c r="G46" s="2" t="str">
        <v>国内年报口径；不与JIF混排</v>
      </c>
      <c r="H46" s="2" t="str">
        <v>不按此口径列示</v>
      </c>
      <c r="I46" s="2" t="str">
        <v>已提取2025版原表</v>
      </c>
      <c r="J46" s="10" t="n">
        <v>93</v>
      </c>
      <c r="K46" s="2" t="str">
        <v>2025版年报统计年为2024。</v>
      </c>
      <c r="L46" s="14" t="str">
        <v>年报原页</v>
      </c>
      <c r="M46" s="14" t="str">
        <v>https://syny.cbpt.cnki.net/portal</v>
      </c>
      <c r="N46" s="7" t="str">
        <v>期刊/出版平台页面检索核对</v>
      </c>
      <c r="O46" s="2" t="str">
        <v>官网来源</v>
      </c>
    </row>
    <row r="47" ht="30" customHeight="1">
      <c r="A47" s="7" t="str">
        <v>河南农业大学学报</v>
      </c>
      <c r="B47" s="7" t="str">
        <v>农学作物与种质</v>
      </c>
      <c r="C47" s="21" t="n">
        <v>3.14</v>
      </c>
      <c r="D47" s="21" t="n">
        <v>1.901</v>
      </c>
      <c r="E47" s="13" t="n">
        <v>2024</v>
      </c>
      <c r="F47" s="13" t="n">
        <v>2025</v>
      </c>
      <c r="G47" s="2" t="str">
        <v>国内年报口径；不与JIF混排</v>
      </c>
      <c r="H47" s="2" t="str">
        <v>不按此口径列示</v>
      </c>
      <c r="I47" s="2" t="str">
        <v>已提取2025版原表</v>
      </c>
      <c r="J47" s="10" t="n">
        <v>93</v>
      </c>
      <c r="K47" s="2" t="str">
        <v>2025版年报统计年为2024。</v>
      </c>
      <c r="L47" s="14" t="str">
        <v>年报原页</v>
      </c>
      <c r="M47" s="14" t="str">
        <v>https://nnxb.cbpt.cnki.net/portal</v>
      </c>
      <c r="N47" s="7" t="str">
        <v>期刊/出版平台页面检索核对</v>
      </c>
      <c r="O47" s="2" t="str">
        <v>官网来源</v>
      </c>
    </row>
    <row r="48" ht="30" customHeight="1">
      <c r="A48" s="7" t="str">
        <v>湖南农业大学学报(自然科学版)</v>
      </c>
      <c r="B48" s="7" t="str">
        <v>农学作物与种质</v>
      </c>
      <c r="C48" s="21" t="n">
        <v>1.855</v>
      </c>
      <c r="D48" s="21" t="n">
        <v>1.2</v>
      </c>
      <c r="E48" s="13" t="n">
        <v>2024</v>
      </c>
      <c r="F48" s="13" t="n">
        <v>2025</v>
      </c>
      <c r="G48" s="2" t="str">
        <v>国内年报口径；不与JIF混排</v>
      </c>
      <c r="H48" s="2" t="str">
        <v>不按此口径列示</v>
      </c>
      <c r="I48" s="2" t="str">
        <v>已提取2025版原表</v>
      </c>
      <c r="J48" s="10" t="n">
        <v>93</v>
      </c>
      <c r="K48" s="2" t="str">
        <v>2025版年报统计年为2024。</v>
      </c>
      <c r="L48" s="14" t="str">
        <v>年报原页</v>
      </c>
      <c r="M48" s="14" t="str">
        <v>https://xb.hunau.edu.cn/hnndzr/ch/index.aspx</v>
      </c>
      <c r="N48" s="7" t="str">
        <v>期刊/主办方官方入口匹配</v>
      </c>
      <c r="O48" s="2" t="str">
        <v>官网来源</v>
      </c>
    </row>
    <row r="49" ht="30" customHeight="1">
      <c r="A49" s="7" t="str">
        <v>山东农业大学学报(自然科学版)</v>
      </c>
      <c r="B49" s="7" t="str">
        <v>农学作物与种质</v>
      </c>
      <c r="C49" s="21" t="n">
        <v>1.346</v>
      </c>
      <c r="D49" s="21" t="n">
        <v>0.857</v>
      </c>
      <c r="E49" s="13" t="n">
        <v>2024</v>
      </c>
      <c r="F49" s="13" t="n">
        <v>2025</v>
      </c>
      <c r="G49" s="2" t="str">
        <v>国内年报口径；不与JIF混排</v>
      </c>
      <c r="H49" s="2" t="str">
        <v>不按此口径列示</v>
      </c>
      <c r="I49" s="2" t="str">
        <v>已提取2025版原表</v>
      </c>
      <c r="J49" s="10" t="n">
        <v>94</v>
      </c>
      <c r="K49" s="2" t="str">
        <v>2025版年报统计年为2024。</v>
      </c>
      <c r="L49" s="14" t="str">
        <v>年报原页</v>
      </c>
      <c r="M49" s="14" t="str">
        <v>https://cjournal.hep.com.cn/1000-2324/CN/home</v>
      </c>
      <c r="N49" s="7" t="str">
        <v>期刊/出版平台页面检索核对</v>
      </c>
      <c r="O49" s="2" t="str">
        <v>官网来源</v>
      </c>
    </row>
    <row r="50" ht="30" customHeight="1">
      <c r="A50" s="7" t="str">
        <v>河北农业大学学报</v>
      </c>
      <c r="B50" s="7" t="str">
        <v>农学作物与种质</v>
      </c>
      <c r="C50" s="21" t="n">
        <v>1.776</v>
      </c>
      <c r="D50" s="21" t="n">
        <v>1.166</v>
      </c>
      <c r="E50" s="13" t="n">
        <v>2024</v>
      </c>
      <c r="F50" s="13" t="n">
        <v>2025</v>
      </c>
      <c r="G50" s="2" t="str">
        <v>国内年报口径；不与JIF混排</v>
      </c>
      <c r="H50" s="2" t="str">
        <v>不按此口径列示</v>
      </c>
      <c r="I50" s="2" t="str">
        <v>已提取2025版原表</v>
      </c>
      <c r="J50" s="10" t="n">
        <v>94</v>
      </c>
      <c r="K50" s="2" t="str">
        <v>2025版年报统计年为2024。</v>
      </c>
      <c r="L50" s="14" t="str">
        <v>年报原页</v>
      </c>
      <c r="M50" s="14" t="str">
        <v>https://hauxb.hebau.edu.cn/CN/home</v>
      </c>
      <c r="N50" s="7" t="str">
        <v>期刊/主办方官方入口匹配</v>
      </c>
      <c r="O50" s="2" t="str">
        <v>官网来源</v>
      </c>
    </row>
    <row r="51" ht="30" customHeight="1">
      <c r="A51" s="7" t="str">
        <v>吉林农业大学学报</v>
      </c>
      <c r="B51" s="7" t="str">
        <v>农学作物与种质</v>
      </c>
      <c r="C51" s="21" t="n">
        <v>4.424</v>
      </c>
      <c r="D51" s="21" t="n">
        <v>2.515</v>
      </c>
      <c r="E51" s="13" t="n">
        <v>2024</v>
      </c>
      <c r="F51" s="13" t="n">
        <v>2025</v>
      </c>
      <c r="G51" s="2" t="str">
        <v>国内年报口径；不与JIF混排</v>
      </c>
      <c r="H51" s="2" t="str">
        <v>不按此口径列示</v>
      </c>
      <c r="I51" s="2" t="str">
        <v>已提取2025版原表</v>
      </c>
      <c r="J51" s="10" t="n">
        <v>93</v>
      </c>
      <c r="K51" s="2" t="str">
        <v>2025版年报统计年为2024。</v>
      </c>
      <c r="L51" s="14" t="str">
        <v>年报原页</v>
      </c>
      <c r="M51" s="14" t="str">
        <v>http://journals.caass.org.cn/jlau/CN/home</v>
      </c>
      <c r="N51" s="7" t="str">
        <v>期刊/出版平台页面检索核对</v>
      </c>
      <c r="O51" s="2" t="str">
        <v>官网来源</v>
      </c>
    </row>
    <row r="52" ht="30" customHeight="1">
      <c r="A52" s="7" t="str">
        <v>江西农业大学学报</v>
      </c>
      <c r="B52" s="7" t="str">
        <v>农学作物与种质</v>
      </c>
      <c r="C52" s="21" t="n">
        <v>2.723</v>
      </c>
      <c r="D52" s="21" t="n">
        <v>1.77</v>
      </c>
      <c r="E52" s="13" t="n">
        <v>2024</v>
      </c>
      <c r="F52" s="13" t="n">
        <v>2025</v>
      </c>
      <c r="G52" s="2" t="str">
        <v>国内年报口径；不与JIF混排</v>
      </c>
      <c r="H52" s="2" t="str">
        <v>不按此口径列示</v>
      </c>
      <c r="I52" s="2" t="str">
        <v>已提取2025版原表</v>
      </c>
      <c r="J52" s="10" t="n">
        <v>93</v>
      </c>
      <c r="K52" s="2" t="str">
        <v>2025版年报统计年为2024。</v>
      </c>
      <c r="L52" s="14" t="str">
        <v>年报原页</v>
      </c>
      <c r="M52" s="14" t="str">
        <v>https://xuebao.jxau.edu.cn/xbgk/jxnydxxb.htm</v>
      </c>
      <c r="N52" s="7" t="str">
        <v>期刊/主办方官方入口匹配</v>
      </c>
      <c r="O52" s="2" t="str">
        <v>官网来源</v>
      </c>
    </row>
    <row r="53" ht="30" customHeight="1">
      <c r="A53" s="7" t="str">
        <v>安徽农业大学学报</v>
      </c>
      <c r="B53" s="7" t="str">
        <v>农学作物与种质</v>
      </c>
      <c r="C53" s="21" t="n">
        <v>1.72</v>
      </c>
      <c r="D53" s="21" t="n">
        <v>1.037</v>
      </c>
      <c r="E53" s="13" t="n">
        <v>2024</v>
      </c>
      <c r="F53" s="13" t="n">
        <v>2025</v>
      </c>
      <c r="G53" s="2" t="str">
        <v>国内年报口径；不与JIF混排</v>
      </c>
      <c r="H53" s="2" t="str">
        <v>不按此口径列示</v>
      </c>
      <c r="I53" s="2" t="str">
        <v>已提取2025版原表</v>
      </c>
      <c r="J53" s="10" t="n">
        <v>93</v>
      </c>
      <c r="K53" s="2" t="str">
        <v>2025版年报统计年为2024。</v>
      </c>
      <c r="L53" s="14" t="str">
        <v>年报原页</v>
      </c>
      <c r="M53" s="14" t="str">
        <v>https://ahnydxxb.ahau.edu.cn/ch/index.aspx</v>
      </c>
      <c r="N53" s="7" t="str">
        <v>期刊/主办方官方入口匹配</v>
      </c>
      <c r="O53" s="2" t="str">
        <v>官网来源</v>
      </c>
    </row>
    <row r="54" ht="30" customHeight="1">
      <c r="A54" s="7" t="str">
        <v>浙江农业学报</v>
      </c>
      <c r="B54" s="7" t="str">
        <v>农学作物与种质</v>
      </c>
      <c r="C54" s="21" t="n">
        <v>2.39</v>
      </c>
      <c r="D54" s="21" t="n">
        <v>1.463</v>
      </c>
      <c r="E54" s="13" t="n">
        <v>2024</v>
      </c>
      <c r="F54" s="13" t="n">
        <v>2025</v>
      </c>
      <c r="G54" s="2" t="str">
        <v>国内年报口径；不与JIF混排</v>
      </c>
      <c r="H54" s="2" t="str">
        <v>不按此口径列示</v>
      </c>
      <c r="I54" s="2" t="str">
        <v>已提取2025版原表</v>
      </c>
      <c r="J54" s="10" t="n">
        <v>93</v>
      </c>
      <c r="K54" s="2" t="str">
        <v>2025版年报统计年为2024。</v>
      </c>
      <c r="L54" s="14" t="str">
        <v>年报原页</v>
      </c>
      <c r="M54" s="14" t="str">
        <v>http://www.zjnyxb.cn/CN/1004-1524/home.shtml</v>
      </c>
      <c r="N54" s="7" t="str">
        <v>期刊/主办方官方入口匹配</v>
      </c>
      <c r="O54" s="2" t="str">
        <v>官网来源</v>
      </c>
    </row>
    <row r="55" ht="30" customHeight="1">
      <c r="A55" s="7" t="str">
        <v>浙江大学学报(农业与生命科学版)</v>
      </c>
      <c r="B55" s="7" t="str">
        <v>农学作物与种质</v>
      </c>
      <c r="C55" s="21" t="n">
        <v>2.006</v>
      </c>
      <c r="D55" s="21" t="n">
        <v>1.144</v>
      </c>
      <c r="E55" s="13" t="n">
        <v>2024</v>
      </c>
      <c r="F55" s="13" t="n">
        <v>2025</v>
      </c>
      <c r="G55" s="2" t="str">
        <v>国内年报口径；不与JIF混排</v>
      </c>
      <c r="H55" s="2" t="str">
        <v>不按此口径列示</v>
      </c>
      <c r="I55" s="2" t="str">
        <v>已提取2025版原表</v>
      </c>
      <c r="J55" s="10" t="n">
        <v>93</v>
      </c>
      <c r="K55" s="2" t="str">
        <v>2025版年报统计年为2024。</v>
      </c>
      <c r="L55" s="14" t="str">
        <v>年报原页</v>
      </c>
      <c r="M55" s="14" t="str">
        <v>https://jourtrics.hep.com.cn/journal?journalId=1019598576186896497&amp;basicId=1</v>
      </c>
      <c r="N55" s="7" t="str">
        <v>期刊/出版平台页面检索核对</v>
      </c>
      <c r="O55" s="2" t="str">
        <v>官网来源</v>
      </c>
    </row>
    <row r="56" ht="30" customHeight="1">
      <c r="A56" s="7" t="str">
        <v>西南农业学报</v>
      </c>
      <c r="B56" s="7" t="str">
        <v>农学作物与种质</v>
      </c>
      <c r="C56" s="21" t="n">
        <v>2.681</v>
      </c>
      <c r="D56" s="21" t="n">
        <v>1.748</v>
      </c>
      <c r="E56" s="13" t="n">
        <v>2024</v>
      </c>
      <c r="F56" s="13" t="n">
        <v>2025</v>
      </c>
      <c r="G56" s="2" t="str">
        <v>国内年报口径；不与JIF混排</v>
      </c>
      <c r="H56" s="2" t="str">
        <v>不按此口径列示</v>
      </c>
      <c r="I56" s="2" t="str">
        <v>已提取2025版原表</v>
      </c>
      <c r="J56" s="10" t="n">
        <v>93</v>
      </c>
      <c r="K56" s="2" t="str">
        <v>2025版年报统计年为2024。</v>
      </c>
      <c r="L56" s="14" t="str">
        <v>年报原页</v>
      </c>
      <c r="M56" s="14" t="str">
        <v>http://xnnyxb.paperonce.org/</v>
      </c>
      <c r="N56" s="7" t="str">
        <v>期刊/出版平台页面检索核对</v>
      </c>
      <c r="O56" s="2" t="str">
        <v>官网来源</v>
      </c>
    </row>
    <row r="57" ht="30" customHeight="1">
      <c r="A57" s="7" t="str">
        <v>华北农学报</v>
      </c>
      <c r="B57" s="7" t="str">
        <v>农学作物与种质</v>
      </c>
      <c r="C57" s="21" t="n">
        <v>2.04</v>
      </c>
      <c r="D57" s="21" t="n">
        <v>1.186</v>
      </c>
      <c r="E57" s="13" t="n">
        <v>2024</v>
      </c>
      <c r="F57" s="13" t="n">
        <v>2025</v>
      </c>
      <c r="G57" s="2" t="str">
        <v>国内年报口径；不与JIF混排</v>
      </c>
      <c r="H57" s="2" t="str">
        <v>不按此口径列示</v>
      </c>
      <c r="I57" s="2" t="str">
        <v>已提取2025版原表</v>
      </c>
      <c r="J57" s="10" t="n">
        <v>93</v>
      </c>
      <c r="K57" s="2" t="str">
        <v>2025版年报统计年为2024。</v>
      </c>
      <c r="L57" s="14" t="str">
        <v>年报原页</v>
      </c>
      <c r="M57" s="14" t="str">
        <v>http://www.hbnxb.net/CN/1000-7091/home.shtml</v>
      </c>
      <c r="N57" s="7" t="str">
        <v>期刊/出版平台页面检索核对</v>
      </c>
      <c r="O57" s="2" t="str">
        <v>官网来源</v>
      </c>
    </row>
    <row r="58" ht="30" customHeight="1">
      <c r="A58" s="7" t="str">
        <v>江苏农业学报</v>
      </c>
      <c r="B58" s="7" t="str">
        <v>农学作物与种质</v>
      </c>
      <c r="C58" s="21" t="n">
        <v>2.648</v>
      </c>
      <c r="D58" s="21" t="n">
        <v>1.932</v>
      </c>
      <c r="E58" s="13" t="n">
        <v>2024</v>
      </c>
      <c r="F58" s="13" t="n">
        <v>2025</v>
      </c>
      <c r="G58" s="2" t="str">
        <v>国内年报口径；不与JIF混排</v>
      </c>
      <c r="H58" s="2" t="str">
        <v>不按此口径列示</v>
      </c>
      <c r="I58" s="2" t="str">
        <v>已提取2025版原表</v>
      </c>
      <c r="J58" s="10" t="n">
        <v>93</v>
      </c>
      <c r="K58" s="2" t="str">
        <v>2025版年报统计年为2024。</v>
      </c>
      <c r="L58" s="14" t="str">
        <v>年报原页</v>
      </c>
      <c r="M58" s="14" t="str">
        <v>http://jsnyxb.jaas.ac.cn/Default.aspx</v>
      </c>
      <c r="N58" s="7" t="str">
        <v>期刊/主办方官方入口匹配</v>
      </c>
      <c r="O58" s="2" t="str">
        <v>官网来源</v>
      </c>
    </row>
    <row r="59" ht="30" customHeight="1">
      <c r="A59" s="7" t="str">
        <v>江苏农业科学</v>
      </c>
      <c r="B59" s="7" t="str">
        <v>农学作物与种质</v>
      </c>
      <c r="C59" s="21" t="n">
        <v>2.864</v>
      </c>
      <c r="D59" s="21" t="n">
        <v>1.776</v>
      </c>
      <c r="E59" s="13" t="n">
        <v>2024</v>
      </c>
      <c r="F59" s="13" t="n">
        <v>2025</v>
      </c>
      <c r="G59" s="2" t="str">
        <v>国内年报口径；不与JIF混排</v>
      </c>
      <c r="H59" s="2" t="str">
        <v>不按此口径列示</v>
      </c>
      <c r="I59" s="2" t="str">
        <v>已提取2025版原表</v>
      </c>
      <c r="J59" s="10" t="n">
        <v>92</v>
      </c>
      <c r="K59" s="2" t="str">
        <v>2025版年报统计年为2024。</v>
      </c>
      <c r="L59" s="14" t="str">
        <v>年报原页</v>
      </c>
      <c r="M59" s="14" t="str">
        <v>http://www.jsnykx.cn/</v>
      </c>
      <c r="N59" s="7" t="str">
        <v>期刊/出版平台页面检索核对</v>
      </c>
      <c r="O59" s="2" t="str">
        <v>官网来源</v>
      </c>
    </row>
    <row r="60" ht="30" customHeight="1">
      <c r="A60" s="7" t="str">
        <v>福建农业学报</v>
      </c>
      <c r="B60" s="7" t="str">
        <v>农学作物与种质</v>
      </c>
      <c r="C60" s="21" t="n">
        <v>1.681</v>
      </c>
      <c r="D60" s="21" t="n">
        <v>1.07</v>
      </c>
      <c r="E60" s="13" t="n">
        <v>2024</v>
      </c>
      <c r="F60" s="13" t="n">
        <v>2025</v>
      </c>
      <c r="G60" s="2" t="str">
        <v>国内年报口径；不与JIF混排</v>
      </c>
      <c r="H60" s="2" t="str">
        <v>不按此口径列示</v>
      </c>
      <c r="I60" s="2" t="str">
        <v>已提取2025版原表</v>
      </c>
      <c r="J60" s="10" t="n">
        <v>93</v>
      </c>
      <c r="K60" s="2" t="str">
        <v>2025版年报统计年为2024。</v>
      </c>
      <c r="L60" s="14" t="str">
        <v>年报原页</v>
      </c>
      <c r="M60" s="14" t="str">
        <v>https://www.fjnyxb.cn/</v>
      </c>
      <c r="N60" s="7" t="str">
        <v>期刊/出版平台页面检索核对</v>
      </c>
      <c r="O60" s="2" t="str">
        <v>官网来源</v>
      </c>
    </row>
    <row r="61" ht="30" customHeight="1">
      <c r="A61" s="7" t="str">
        <v>河南农业科学</v>
      </c>
      <c r="B61" s="7" t="str">
        <v>农学作物与种质</v>
      </c>
      <c r="C61" s="21" t="n">
        <v>2.839</v>
      </c>
      <c r="D61" s="21" t="n">
        <v>1.987</v>
      </c>
      <c r="E61" s="13" t="n">
        <v>2024</v>
      </c>
      <c r="F61" s="13" t="n">
        <v>2025</v>
      </c>
      <c r="G61" s="2" t="str">
        <v>国内年报口径；不与JIF混排</v>
      </c>
      <c r="H61" s="2" t="str">
        <v>不按此口径列示</v>
      </c>
      <c r="I61" s="2" t="str">
        <v>已提取2025版原表</v>
      </c>
      <c r="J61" s="10" t="n">
        <v>93</v>
      </c>
      <c r="K61" s="2" t="str">
        <v>2025版年报统计年为2024。</v>
      </c>
      <c r="L61" s="14" t="str">
        <v>年报原页</v>
      </c>
      <c r="M61" s="14" t="str">
        <v>https://www.hnnykx.org.cn/CN/1004-3268/home.shtml</v>
      </c>
      <c r="N61" s="7" t="str">
        <v>期刊/出版平台页面检索核对</v>
      </c>
      <c r="O61" s="2" t="str">
        <v>官网来源</v>
      </c>
    </row>
    <row r="62" ht="30" customHeight="1">
      <c r="A62" s="7" t="str">
        <v>山东农业科学</v>
      </c>
      <c r="B62" s="7" t="str">
        <v>农学作物与种质</v>
      </c>
      <c r="C62" s="21" t="n">
        <v>2.878</v>
      </c>
      <c r="D62" s="21" t="n">
        <v>1.744</v>
      </c>
      <c r="E62" s="13" t="n">
        <v>2024</v>
      </c>
      <c r="F62" s="13" t="n">
        <v>2025</v>
      </c>
      <c r="G62" s="2" t="str">
        <v>国内年报口径；不与JIF混排</v>
      </c>
      <c r="H62" s="2" t="str">
        <v>不按此口径列示</v>
      </c>
      <c r="I62" s="2" t="str">
        <v>已提取2025版原表</v>
      </c>
      <c r="J62" s="10" t="n">
        <v>93</v>
      </c>
      <c r="K62" s="2" t="str">
        <v>2025版年报统计年为2024。</v>
      </c>
      <c r="L62" s="14" t="str">
        <v>年报原页</v>
      </c>
      <c r="M62" s="14" t="str">
        <v>https://agri.cbpt.cnki.net/portal</v>
      </c>
      <c r="N62" s="7" t="str">
        <v>期刊/出版平台页面检索核对</v>
      </c>
      <c r="O62" s="2" t="str">
        <v>官网来源</v>
      </c>
    </row>
    <row r="63" ht="30" customHeight="1">
      <c r="A63" s="7" t="str">
        <v>湖南农业科学</v>
      </c>
      <c r="B63" s="7" t="str">
        <v>农学作物与种质</v>
      </c>
      <c r="C63" s="21" t="n">
        <v>1.145</v>
      </c>
      <c r="D63" s="21" t="n">
        <v>0.752</v>
      </c>
      <c r="E63" s="13" t="n">
        <v>2024</v>
      </c>
      <c r="F63" s="13" t="n">
        <v>2025</v>
      </c>
      <c r="G63" s="2" t="str">
        <v>国内年报口径；不与JIF混排</v>
      </c>
      <c r="H63" s="2" t="str">
        <v>不按此口径列示</v>
      </c>
      <c r="I63" s="2" t="str">
        <v>已提取2025版原表</v>
      </c>
      <c r="J63" s="10" t="n">
        <v>94</v>
      </c>
      <c r="K63" s="2" t="str">
        <v>2025版年报统计年为2024。</v>
      </c>
      <c r="L63" s="14" t="str">
        <v>年报原页</v>
      </c>
      <c r="M63" s="14" t="str">
        <v>https://hnnk.chinajournal.net.cn/WKD/WebPublication/index.aspx?mid=hnnk</v>
      </c>
      <c r="N63" s="7" t="str">
        <v>期刊/出版平台页面检索核对</v>
      </c>
      <c r="O63" s="2" t="str">
        <v>官网来源</v>
      </c>
    </row>
    <row r="64" ht="30" customHeight="1">
      <c r="A64" s="7" t="str">
        <v>湖北农业科学</v>
      </c>
      <c r="B64" s="7" t="str">
        <v>农学作物与种质</v>
      </c>
      <c r="C64" s="21" t="n">
        <v>1.08</v>
      </c>
      <c r="D64" s="21" t="n">
        <v>0.557</v>
      </c>
      <c r="E64" s="13" t="n">
        <v>2024</v>
      </c>
      <c r="F64" s="13" t="n">
        <v>2025</v>
      </c>
      <c r="G64" s="2" t="str">
        <v>国内年报口径；不与JIF混排</v>
      </c>
      <c r="H64" s="2" t="str">
        <v>不按此口径列示</v>
      </c>
      <c r="I64" s="2" t="str">
        <v>已提取2025版原表</v>
      </c>
      <c r="J64" s="10" t="n">
        <v>93</v>
      </c>
      <c r="K64" s="2" t="str">
        <v>2025版年报统计年为2024。</v>
      </c>
      <c r="L64" s="14" t="str">
        <v>年报原页</v>
      </c>
      <c r="M64" s="14" t="str">
        <v>http://www.hbnykx.cn/CN/0439-8114/home.shtml</v>
      </c>
      <c r="N64" s="7" t="str">
        <v>期刊/出版平台页面检索核对</v>
      </c>
      <c r="O64" s="2" t="str">
        <v>官网来源</v>
      </c>
    </row>
    <row r="65" ht="30" customHeight="1">
      <c r="A65" s="7" t="str">
        <v>广东农业科学</v>
      </c>
      <c r="B65" s="7" t="str">
        <v>农学作物与种质</v>
      </c>
      <c r="C65" s="21" t="n">
        <v>2.159</v>
      </c>
      <c r="D65" s="21" t="n">
        <v>1.475</v>
      </c>
      <c r="E65" s="13" t="n">
        <v>2024</v>
      </c>
      <c r="F65" s="13" t="n">
        <v>2025</v>
      </c>
      <c r="G65" s="2" t="str">
        <v>国内年报口径；不与JIF混排</v>
      </c>
      <c r="H65" s="2" t="str">
        <v>不按此口径列示</v>
      </c>
      <c r="I65" s="2" t="str">
        <v>已提取2025版原表</v>
      </c>
      <c r="J65" s="10" t="n">
        <v>93</v>
      </c>
      <c r="K65" s="2" t="str">
        <v>2025版年报统计年为2024。</v>
      </c>
      <c r="L65" s="14" t="str">
        <v>年报原页</v>
      </c>
      <c r="M65" s="14" t="str">
        <v>https://gdnykx.gdaas.cn/</v>
      </c>
      <c r="N65" s="7" t="str">
        <v>期刊/主办方官方入口匹配</v>
      </c>
      <c r="O65" s="2" t="str">
        <v>官网来源</v>
      </c>
    </row>
    <row r="66" ht="30" customHeight="1">
      <c r="A66" s="7" t="str">
        <v>安徽农业科学</v>
      </c>
      <c r="B66" s="7" t="str">
        <v>农学作物与种质</v>
      </c>
      <c r="C66" s="21" t="n">
        <v>0.897</v>
      </c>
      <c r="D66" s="21" t="n">
        <v>0.52</v>
      </c>
      <c r="E66" s="13" t="n">
        <v>2024</v>
      </c>
      <c r="F66" s="13" t="n">
        <v>2025</v>
      </c>
      <c r="G66" s="2" t="str">
        <v>国内年报口径；不与JIF混排</v>
      </c>
      <c r="H66" s="2" t="str">
        <v>不按此口径列示</v>
      </c>
      <c r="I66" s="2" t="str">
        <v>已提取2025版原表</v>
      </c>
      <c r="J66" s="10" t="n">
        <v>94</v>
      </c>
      <c r="K66" s="2" t="str">
        <v>2025版年报统计年为2024。</v>
      </c>
      <c r="L66" s="14" t="str">
        <v>年报原页</v>
      </c>
      <c r="M66" s="14" t="str">
        <v>https://ahny.cbpt.cnki.net/portal</v>
      </c>
      <c r="N66" s="7" t="str">
        <v>期刊/出版平台页面检索核对</v>
      </c>
      <c r="O66" s="2" t="str">
        <v>官网来源</v>
      </c>
    </row>
    <row r="67" ht="30" customHeight="1">
      <c r="A67" s="7" t="str">
        <v>新疆农业科学</v>
      </c>
      <c r="B67" s="7" t="str">
        <v>农学作物与种质</v>
      </c>
      <c r="C67" s="21" t="n">
        <v>1.44</v>
      </c>
      <c r="D67" s="21" t="n">
        <v>0.93</v>
      </c>
      <c r="E67" s="13" t="n">
        <v>2024</v>
      </c>
      <c r="F67" s="13" t="n">
        <v>2025</v>
      </c>
      <c r="G67" s="2" t="str">
        <v>国内年报口径；不与JIF混排</v>
      </c>
      <c r="H67" s="2" t="str">
        <v>不按此口径列示</v>
      </c>
      <c r="I67" s="2" t="str">
        <v>已提取2025版原表</v>
      </c>
      <c r="J67" s="10" t="n">
        <v>93</v>
      </c>
      <c r="K67" s="2" t="str">
        <v>2025版年报统计年为2024。</v>
      </c>
      <c r="L67" s="14" t="str">
        <v>年报原页</v>
      </c>
      <c r="M67" s="14" t="str">
        <v>http://xjnykx.com/index.htm</v>
      </c>
      <c r="N67" s="7" t="str">
        <v>期刊/出版平台页面检索核对</v>
      </c>
      <c r="O67" s="2" t="str">
        <v>官网来源</v>
      </c>
    </row>
    <row r="68" ht="30" customHeight="1">
      <c r="A68" s="7" t="str">
        <v>云南农业大学学报(自然科学)</v>
      </c>
      <c r="B68" s="7" t="str">
        <v>农学作物与种质</v>
      </c>
      <c r="C68" s="21" t="n">
        <v>1.936</v>
      </c>
      <c r="D68" s="21" t="n">
        <v>1.397</v>
      </c>
      <c r="E68" s="13" t="n">
        <v>2024</v>
      </c>
      <c r="F68" s="13" t="n">
        <v>2025</v>
      </c>
      <c r="G68" s="2" t="str">
        <v>国内年报口径；不与JIF混排</v>
      </c>
      <c r="H68" s="2" t="str">
        <v>不按此口径列示</v>
      </c>
      <c r="I68" s="2" t="str">
        <v>已提取2025版原表</v>
      </c>
      <c r="J68" s="10" t="n">
        <v>93</v>
      </c>
      <c r="K68" s="2" t="str">
        <v>2025版年报统计年为2024。</v>
      </c>
      <c r="L68" s="14" t="str">
        <v>年报原页</v>
      </c>
      <c r="M68" s="14" t="str">
        <v>https://xb.ynau.edu.cn/jwk_zk/</v>
      </c>
      <c r="N68" s="7" t="str">
        <v>期刊/出版平台页面检索核对</v>
      </c>
      <c r="O68" s="2" t="str">
        <v>官网来源</v>
      </c>
    </row>
    <row r="69" ht="30" customHeight="1">
      <c r="A69" s="7" t="str">
        <v>作物学报</v>
      </c>
      <c r="B69" s="7" t="str">
        <v>农学作物与种质</v>
      </c>
      <c r="C69" s="21" t="n">
        <v>4.582</v>
      </c>
      <c r="D69" s="21" t="n">
        <v>2.402</v>
      </c>
      <c r="E69" s="13" t="n">
        <v>2024</v>
      </c>
      <c r="F69" s="13" t="n">
        <v>2025</v>
      </c>
      <c r="G69" s="2" t="str">
        <v>国内年报口径；不与JIF混排</v>
      </c>
      <c r="H69" s="2" t="str">
        <v>不按此口径列示</v>
      </c>
      <c r="I69" s="2" t="str">
        <v>已提取2025版原表</v>
      </c>
      <c r="J69" s="10" t="n">
        <v>97</v>
      </c>
      <c r="K69" s="2" t="str">
        <v>2025版年报统计年为2024。</v>
      </c>
      <c r="L69" s="14" t="str">
        <v>年报原页</v>
      </c>
      <c r="M69" s="14" t="str">
        <v>https://zwxb.chinacrops.org/CN/0496-3490/home.shtml</v>
      </c>
      <c r="N69" s="7" t="str">
        <v>期刊/出版平台页面检索核对</v>
      </c>
      <c r="O69" s="2" t="str">
        <v>官网来源</v>
      </c>
    </row>
    <row r="70" ht="30" customHeight="1">
      <c r="A70" s="7" t="str">
        <v>中国水稻科学</v>
      </c>
      <c r="B70" s="7" t="str">
        <v>农学作物与种质</v>
      </c>
      <c r="C70" s="21" t="n">
        <v>4.73</v>
      </c>
      <c r="D70" s="21" t="n">
        <v>2.5</v>
      </c>
      <c r="E70" s="13" t="n">
        <v>2024</v>
      </c>
      <c r="F70" s="13" t="n">
        <v>2025</v>
      </c>
      <c r="G70" s="2" t="str">
        <v>国内年报口径；不与JIF混排</v>
      </c>
      <c r="H70" s="2" t="str">
        <v>不按此口径列示</v>
      </c>
      <c r="I70" s="2" t="str">
        <v>已提取2025版原表</v>
      </c>
      <c r="J70" s="10" t="n">
        <v>97</v>
      </c>
      <c r="K70" s="2" t="str">
        <v>2025版年报统计年为2024。</v>
      </c>
      <c r="L70" s="14" t="str">
        <v>年报原页</v>
      </c>
      <c r="M70" s="14" t="str">
        <v>http://www.ricesci.cn/CN/1001-7216/home.shtml</v>
      </c>
      <c r="N70" s="7" t="str">
        <v>期刊/出版平台页面检索核对</v>
      </c>
      <c r="O70" s="2" t="str">
        <v>官网来源</v>
      </c>
    </row>
    <row r="71" ht="30" customHeight="1">
      <c r="A71" s="7" t="str">
        <v>作物杂志</v>
      </c>
      <c r="B71" s="7" t="str">
        <v>农学作物与种质</v>
      </c>
      <c r="C71" s="21" t="n">
        <v>3.439</v>
      </c>
      <c r="D71" s="21" t="n">
        <v>1.988</v>
      </c>
      <c r="E71" s="13" t="n">
        <v>2024</v>
      </c>
      <c r="F71" s="13" t="n">
        <v>2025</v>
      </c>
      <c r="G71" s="2" t="str">
        <v>国内年报口径；不与JIF混排</v>
      </c>
      <c r="H71" s="2" t="str">
        <v>不按此口径列示</v>
      </c>
      <c r="I71" s="2" t="str">
        <v>已提取2025版原表</v>
      </c>
      <c r="J71" s="10" t="n">
        <v>97</v>
      </c>
      <c r="K71" s="2" t="str">
        <v>2025版年报统计年为2024。</v>
      </c>
      <c r="L71" s="14" t="str">
        <v>年报原页</v>
      </c>
      <c r="M71" s="14" t="str">
        <v>http://zwzz.chinacrops.org/CN/1001-7283/home.shtml</v>
      </c>
      <c r="N71" s="7" t="str">
        <v>期刊/出版平台页面检索核对</v>
      </c>
      <c r="O71" s="2" t="str">
        <v>官网来源</v>
      </c>
    </row>
    <row r="72" ht="30" customHeight="1">
      <c r="A72" s="7" t="str">
        <v>麦类作物学报</v>
      </c>
      <c r="B72" s="7" t="str">
        <v>农学作物与种质</v>
      </c>
      <c r="C72" s="21" t="n">
        <v>3.202</v>
      </c>
      <c r="D72" s="21" t="n">
        <v>1.711</v>
      </c>
      <c r="E72" s="13" t="n">
        <v>2024</v>
      </c>
      <c r="F72" s="13" t="n">
        <v>2025</v>
      </c>
      <c r="G72" s="2" t="str">
        <v>国内年报口径；不与JIF混排</v>
      </c>
      <c r="H72" s="2" t="str">
        <v>不按此口径列示</v>
      </c>
      <c r="I72" s="2" t="str">
        <v>已提取2025版原表</v>
      </c>
      <c r="J72" s="10" t="n">
        <v>97</v>
      </c>
      <c r="K72" s="2" t="str">
        <v>2025版年报统计年为2024。</v>
      </c>
      <c r="L72" s="14" t="str">
        <v>年报原页</v>
      </c>
      <c r="M72" s="14" t="str">
        <v>https://cjournal.hep.com.cn/1009-1041/CN/home</v>
      </c>
      <c r="N72" s="7" t="str">
        <v>期刊/出版平台页面检索核对</v>
      </c>
      <c r="O72" s="2" t="str">
        <v>官网来源</v>
      </c>
    </row>
    <row r="73" ht="30" customHeight="1">
      <c r="A73" s="7" t="str">
        <v>玉米科学</v>
      </c>
      <c r="B73" s="7" t="str">
        <v>农学作物与种质</v>
      </c>
      <c r="C73" s="21" t="n">
        <v>2.567</v>
      </c>
      <c r="D73" s="21" t="n">
        <v>1.464</v>
      </c>
      <c r="E73" s="13" t="n">
        <v>2024</v>
      </c>
      <c r="F73" s="13" t="n">
        <v>2025</v>
      </c>
      <c r="G73" s="2" t="str">
        <v>国内年报口径；不与JIF混排</v>
      </c>
      <c r="H73" s="2" t="str">
        <v>不按此口径列示</v>
      </c>
      <c r="I73" s="2" t="str">
        <v>已提取2025版原表</v>
      </c>
      <c r="J73" s="10" t="n">
        <v>97</v>
      </c>
      <c r="K73" s="2" t="str">
        <v>2025版年报统计年为2024。</v>
      </c>
      <c r="L73" s="14" t="str">
        <v>年报原页</v>
      </c>
      <c r="M73" s="14" t="str">
        <v>http://ymkx.ijournals.cn/jms/home</v>
      </c>
      <c r="N73" s="7" t="str">
        <v>期刊/出版平台页面检索核对</v>
      </c>
      <c r="O73" s="2" t="str">
        <v>官网来源</v>
      </c>
    </row>
    <row r="74" ht="30" customHeight="1">
      <c r="A74" s="7" t="str">
        <v>大豆科学</v>
      </c>
      <c r="B74" s="7" t="str">
        <v>农学作物与种质</v>
      </c>
      <c r="C74" s="21" t="n">
        <v>2.922</v>
      </c>
      <c r="D74" s="21" t="n">
        <v>1.76</v>
      </c>
      <c r="E74" s="13" t="n">
        <v>2024</v>
      </c>
      <c r="F74" s="13" t="n">
        <v>2025</v>
      </c>
      <c r="G74" s="2" t="str">
        <v>国内年报口径；不与JIF混排</v>
      </c>
      <c r="H74" s="2" t="str">
        <v>不按此口径列示</v>
      </c>
      <c r="I74" s="2" t="str">
        <v>已提取2025版原表</v>
      </c>
      <c r="J74" s="10" t="n">
        <v>97</v>
      </c>
      <c r="K74" s="2" t="str">
        <v>2025版年报统计年为2024。</v>
      </c>
      <c r="L74" s="14" t="str">
        <v>年报原页</v>
      </c>
      <c r="M74" s="14" t="str">
        <v>http://ddkx.paperonce.org/</v>
      </c>
      <c r="N74" s="7" t="str">
        <v>期刊/出版平台页面检索核对</v>
      </c>
      <c r="O74" s="2" t="str">
        <v>官网来源</v>
      </c>
    </row>
    <row r="75" ht="30" customHeight="1">
      <c r="A75" s="7" t="str">
        <v>中国油料作物学报</v>
      </c>
      <c r="B75" s="7" t="str">
        <v>农学作物与种质</v>
      </c>
      <c r="C75" s="21" t="n">
        <v>3.127</v>
      </c>
      <c r="D75" s="21" t="n">
        <v>1.823</v>
      </c>
      <c r="E75" s="13" t="n">
        <v>2024</v>
      </c>
      <c r="F75" s="13" t="n">
        <v>2025</v>
      </c>
      <c r="G75" s="2" t="str">
        <v>国内年报口径；不与JIF混排</v>
      </c>
      <c r="H75" s="2" t="str">
        <v>不按此口径列示</v>
      </c>
      <c r="I75" s="2" t="str">
        <v>已提取2025版原表</v>
      </c>
      <c r="J75" s="10" t="n">
        <v>97</v>
      </c>
      <c r="K75" s="2" t="str">
        <v>2025版年报统计年为2024。</v>
      </c>
      <c r="L75" s="14" t="str">
        <v>年报原页</v>
      </c>
      <c r="M75" s="14" t="str">
        <v>http://www.jouroilcrops.cn/CN/1007-9084/home.shtml</v>
      </c>
      <c r="N75" s="7" t="str">
        <v>期刊/出版平台页面检索核对</v>
      </c>
      <c r="O75" s="2" t="str">
        <v>官网来源</v>
      </c>
    </row>
    <row r="76" ht="30" customHeight="1">
      <c r="A76" s="7" t="str">
        <v>棉花学报</v>
      </c>
      <c r="B76" s="7" t="str">
        <v>农学作物与种质</v>
      </c>
      <c r="C76" s="21" t="n">
        <v>1.961</v>
      </c>
      <c r="D76" s="21" t="n">
        <v>1.471</v>
      </c>
      <c r="E76" s="13" t="n">
        <v>2024</v>
      </c>
      <c r="F76" s="13" t="n">
        <v>2025</v>
      </c>
      <c r="G76" s="2" t="str">
        <v>国内年报口径；不与JIF混排</v>
      </c>
      <c r="H76" s="2" t="str">
        <v>不按此口径列示</v>
      </c>
      <c r="I76" s="2" t="str">
        <v>已提取2025版原表</v>
      </c>
      <c r="J76" s="10" t="n">
        <v>98</v>
      </c>
      <c r="K76" s="2" t="str">
        <v>2025版年报统计年为2024。</v>
      </c>
      <c r="L76" s="14" t="str">
        <v>年报原页</v>
      </c>
      <c r="M76" s="14" t="str">
        <v>https://journal.cricaas.com.cn/Jweb_mhxb/CN/1002-7807/home.shtml</v>
      </c>
      <c r="N76" s="7" t="str">
        <v>期刊/主办方官方入口匹配</v>
      </c>
      <c r="O76" s="2" t="str">
        <v>官网来源</v>
      </c>
    </row>
    <row r="77" ht="30" customHeight="1">
      <c r="A77" s="7" t="str">
        <v>中国棉花</v>
      </c>
      <c r="B77" s="7" t="str">
        <v>农学作物与种质</v>
      </c>
      <c r="C77" s="21" t="n">
        <v>1.421</v>
      </c>
      <c r="D77" s="21" t="n">
        <v>1.239</v>
      </c>
      <c r="E77" s="13" t="n">
        <v>2024</v>
      </c>
      <c r="F77" s="13" t="n">
        <v>2025</v>
      </c>
      <c r="G77" s="2" t="str">
        <v>国内年报口径；不与JIF混排</v>
      </c>
      <c r="H77" s="2" t="str">
        <v>不按此口径列示</v>
      </c>
      <c r="I77" s="2" t="str">
        <v>已提取2025版原表</v>
      </c>
      <c r="J77" s="10" t="n">
        <v>98</v>
      </c>
      <c r="K77" s="2" t="str">
        <v>2025版年报统计年为2024。</v>
      </c>
      <c r="L77" s="14" t="str">
        <v>年报原页</v>
      </c>
      <c r="M77" s="14" t="str">
        <v>https://journal.cricaas.com.cn/zgmh/CN/1000-632X/home.shtml</v>
      </c>
      <c r="N77" s="7" t="str">
        <v>期刊/主办方官方入口匹配</v>
      </c>
      <c r="O77" s="2" t="str">
        <v>官网来源</v>
      </c>
    </row>
    <row r="78" ht="30" customHeight="1">
      <c r="A78" s="7" t="str">
        <v>中国糖料</v>
      </c>
      <c r="B78" s="7" t="str">
        <v>农学作物与种质</v>
      </c>
      <c r="C78" s="21" t="n">
        <v>1.606</v>
      </c>
      <c r="D78" s="21" t="n">
        <v>1.067</v>
      </c>
      <c r="E78" s="13" t="n">
        <v>2024</v>
      </c>
      <c r="F78" s="13" t="n">
        <v>2025</v>
      </c>
      <c r="G78" s="2" t="str">
        <v>国内年报口径；不与JIF混排</v>
      </c>
      <c r="H78" s="2" t="str">
        <v>不按此口径列示</v>
      </c>
      <c r="I78" s="2" t="str">
        <v>已提取2025版原表</v>
      </c>
      <c r="J78" s="10" t="n">
        <v>98</v>
      </c>
      <c r="K78" s="2" t="str">
        <v>2025版年报统计年为2024。</v>
      </c>
      <c r="L78" s="14" t="str">
        <v>年报原页</v>
      </c>
      <c r="M78" s="14" t="str">
        <v>https://zgti.cbpt.cnki.net/WKD/WebPublication/index.aspx?mid=zgti</v>
      </c>
      <c r="N78" s="7" t="str">
        <v>期刊/出版平台页面检索核对</v>
      </c>
      <c r="O78" s="2" t="str">
        <v>官网来源</v>
      </c>
    </row>
    <row r="79" ht="30" customHeight="1">
      <c r="A79" s="7" t="str">
        <v>中国烟草科学</v>
      </c>
      <c r="B79" s="7" t="str">
        <v>农学作物与种质</v>
      </c>
      <c r="C79" s="21" t="n">
        <v>2.606</v>
      </c>
      <c r="D79" s="21" t="n">
        <v>2.006</v>
      </c>
      <c r="E79" s="13" t="n">
        <v>2024</v>
      </c>
      <c r="F79" s="13" t="n">
        <v>2025</v>
      </c>
      <c r="G79" s="2" t="str">
        <v>国内年报口径；不与JIF混排</v>
      </c>
      <c r="H79" s="2" t="str">
        <v>不按此口径列示</v>
      </c>
      <c r="I79" s="2" t="str">
        <v>已提取2025版原表</v>
      </c>
      <c r="J79" s="10" t="n">
        <v>97</v>
      </c>
      <c r="K79" s="2" t="str">
        <v>2025版年报统计年为2024。</v>
      </c>
      <c r="L79" s="14" t="str">
        <v>年报原页</v>
      </c>
      <c r="M79" s="14" t="str">
        <v>http://www.zgyckx.com.cn/</v>
      </c>
      <c r="N79" s="7" t="str">
        <v>期刊/出版平台页面检索核对</v>
      </c>
      <c r="O79" s="2" t="str">
        <v>官网来源</v>
      </c>
    </row>
    <row r="80" ht="30" customHeight="1">
      <c r="A80" s="7" t="str">
        <v>中国烟草学报</v>
      </c>
      <c r="B80" s="7" t="str">
        <v>农学作物与种质</v>
      </c>
      <c r="C80" s="21" t="n">
        <v>2.95</v>
      </c>
      <c r="D80" s="21" t="n">
        <v>2.055</v>
      </c>
      <c r="E80" s="13" t="n">
        <v>2024</v>
      </c>
      <c r="F80" s="13" t="n">
        <v>2025</v>
      </c>
      <c r="G80" s="2" t="str">
        <v>国内年报口径；不与JIF混排</v>
      </c>
      <c r="H80" s="2" t="str">
        <v>不按此口径列示</v>
      </c>
      <c r="I80" s="2" t="str">
        <v>已提取2025版原表</v>
      </c>
      <c r="J80" s="10" t="n">
        <v>97</v>
      </c>
      <c r="K80" s="2" t="str">
        <v>2025版年报统计年为2024。</v>
      </c>
      <c r="L80" s="14" t="str">
        <v>年报原页</v>
      </c>
      <c r="M80" s="14" t="str">
        <v>https://zgyb.cbpt.cnki.net/portal/journal/portal/client/index</v>
      </c>
      <c r="N80" s="7" t="str">
        <v>期刊/主办方官方入口匹配</v>
      </c>
      <c r="O80" s="2" t="str">
        <v>官网来源</v>
      </c>
    </row>
    <row r="81" ht="30" customHeight="1">
      <c r="A81" s="7" t="str">
        <v>植物遗传资源学报</v>
      </c>
      <c r="B81" s="7" t="str">
        <v>农学作物与种质</v>
      </c>
      <c r="C81" s="21" t="n">
        <v>3.478</v>
      </c>
      <c r="D81" s="21" t="n">
        <v>2.143</v>
      </c>
      <c r="E81" s="13" t="n">
        <v>2024</v>
      </c>
      <c r="F81" s="13" t="n">
        <v>2025</v>
      </c>
      <c r="G81" s="2" t="str">
        <v>国内年报口径；不与JIF混排</v>
      </c>
      <c r="H81" s="2" t="str">
        <v>不按此口径列示</v>
      </c>
      <c r="I81" s="2" t="str">
        <v>已提取2025版原表</v>
      </c>
      <c r="J81" s="10" t="n">
        <v>97</v>
      </c>
      <c r="K81" s="2" t="str">
        <v>2025版年报统计年为2024。</v>
      </c>
      <c r="L81" s="14" t="str">
        <v>年报原页</v>
      </c>
      <c r="M81" s="14" t="str">
        <v>http://journals.caass.org.cn/zwyczyxb/CN/home</v>
      </c>
      <c r="N81" s="7" t="str">
        <v>期刊/出版平台页面检索核对</v>
      </c>
      <c r="O81" s="2" t="str">
        <v>官网来源</v>
      </c>
    </row>
    <row r="82" ht="30" customHeight="1">
      <c r="A82" s="7" t="str">
        <v>分子植物育种</v>
      </c>
      <c r="B82" s="7" t="str">
        <v>农学作物与种质</v>
      </c>
      <c r="C82" s="21" t="n">
        <v>2.554</v>
      </c>
      <c r="D82" s="21" t="n">
        <v>1.381</v>
      </c>
      <c r="E82" s="13" t="n">
        <v>2024</v>
      </c>
      <c r="F82" s="13" t="n">
        <v>2025</v>
      </c>
      <c r="G82" s="2" t="str">
        <v>国内年报口径；不与JIF混排</v>
      </c>
      <c r="H82" s="2" t="str">
        <v>不按此口径列示</v>
      </c>
      <c r="I82" s="2" t="str">
        <v>已提取2025版原表</v>
      </c>
      <c r="J82" s="10" t="n">
        <v>54</v>
      </c>
      <c r="K82" s="2" t="str">
        <v>2025版年报统计年为2024。</v>
      </c>
      <c r="L82" s="14" t="str">
        <v>年报原页</v>
      </c>
      <c r="M82" s="14" t="str">
        <v>https://molplantbreed.org/</v>
      </c>
      <c r="N82" s="7" t="str">
        <v>期刊/出版平台页面检索核对</v>
      </c>
      <c r="O82" s="2" t="str">
        <v>官网来源</v>
      </c>
    </row>
    <row r="83" ht="30" customHeight="1">
      <c r="A83" s="7" t="str">
        <v>种子</v>
      </c>
      <c r="B83" s="7" t="str">
        <v>农学作物与种质</v>
      </c>
      <c r="C83" s="21" t="n">
        <v>1.719</v>
      </c>
      <c r="D83" s="21" t="n">
        <v>1.294</v>
      </c>
      <c r="E83" s="13" t="n">
        <v>2024</v>
      </c>
      <c r="F83" s="13" t="n">
        <v>2025</v>
      </c>
      <c r="G83" s="2" t="str">
        <v>国内年报口径；不与JIF混排</v>
      </c>
      <c r="H83" s="2" t="str">
        <v>不按此口径列示</v>
      </c>
      <c r="I83" s="2" t="str">
        <v>已提取2025版原表</v>
      </c>
      <c r="J83" s="10" t="n">
        <v>97</v>
      </c>
      <c r="K83" s="2" t="str">
        <v>2025版年报统计年为2024。</v>
      </c>
      <c r="L83" s="14" t="str">
        <v>年报原页</v>
      </c>
      <c r="M83" s="14" t="str">
        <v>http://zhzi.chinajournal.net.cn/</v>
      </c>
      <c r="N83" s="7" t="str">
        <v>期刊/主办方官方入口匹配</v>
      </c>
      <c r="O83" s="2" t="str">
        <v>官网来源</v>
      </c>
    </row>
    <row r="84" ht="30" customHeight="1">
      <c r="A84" s="7" t="str">
        <v>核农学报</v>
      </c>
      <c r="B84" s="7" t="str">
        <v>农学作物与种质</v>
      </c>
      <c r="C84" s="21" t="n">
        <v>2.803</v>
      </c>
      <c r="D84" s="21" t="n">
        <v>1.67</v>
      </c>
      <c r="E84" s="13" t="n">
        <v>2024</v>
      </c>
      <c r="F84" s="13" t="n">
        <v>2025</v>
      </c>
      <c r="G84" s="2" t="str">
        <v>国内年报口径；不与JIF混排</v>
      </c>
      <c r="H84" s="2" t="str">
        <v>不按此口径列示</v>
      </c>
      <c r="I84" s="2" t="str">
        <v>已提取2025版原表</v>
      </c>
      <c r="J84" s="10" t="n">
        <v>97</v>
      </c>
      <c r="K84" s="2" t="str">
        <v>2025版年报统计年为2024。</v>
      </c>
      <c r="L84" s="14" t="str">
        <v>年报原页</v>
      </c>
      <c r="M84" s="14" t="str">
        <v>https://www.hnxb.org.cn/CN/home</v>
      </c>
      <c r="N84" s="7" t="str">
        <v>期刊/出版平台页面检索核对</v>
      </c>
      <c r="O84" s="2" t="str">
        <v>官网来源</v>
      </c>
    </row>
    <row r="85" ht="30" customHeight="1">
      <c r="A85" s="7" t="str">
        <v>杂交水稻</v>
      </c>
      <c r="B85" s="7" t="str">
        <v>农学作物与种质</v>
      </c>
      <c r="C85" s="21" t="n">
        <v>1.117</v>
      </c>
      <c r="D85" s="21" t="n">
        <v>0.762</v>
      </c>
      <c r="E85" s="13" t="n">
        <v>2024</v>
      </c>
      <c r="F85" s="13" t="n">
        <v>2025</v>
      </c>
      <c r="G85" s="2" t="str">
        <v>国内年报口径；不与JIF混排</v>
      </c>
      <c r="H85" s="2" t="str">
        <v>不按此口径列示</v>
      </c>
      <c r="I85" s="2" t="str">
        <v>已提取2025版原表</v>
      </c>
      <c r="J85" s="10" t="n">
        <v>98</v>
      </c>
      <c r="K85" s="2" t="str">
        <v>2025版年报统计年为2024。</v>
      </c>
      <c r="L85" s="14" t="str">
        <v>年报原页</v>
      </c>
      <c r="M85" s="14" t="str">
        <v>https://zjsd.cbpt.cnki.net/portal</v>
      </c>
      <c r="N85" s="7" t="str">
        <v>期刊/主办方官方入口匹配</v>
      </c>
      <c r="O85" s="2" t="str">
        <v>官网来源</v>
      </c>
    </row>
    <row r="86" ht="30" customHeight="1">
      <c r="A86" s="7" t="str">
        <v>中国稻米</v>
      </c>
      <c r="B86" s="7" t="str">
        <v>农学作物与种质</v>
      </c>
      <c r="C86" s="21" t="n">
        <v>3.099</v>
      </c>
      <c r="D86" s="21" t="n">
        <v>1.969</v>
      </c>
      <c r="E86" s="13" t="n">
        <v>2024</v>
      </c>
      <c r="F86" s="13" t="n">
        <v>2025</v>
      </c>
      <c r="G86" s="2" t="str">
        <v>国内年报口径；不与JIF混排</v>
      </c>
      <c r="H86" s="2" t="str">
        <v>不按此口径列示</v>
      </c>
      <c r="I86" s="2" t="str">
        <v>已提取2025版原表</v>
      </c>
      <c r="J86" s="10" t="n">
        <v>98</v>
      </c>
      <c r="K86" s="2" t="str">
        <v>2025版年报统计年为2024。</v>
      </c>
      <c r="L86" s="14" t="str">
        <v>年报原页</v>
      </c>
      <c r="M86" s="14" t="str">
        <v>http://www.zgdm.net/</v>
      </c>
      <c r="N86" s="7" t="str">
        <v>期刊/主办方官方入口匹配</v>
      </c>
      <c r="O86" s="2" t="str">
        <v>官网来源</v>
      </c>
    </row>
    <row r="87" ht="30" customHeight="1">
      <c r="A87" s="7" t="str">
        <v>花生学报</v>
      </c>
      <c r="B87" s="7" t="str">
        <v>农学作物与种质</v>
      </c>
      <c r="C87" s="21" t="n">
        <v>2.313</v>
      </c>
      <c r="D87" s="21" t="n">
        <v>1.438</v>
      </c>
      <c r="E87" s="13" t="n">
        <v>2024</v>
      </c>
      <c r="F87" s="13" t="n">
        <v>2025</v>
      </c>
      <c r="G87" s="2" t="str">
        <v>国内年报口径；不与JIF混排</v>
      </c>
      <c r="H87" s="2" t="str">
        <v>不按此口径列示</v>
      </c>
      <c r="I87" s="2" t="str">
        <v>已提取2025版原表</v>
      </c>
      <c r="J87" s="10" t="n">
        <v>98</v>
      </c>
      <c r="K87" s="2" t="str">
        <v>2025版年报统计年为2024。</v>
      </c>
      <c r="L87" s="14" t="str">
        <v>年报原页</v>
      </c>
      <c r="M87" s="14" t="str">
        <v>https://pean.cbpt.cnki.net/portal</v>
      </c>
      <c r="N87" s="7" t="str">
        <v>期刊/出版平台页面检索核对</v>
      </c>
      <c r="O87" s="2" t="str">
        <v>官网来源</v>
      </c>
    </row>
    <row r="88" ht="30" customHeight="1">
      <c r="A88" s="7" t="str">
        <v>大麦与谷类科学</v>
      </c>
      <c r="B88" s="7" t="str">
        <v>农学作物与种质</v>
      </c>
      <c r="C88" s="21" t="n">
        <v>0.955</v>
      </c>
      <c r="D88" s="21" t="n">
        <v>0.669</v>
      </c>
      <c r="E88" s="13" t="n">
        <v>2024</v>
      </c>
      <c r="F88" s="13" t="n">
        <v>2025</v>
      </c>
      <c r="G88" s="2" t="str">
        <v>国内年报口径；不与JIF混排</v>
      </c>
      <c r="H88" s="2" t="str">
        <v>不按此口径列示</v>
      </c>
      <c r="I88" s="2" t="str">
        <v>已提取2025版原表</v>
      </c>
      <c r="J88" s="10" t="n">
        <v>98</v>
      </c>
      <c r="K88" s="2" t="str">
        <v>2025版年报统计年为2024。</v>
      </c>
      <c r="L88" s="14" t="str">
        <v>年报原页</v>
      </c>
      <c r="M88" s="14" t="str">
        <v>https://dmkx.cbpt.cnki.net/portal</v>
      </c>
      <c r="N88" s="7" t="str">
        <v>期刊/出版平台页面检索核对</v>
      </c>
      <c r="O88" s="2" t="str">
        <v>官网来源</v>
      </c>
    </row>
    <row r="89" ht="30" customHeight="1">
      <c r="A89" s="7" t="str">
        <v>中国马铃薯</v>
      </c>
      <c r="B89" s="7" t="str">
        <v>农学作物与种质</v>
      </c>
      <c r="C89" s="21" t="n">
        <v>1.333</v>
      </c>
      <c r="D89" s="21" t="n">
        <v>0.878</v>
      </c>
      <c r="E89" s="13" t="n">
        <v>2024</v>
      </c>
      <c r="F89" s="13" t="n">
        <v>2025</v>
      </c>
      <c r="G89" s="2" t="str">
        <v>国内年报口径；不与JIF混排</v>
      </c>
      <c r="H89" s="2" t="str">
        <v>不按此口径列示</v>
      </c>
      <c r="I89" s="2" t="str">
        <v>已提取2025版原表</v>
      </c>
      <c r="J89" s="10" t="n">
        <v>98</v>
      </c>
      <c r="K89" s="2" t="str">
        <v>2025版年报统计年为2024。</v>
      </c>
      <c r="L89" s="14" t="str">
        <v>年报原页</v>
      </c>
      <c r="M89" s="14" t="str">
        <v>https://www.mlsz.cbpt.cnki.net/WKA2/WebPublication/index.aspx?mid=mlsz</v>
      </c>
      <c r="N89" s="7" t="str">
        <v>期刊/出版平台页面检索核对</v>
      </c>
      <c r="O89" s="2" t="str">
        <v>官网来源</v>
      </c>
    </row>
    <row r="90" ht="30" customHeight="1">
      <c r="A90" s="7" t="str">
        <v>中国生态农业学报(中英文)</v>
      </c>
      <c r="B90" s="7" t="str">
        <v>农学作物与种质</v>
      </c>
      <c r="C90" s="21" t="n">
        <v>7.011</v>
      </c>
      <c r="D90" s="21" t="n">
        <v>3.911</v>
      </c>
      <c r="E90" s="13" t="n">
        <v>2024</v>
      </c>
      <c r="F90" s="13" t="n">
        <v>2025</v>
      </c>
      <c r="G90" s="2" t="str">
        <v>国内年报口径；不与JIF混排</v>
      </c>
      <c r="H90" s="2" t="str">
        <v>不按此口径列示</v>
      </c>
      <c r="I90" s="2" t="str">
        <v>已提取2025版原表</v>
      </c>
      <c r="J90" s="10" t="n">
        <v>96</v>
      </c>
      <c r="K90" s="2" t="str">
        <v>2025版年报统计年为2024。</v>
      </c>
      <c r="L90" s="14" t="str">
        <v>年报原页</v>
      </c>
      <c r="M90" s="14" t="str">
        <v>https://www.ecoagri.ac.cn/</v>
      </c>
      <c r="N90" s="7" t="str">
        <v>期刊/出版平台页面检索核对</v>
      </c>
      <c r="O90" s="2" t="str">
        <v>官网来源</v>
      </c>
    </row>
    <row r="91" ht="30" customHeight="1">
      <c r="A91" s="7" t="str">
        <v>干旱地区农业研究</v>
      </c>
      <c r="B91" s="7" t="str">
        <v>农学作物与种质</v>
      </c>
      <c r="C91" s="21" t="n">
        <v>3.795</v>
      </c>
      <c r="D91" s="21" t="n">
        <v>2.101</v>
      </c>
      <c r="E91" s="13" t="n">
        <v>2024</v>
      </c>
      <c r="F91" s="13" t="n">
        <v>2025</v>
      </c>
      <c r="G91" s="2" t="str">
        <v>国内年报口径；不与JIF混排</v>
      </c>
      <c r="H91" s="2" t="str">
        <v>不按此口径列示</v>
      </c>
      <c r="I91" s="2" t="str">
        <v>已提取2025版原表</v>
      </c>
      <c r="J91" s="10" t="n">
        <v>92</v>
      </c>
      <c r="K91" s="2" t="str">
        <v>2025版年报统计年为2024。</v>
      </c>
      <c r="L91" s="14" t="str">
        <v>年报原页</v>
      </c>
      <c r="M91" s="14" t="str">
        <v>https://cjournal.hep.com.cn/1000-7601/CN/home</v>
      </c>
      <c r="N91" s="7" t="str">
        <v>期刊/出版平台页面检索核对</v>
      </c>
      <c r="O91" s="2" t="str">
        <v>官网来源</v>
      </c>
    </row>
    <row r="92" ht="30" customHeight="1">
      <c r="A92" s="7" t="str">
        <v>热带作物学报</v>
      </c>
      <c r="B92" s="7" t="str">
        <v>农学作物与种质</v>
      </c>
      <c r="C92" s="21" t="n">
        <v>2.3</v>
      </c>
      <c r="D92" s="21" t="n">
        <v>1.501</v>
      </c>
      <c r="E92" s="13" t="n">
        <v>2024</v>
      </c>
      <c r="F92" s="13" t="n">
        <v>2025</v>
      </c>
      <c r="G92" s="2" t="str">
        <v>国内年报口径；不与JIF混排</v>
      </c>
      <c r="H92" s="2" t="str">
        <v>不按此口径列示</v>
      </c>
      <c r="I92" s="2" t="str">
        <v>已提取2025版原表</v>
      </c>
      <c r="J92" s="10" t="n">
        <v>99</v>
      </c>
      <c r="K92" s="2" t="str">
        <v>2025版年报统计年为2024。</v>
      </c>
      <c r="L92" s="14" t="str">
        <v>年报原页</v>
      </c>
      <c r="M92" s="14" t="str">
        <v>https://www.rdzwxb.com/CN/1000-2561/home.shtml</v>
      </c>
      <c r="N92" s="7" t="str">
        <v>期刊/出版平台页面检索核对</v>
      </c>
      <c r="O92" s="2" t="str">
        <v>官网来源</v>
      </c>
    </row>
    <row r="93" ht="30" customHeight="1">
      <c r="A93" s="7" t="str">
        <v>热带农业科学</v>
      </c>
      <c r="B93" s="7" t="str">
        <v>农学作物与种质</v>
      </c>
      <c r="C93" s="21" t="n">
        <v>1.297</v>
      </c>
      <c r="D93" s="21" t="n">
        <v>0.855</v>
      </c>
      <c r="E93" s="13" t="n">
        <v>2024</v>
      </c>
      <c r="F93" s="13" t="n">
        <v>2025</v>
      </c>
      <c r="G93" s="2" t="str">
        <v>国内年报口径；不与JIF混排</v>
      </c>
      <c r="H93" s="2" t="str">
        <v>不按此口径列示</v>
      </c>
      <c r="I93" s="2" t="str">
        <v>已提取2025版原表</v>
      </c>
      <c r="J93" s="10" t="n">
        <v>94</v>
      </c>
      <c r="K93" s="2" t="str">
        <v>2025版年报统计年为2024。</v>
      </c>
      <c r="L93" s="14" t="str">
        <v>年报原页</v>
      </c>
      <c r="M93" s="14" t="str">
        <v>https://rdnk.chinajournal.net.cn/WKD2/WebPublication/index.aspx?mid=rdnk</v>
      </c>
      <c r="N93" s="7" t="str">
        <v>期刊/出版平台页面检索核对</v>
      </c>
      <c r="O93" s="2" t="str">
        <v>官网来源</v>
      </c>
    </row>
    <row r="94" ht="30" customHeight="1">
      <c r="A94" s="7" t="str">
        <v>中国农业气象</v>
      </c>
      <c r="B94" s="7" t="str">
        <v>农学作物与种质</v>
      </c>
      <c r="C94" s="21" t="n">
        <v>4.006</v>
      </c>
      <c r="D94" s="21" t="n">
        <v>2.609</v>
      </c>
      <c r="E94" s="13" t="n">
        <v>2024</v>
      </c>
      <c r="F94" s="13" t="n">
        <v>2025</v>
      </c>
      <c r="G94" s="2" t="str">
        <v>国内年报口径；不与JIF混排</v>
      </c>
      <c r="H94" s="2" t="str">
        <v>不按此口径列示</v>
      </c>
      <c r="I94" s="2" t="str">
        <v>已提取2025版原表</v>
      </c>
      <c r="J94" s="10" t="n">
        <v>96</v>
      </c>
      <c r="K94" s="2" t="str">
        <v>2025版年报统计年为2024。</v>
      </c>
      <c r="L94" s="14" t="str">
        <v>年报原页</v>
      </c>
      <c r="M94" s="14" t="str">
        <v>https://zgnyqx.ieda.org.cn/</v>
      </c>
      <c r="N94" s="7" t="str">
        <v>期刊/主办方官方入口匹配</v>
      </c>
      <c r="O94" s="2" t="str">
        <v>官网来源</v>
      </c>
    </row>
    <row r="95" ht="30" customHeight="1">
      <c r="A95" s="7" t="str">
        <v>气象学报</v>
      </c>
      <c r="B95" s="7" t="str">
        <v>农学作物与种质</v>
      </c>
      <c r="C95" s="21" t="n">
        <v>2.869</v>
      </c>
      <c r="D95" s="21" t="n">
        <v>2.303</v>
      </c>
      <c r="E95" s="13" t="n">
        <v>2024</v>
      </c>
      <c r="F95" s="13" t="n">
        <v>2025</v>
      </c>
      <c r="G95" s="2" t="str">
        <v>国内年报口径；不与JIF混排</v>
      </c>
      <c r="H95" s="2" t="str">
        <v>不按此口径列示</v>
      </c>
      <c r="I95" s="2" t="str">
        <v>已提取2025版原表</v>
      </c>
      <c r="J95" s="10" t="n">
        <v>48</v>
      </c>
      <c r="K95" s="2" t="str">
        <v>2025版年报统计年为2024。</v>
      </c>
      <c r="L95" s="14" t="str">
        <v>年报原页</v>
      </c>
      <c r="M95" s="14" t="str">
        <v>https://qxxb.cmsjournal.net/cn/</v>
      </c>
      <c r="N95" s="7" t="str">
        <v>期刊/出版平台页面检索核对</v>
      </c>
      <c r="O95" s="2" t="str">
        <v>官网来源</v>
      </c>
    </row>
    <row r="96" ht="30" customHeight="1">
      <c r="A96" s="7" t="str">
        <v>农业大数据学报</v>
      </c>
      <c r="B96" s="7" t="str">
        <v>农学作物与种质</v>
      </c>
      <c r="C96" s="21" t="n">
        <v>0.649</v>
      </c>
      <c r="D96" s="21" t="n">
        <v>0.381</v>
      </c>
      <c r="E96" s="13" t="n">
        <v>2024</v>
      </c>
      <c r="F96" s="13" t="n">
        <v>2025</v>
      </c>
      <c r="G96" s="2" t="str">
        <v>国内年报口径；不与JIF混排</v>
      </c>
      <c r="H96" s="2" t="str">
        <v>不按此口径列示</v>
      </c>
      <c r="I96" s="2" t="str">
        <v>已提取2025版原表</v>
      </c>
      <c r="J96" s="10" t="n">
        <v>95</v>
      </c>
      <c r="K96" s="2" t="str">
        <v>2025版年报统计年为2024。</v>
      </c>
      <c r="L96" s="14" t="str">
        <v>年报原页</v>
      </c>
      <c r="M96" s="14" t="str">
        <v>http://agbigdata.aiijournal.com/CN/2096-6369/home.shtml</v>
      </c>
      <c r="N96" s="7" t="str">
        <v>期刊/出版平台页面检索核对</v>
      </c>
      <c r="O96" s="2" t="str">
        <v>官网来源</v>
      </c>
    </row>
    <row r="97" ht="30" customHeight="1">
      <c r="A97" s="7" t="str">
        <v>智慧农业(中英文)</v>
      </c>
      <c r="B97" s="7" t="str">
        <v>农学作物与种质</v>
      </c>
      <c r="C97" s="21" t="n">
        <v>4</v>
      </c>
      <c r="D97" s="21" t="n">
        <v>2.495</v>
      </c>
      <c r="E97" s="13" t="n">
        <v>2024</v>
      </c>
      <c r="F97" s="13" t="n">
        <v>2025</v>
      </c>
      <c r="G97" s="2" t="str">
        <v>国内年报口径；不与JIF混排</v>
      </c>
      <c r="H97" s="2" t="str">
        <v>不按此口径列示</v>
      </c>
      <c r="I97" s="2" t="str">
        <v>已提取2025版原表</v>
      </c>
      <c r="J97" s="10" t="n">
        <v>93</v>
      </c>
      <c r="K97" s="2" t="str">
        <v>2025版年报统计年为2024。</v>
      </c>
      <c r="L97" s="14" t="str">
        <v>年报原页</v>
      </c>
      <c r="M97" s="14" t="str">
        <v>https://www.smartag.net.cn/CN/2096-8094/home.shtml</v>
      </c>
      <c r="N97" s="7" t="str">
        <v>期刊/出版平台页面检索核对</v>
      </c>
      <c r="O97" s="2" t="str">
        <v>官网来源</v>
      </c>
    </row>
    <row r="98" ht="30" customHeight="1">
      <c r="A98" s="7" t="str">
        <v>园艺学报</v>
      </c>
      <c r="B98" s="7" t="str">
        <v>园艺果树与茶学</v>
      </c>
      <c r="C98" s="21" t="n">
        <v>3.331</v>
      </c>
      <c r="D98" s="21" t="n">
        <v>2.217</v>
      </c>
      <c r="E98" s="13" t="n">
        <v>2024</v>
      </c>
      <c r="F98" s="13" t="n">
        <v>2025</v>
      </c>
      <c r="G98" s="2" t="str">
        <v>国内年报口径；不与JIF混排</v>
      </c>
      <c r="H98" s="2" t="str">
        <v>不按此口径列示</v>
      </c>
      <c r="I98" s="2" t="str">
        <v>已提取2025版原表</v>
      </c>
      <c r="J98" s="10" t="n">
        <v>99</v>
      </c>
      <c r="K98" s="2" t="str">
        <v>2025版年报统计年为2024。</v>
      </c>
      <c r="L98" s="14" t="str">
        <v>年报原页</v>
      </c>
      <c r="M98" s="14" t="str">
        <v>https://www.ahs.ac.cn/CN/0513-353X/home.shtml</v>
      </c>
      <c r="N98" s="7" t="str">
        <v>期刊/出版平台页面检索核对</v>
      </c>
      <c r="O98" s="2" t="str">
        <v>官网来源</v>
      </c>
    </row>
    <row r="99" ht="30" customHeight="1">
      <c r="A99" s="7" t="str">
        <v>果树学报</v>
      </c>
      <c r="B99" s="7" t="str">
        <v>园艺果树与茶学</v>
      </c>
      <c r="C99" s="21" t="n">
        <v>3.13</v>
      </c>
      <c r="D99" s="21" t="n">
        <v>1.953</v>
      </c>
      <c r="E99" s="13" t="n">
        <v>2024</v>
      </c>
      <c r="F99" s="13" t="n">
        <v>2025</v>
      </c>
      <c r="G99" s="2" t="str">
        <v>国内年报口径；不与JIF混排</v>
      </c>
      <c r="H99" s="2" t="str">
        <v>不按此口径列示</v>
      </c>
      <c r="I99" s="2" t="str">
        <v>已提取2025版原表</v>
      </c>
      <c r="J99" s="10" t="n">
        <v>99</v>
      </c>
      <c r="K99" s="2" t="str">
        <v>2025版年报统计年为2024。</v>
      </c>
      <c r="L99" s="14" t="str">
        <v>年报原页</v>
      </c>
      <c r="M99" s="14" t="str">
        <v>http://fruitsci.zzgss.cn/index.html</v>
      </c>
      <c r="N99" s="7" t="str">
        <v>期刊/主办方官方入口匹配</v>
      </c>
      <c r="O99" s="2" t="str">
        <v>官网来源</v>
      </c>
    </row>
    <row r="100" ht="30" customHeight="1">
      <c r="A100" s="7" t="str">
        <v>中国果树</v>
      </c>
      <c r="B100" s="7" t="str">
        <v>园艺果树与茶学</v>
      </c>
      <c r="C100" s="21" t="n">
        <v>2.277</v>
      </c>
      <c r="D100" s="21" t="n">
        <v>1.387</v>
      </c>
      <c r="E100" s="13" t="n">
        <v>2024</v>
      </c>
      <c r="F100" s="13" t="n">
        <v>2025</v>
      </c>
      <c r="G100" s="2" t="str">
        <v>国内年报口径；不与JIF混排</v>
      </c>
      <c r="H100" s="2" t="str">
        <v>不按此口径列示</v>
      </c>
      <c r="I100" s="2" t="str">
        <v>已提取2025版原表</v>
      </c>
      <c r="J100" s="10" t="n">
        <v>100</v>
      </c>
      <c r="K100" s="2" t="str">
        <v>2025版年报统计年为2024。</v>
      </c>
      <c r="L100" s="14" t="str">
        <v>年报原页</v>
      </c>
      <c r="M100" s="14" t="str">
        <v>https://zggs.cbpt.cnki.net/WKC/WebPublication/index.aspx?mid=ghzh</v>
      </c>
      <c r="N100" s="7" t="str">
        <v>期刊/出版平台页面检索核对</v>
      </c>
      <c r="O100" s="2" t="str">
        <v>官网来源</v>
      </c>
    </row>
    <row r="101" ht="30" customHeight="1">
      <c r="A101" s="7" t="str">
        <v>中国蔬菜</v>
      </c>
      <c r="B101" s="7" t="str">
        <v>园艺果树与茶学</v>
      </c>
      <c r="C101" s="21" t="n">
        <v>2.303</v>
      </c>
      <c r="D101" s="21" t="n">
        <v>1.661</v>
      </c>
      <c r="E101" s="13" t="n">
        <v>2024</v>
      </c>
      <c r="F101" s="13" t="n">
        <v>2025</v>
      </c>
      <c r="G101" s="2" t="str">
        <v>国内年报口径；不与JIF混排</v>
      </c>
      <c r="H101" s="2" t="str">
        <v>不按此口径列示</v>
      </c>
      <c r="I101" s="2" t="str">
        <v>已提取2025版原表</v>
      </c>
      <c r="J101" s="10" t="n">
        <v>99</v>
      </c>
      <c r="K101" s="2" t="str">
        <v>2025版年报统计年为2024。</v>
      </c>
      <c r="L101" s="14" t="str">
        <v>年报原页</v>
      </c>
      <c r="M101" s="14" t="str">
        <v>https://www.cnveg.org/CN/home</v>
      </c>
      <c r="N101" s="7" t="str">
        <v>期刊/出版平台页面检索核对</v>
      </c>
      <c r="O101" s="2" t="str">
        <v>官网来源</v>
      </c>
    </row>
    <row r="102" ht="30" customHeight="1">
      <c r="A102" s="7" t="str">
        <v>北方园艺</v>
      </c>
      <c r="B102" s="7" t="str">
        <v>园艺果树与茶学</v>
      </c>
      <c r="C102" s="21" t="n">
        <v>2.582</v>
      </c>
      <c r="D102" s="21" t="n">
        <v>1.725</v>
      </c>
      <c r="E102" s="13" t="n">
        <v>2024</v>
      </c>
      <c r="F102" s="13" t="n">
        <v>2025</v>
      </c>
      <c r="G102" s="2" t="str">
        <v>国内年报口径；不与JIF混排</v>
      </c>
      <c r="H102" s="2" t="str">
        <v>不按此口径列示</v>
      </c>
      <c r="I102" s="2" t="str">
        <v>已提取2025版原表</v>
      </c>
      <c r="J102" s="10" t="n">
        <v>99</v>
      </c>
      <c r="K102" s="2" t="str">
        <v>2025版年报统计年为2024。</v>
      </c>
      <c r="L102" s="14" t="str">
        <v>年报原页</v>
      </c>
      <c r="M102" s="14" t="str">
        <v>http://bfyy.paperonce.org/</v>
      </c>
      <c r="N102" s="7" t="str">
        <v>期刊/出版平台页面检索核对</v>
      </c>
      <c r="O102" s="2" t="str">
        <v>官网来源</v>
      </c>
    </row>
    <row r="103" ht="30" customHeight="1">
      <c r="A103" s="7" t="str">
        <v>南方园艺</v>
      </c>
      <c r="B103" s="7" t="str">
        <v>园艺果树与茶学</v>
      </c>
      <c r="C103" s="21" t="n">
        <v>0.686</v>
      </c>
      <c r="D103" s="21" t="n">
        <v>0.543</v>
      </c>
      <c r="E103" s="13" t="n">
        <v>2024</v>
      </c>
      <c r="F103" s="13" t="n">
        <v>2025</v>
      </c>
      <c r="G103" s="2" t="str">
        <v>国内年报口径；不与JIF混排</v>
      </c>
      <c r="H103" s="2" t="str">
        <v>不按此口径列示</v>
      </c>
      <c r="I103" s="2" t="str">
        <v>已提取2025版原表</v>
      </c>
      <c r="J103" s="10" t="n">
        <v>100</v>
      </c>
      <c r="K103" s="2" t="str">
        <v>2025版年报统计年为2024。</v>
      </c>
      <c r="L103" s="14" t="str">
        <v>年报原页</v>
      </c>
      <c r="M103" s="14" t="str">
        <v>https://www.guxi.chinajournal.net.cn/WKD/WebPublication/index.aspx?mid=guxi</v>
      </c>
      <c r="N103" s="7" t="str">
        <v>期刊/出版平台页面检索核对</v>
      </c>
      <c r="O103" s="2" t="str">
        <v>官网来源</v>
      </c>
    </row>
    <row r="104" ht="30" customHeight="1">
      <c r="A104" s="7" t="str">
        <v>中国瓜菜</v>
      </c>
      <c r="B104" s="7" t="str">
        <v>园艺果树与茶学</v>
      </c>
      <c r="C104" s="21" t="n">
        <v>2.232</v>
      </c>
      <c r="D104" s="21" t="n">
        <v>1.562</v>
      </c>
      <c r="E104" s="13" t="n">
        <v>2024</v>
      </c>
      <c r="F104" s="13" t="n">
        <v>2025</v>
      </c>
      <c r="G104" s="2" t="str">
        <v>国内年报口径；不与JIF混排</v>
      </c>
      <c r="H104" s="2" t="str">
        <v>不按此口径列示</v>
      </c>
      <c r="I104" s="2" t="str">
        <v>已提取2025版原表</v>
      </c>
      <c r="J104" s="10" t="n">
        <v>99</v>
      </c>
      <c r="K104" s="2" t="str">
        <v>2025版年报统计年为2024。</v>
      </c>
      <c r="L104" s="14" t="str">
        <v>年报原页</v>
      </c>
      <c r="M104" s="14" t="str">
        <v>https://cjournal.hep.com.cn/1673-2871/CN/home</v>
      </c>
      <c r="N104" s="7" t="str">
        <v>期刊/出版平台页面检索核对</v>
      </c>
      <c r="O104" s="2" t="str">
        <v>官网来源</v>
      </c>
    </row>
    <row r="105" ht="30" customHeight="1">
      <c r="A105" s="7" t="str">
        <v>中国南方果树</v>
      </c>
      <c r="B105" s="7" t="str">
        <v>园艺果树与茶学</v>
      </c>
      <c r="C105" s="21" t="n">
        <v>1.48</v>
      </c>
      <c r="D105" s="21" t="n">
        <v>1.06</v>
      </c>
      <c r="E105" s="13" t="n">
        <v>2024</v>
      </c>
      <c r="F105" s="13" t="n">
        <v>2025</v>
      </c>
      <c r="G105" s="2" t="str">
        <v>国内年报口径；不与JIF混排</v>
      </c>
      <c r="H105" s="2" t="str">
        <v>不按此口径列示</v>
      </c>
      <c r="I105" s="2" t="str">
        <v>已提取2025版原表</v>
      </c>
      <c r="J105" s="10" t="n">
        <v>100</v>
      </c>
      <c r="K105" s="2" t="str">
        <v>2025版年报统计年为2024。</v>
      </c>
      <c r="L105" s="14" t="str">
        <v>年报原页</v>
      </c>
      <c r="M105" s="14" t="str">
        <v>https://tsg.swu.edu.cn/zgnfgs/ch/index.aspx</v>
      </c>
      <c r="N105" s="7" t="str">
        <v>期刊/主办方官方入口匹配</v>
      </c>
      <c r="O105" s="2" t="str">
        <v>官网来源</v>
      </c>
    </row>
    <row r="106" ht="30" customHeight="1">
      <c r="A106" s="7" t="str">
        <v>茶叶科学</v>
      </c>
      <c r="B106" s="7" t="str">
        <v>园艺果树与茶学</v>
      </c>
      <c r="C106" s="21" t="n">
        <v>3.586</v>
      </c>
      <c r="D106" s="21" t="n">
        <v>2.338</v>
      </c>
      <c r="E106" s="13" t="n">
        <v>2024</v>
      </c>
      <c r="F106" s="13" t="n">
        <v>2025</v>
      </c>
      <c r="G106" s="2" t="str">
        <v>国内年报口径；不与JIF混排</v>
      </c>
      <c r="H106" s="2" t="str">
        <v>不按此口径列示</v>
      </c>
      <c r="I106" s="2" t="str">
        <v>已提取2025版原表</v>
      </c>
      <c r="J106" s="10" t="n">
        <v>97</v>
      </c>
      <c r="K106" s="2" t="str">
        <v>2025版年报统计年为2024。</v>
      </c>
      <c r="L106" s="14" t="str">
        <v>年报原页</v>
      </c>
      <c r="M106" s="14" t="str">
        <v>https://www.tea-science.com/CN/1000-369X/home.shtml</v>
      </c>
      <c r="N106" s="7" t="str">
        <v>期刊/出版平台页面检索核对</v>
      </c>
      <c r="O106" s="2" t="str">
        <v>官网来源</v>
      </c>
    </row>
    <row r="107" ht="30" customHeight="1">
      <c r="A107" s="7" t="str">
        <v>茶叶通讯</v>
      </c>
      <c r="B107" s="7" t="str">
        <v>园艺果树与茶学</v>
      </c>
      <c r="C107" s="21" t="n">
        <v>1.917</v>
      </c>
      <c r="D107" s="21" t="n">
        <v>1.524</v>
      </c>
      <c r="E107" s="13" t="n">
        <v>2024</v>
      </c>
      <c r="F107" s="13" t="n">
        <v>2025</v>
      </c>
      <c r="G107" s="2" t="str">
        <v>国内年报口径；不与JIF混排</v>
      </c>
      <c r="H107" s="2" t="str">
        <v>不按此口径列示</v>
      </c>
      <c r="I107" s="2" t="str">
        <v>已提取2025版原表</v>
      </c>
      <c r="J107" s="10" t="n">
        <v>98</v>
      </c>
      <c r="K107" s="2" t="str">
        <v>2025版年报统计年为2024。</v>
      </c>
      <c r="L107" s="14" t="str">
        <v>年报原页</v>
      </c>
      <c r="M107" s="14" t="str">
        <v>https://cytx.cbpt.cnki.net/portal/journal/portal/client/index</v>
      </c>
      <c r="N107" s="7" t="str">
        <v>期刊/出版平台页面检索核对</v>
      </c>
      <c r="O107" s="2" t="str">
        <v>官网来源</v>
      </c>
    </row>
    <row r="108" ht="30" customHeight="1">
      <c r="A108" s="7" t="str">
        <v>经济林研究</v>
      </c>
      <c r="B108" s="7" t="str">
        <v>园艺果树与茶学</v>
      </c>
      <c r="C108" s="21" t="n">
        <v>3.167</v>
      </c>
      <c r="D108" s="21" t="n">
        <v>2.354</v>
      </c>
      <c r="E108" s="13" t="n">
        <v>2024</v>
      </c>
      <c r="F108" s="13" t="n">
        <v>2025</v>
      </c>
      <c r="G108" s="2" t="str">
        <v>国内年报口径；不与JIF混排</v>
      </c>
      <c r="H108" s="2" t="str">
        <v>不按此口径列示</v>
      </c>
      <c r="I108" s="2" t="str">
        <v>已提取2025版原表</v>
      </c>
      <c r="J108" s="10" t="n">
        <v>99</v>
      </c>
      <c r="K108" s="2" t="str">
        <v>2025版年报统计年为2024。</v>
      </c>
      <c r="L108" s="14" t="str">
        <v>年报原页</v>
      </c>
      <c r="M108" s="14" t="str">
        <v>https://jjlyj.csuft.edu.cn/</v>
      </c>
      <c r="N108" s="7" t="str">
        <v>期刊/出版平台页面检索核对</v>
      </c>
      <c r="O108" s="2" t="str">
        <v>官网来源</v>
      </c>
    </row>
    <row r="109" ht="30" customHeight="1">
      <c r="A109" s="7" t="str">
        <v>食用菌学报</v>
      </c>
      <c r="B109" s="7" t="str">
        <v>园艺果树与茶学</v>
      </c>
      <c r="C109" s="21" t="n">
        <v>2.972</v>
      </c>
      <c r="D109" s="21" t="n">
        <v>2.382</v>
      </c>
      <c r="E109" s="13" t="n">
        <v>2024</v>
      </c>
      <c r="F109" s="13" t="n">
        <v>2025</v>
      </c>
      <c r="G109" s="2" t="str">
        <v>国内年报口径；不与JIF混排</v>
      </c>
      <c r="H109" s="2" t="str">
        <v>不按此口径列示</v>
      </c>
      <c r="I109" s="2" t="str">
        <v>已提取2025版原表</v>
      </c>
      <c r="J109" s="10" t="n">
        <v>99</v>
      </c>
      <c r="K109" s="2" t="str">
        <v>2025版年报统计年为2024。</v>
      </c>
      <c r="L109" s="14" t="str">
        <v>年报原页</v>
      </c>
      <c r="M109" s="14" t="str">
        <v>https://www.syjxb.com/CN/home</v>
      </c>
      <c r="N109" s="7" t="str">
        <v>期刊/主办方官方入口匹配</v>
      </c>
      <c r="O109" s="2" t="str">
        <v>官网来源</v>
      </c>
    </row>
    <row r="110" ht="30" customHeight="1">
      <c r="A110" s="7" t="str">
        <v>食用菌</v>
      </c>
      <c r="B110" s="7" t="str">
        <v>园艺果树与茶学</v>
      </c>
      <c r="C110" s="21" t="n">
        <v>1.011</v>
      </c>
      <c r="D110" s="21" t="n">
        <v>0.794</v>
      </c>
      <c r="E110" s="13" t="n">
        <v>2024</v>
      </c>
      <c r="F110" s="13" t="n">
        <v>2025</v>
      </c>
      <c r="G110" s="2" t="str">
        <v>国内年报口径；不与JIF混排</v>
      </c>
      <c r="H110" s="2" t="str">
        <v>不按此口径列示</v>
      </c>
      <c r="I110" s="2" t="str">
        <v>已提取2025版原表</v>
      </c>
      <c r="J110" s="10" t="n">
        <v>100</v>
      </c>
      <c r="K110" s="2" t="str">
        <v>2025版年报统计年为2024。</v>
      </c>
      <c r="L110" s="14" t="str">
        <v>年报原页</v>
      </c>
      <c r="M110" s="14" t="str">
        <v>https://www.shiyongjun.sh.cn/CN/home</v>
      </c>
      <c r="N110" s="7" t="str">
        <v>期刊/出版平台页面检索核对</v>
      </c>
      <c r="O110" s="2" t="str">
        <v>官网来源</v>
      </c>
    </row>
    <row r="111" ht="30" customHeight="1">
      <c r="A111" s="7" t="str">
        <v>中国食用菌</v>
      </c>
      <c r="B111" s="7" t="str">
        <v>园艺果树与茶学</v>
      </c>
      <c r="C111" s="21" t="n">
        <v>1.712</v>
      </c>
      <c r="D111" s="21" t="n">
        <v>1.298</v>
      </c>
      <c r="E111" s="13" t="n">
        <v>2024</v>
      </c>
      <c r="F111" s="13" t="n">
        <v>2025</v>
      </c>
      <c r="G111" s="2" t="str">
        <v>国内年报口径；不与JIF混排</v>
      </c>
      <c r="H111" s="2" t="str">
        <v>不按此口径列示</v>
      </c>
      <c r="I111" s="2" t="str">
        <v>已提取2025版原表</v>
      </c>
      <c r="J111" s="10" t="n">
        <v>100</v>
      </c>
      <c r="K111" s="2" t="str">
        <v>2025版年报统计年为2024。</v>
      </c>
      <c r="L111" s="14" t="str">
        <v>年报原页</v>
      </c>
      <c r="M111" s="14" t="str"/>
      <c r="N111" s="7" t="str">
        <v>未检得可靠官网；待核实</v>
      </c>
      <c r="O111" s="2" t="str"/>
    </row>
    <row r="112" ht="30" customHeight="1">
      <c r="A112" s="7" t="str">
        <v>中外葡萄与葡萄酒</v>
      </c>
      <c r="B112" s="7" t="str">
        <v>园艺果树与茶学</v>
      </c>
      <c r="C112" s="21" t="n">
        <v>2.283</v>
      </c>
      <c r="D112" s="21" t="n">
        <v>1.626</v>
      </c>
      <c r="E112" s="13" t="n">
        <v>2024</v>
      </c>
      <c r="F112" s="13" t="n">
        <v>2025</v>
      </c>
      <c r="G112" s="2" t="str">
        <v>国内年报口径；不与JIF混排</v>
      </c>
      <c r="H112" s="2" t="str">
        <v>不按此口径列示</v>
      </c>
      <c r="I112" s="2" t="str">
        <v>已提取2025版原表</v>
      </c>
      <c r="J112" s="10" t="n">
        <v>100</v>
      </c>
      <c r="K112" s="2" t="str">
        <v>2025版年报统计年为2024。</v>
      </c>
      <c r="L112" s="14" t="str">
        <v>年报原页</v>
      </c>
      <c r="M112" s="14" t="str">
        <v>https://ptzp.chinajournal.net.cn/WKE/WebPublication/index.aspx</v>
      </c>
      <c r="N112" s="7" t="str">
        <v>期刊/出版平台页面检索核对</v>
      </c>
      <c r="O112" s="2" t="str">
        <v>官网来源</v>
      </c>
    </row>
    <row r="113" ht="30" customHeight="1">
      <c r="A113" s="7" t="str">
        <v>植物保护学报</v>
      </c>
      <c r="B113" s="7" t="str">
        <v>植物保护与昆虫</v>
      </c>
      <c r="C113" s="21" t="n">
        <v>3.319</v>
      </c>
      <c r="D113" s="21" t="n">
        <v>2.027</v>
      </c>
      <c r="E113" s="13" t="n">
        <v>2024</v>
      </c>
      <c r="F113" s="13" t="n">
        <v>2025</v>
      </c>
      <c r="G113" s="2" t="str">
        <v>国内年报口径；不与JIF混排</v>
      </c>
      <c r="H113" s="2" t="str">
        <v>不按此口径列示</v>
      </c>
      <c r="I113" s="2" t="str">
        <v>已提取2025版原表</v>
      </c>
      <c r="J113" s="10" t="n">
        <v>99</v>
      </c>
      <c r="K113" s="2" t="str">
        <v>2025版年报统计年为2024。</v>
      </c>
      <c r="L113" s="14" t="str">
        <v>年报原页</v>
      </c>
      <c r="M113" s="14" t="str">
        <v>https://cjournal.hep.com.cn/0577-7518/CN/home</v>
      </c>
      <c r="N113" s="7" t="str">
        <v>期刊/出版平台页面检索核对</v>
      </c>
      <c r="O113" s="2" t="str">
        <v>官网来源</v>
      </c>
    </row>
    <row r="114" ht="30" customHeight="1">
      <c r="A114" s="7" t="str">
        <v>植物病理学报</v>
      </c>
      <c r="B114" s="7" t="str">
        <v>植物保护与昆虫</v>
      </c>
      <c r="C114" s="21" t="n">
        <v>1.904</v>
      </c>
      <c r="D114" s="21" t="n">
        <v>1.085</v>
      </c>
      <c r="E114" s="13" t="n">
        <v>2024</v>
      </c>
      <c r="F114" s="13" t="n">
        <v>2025</v>
      </c>
      <c r="G114" s="2" t="str">
        <v>国内年报口径；不与JIF混排</v>
      </c>
      <c r="H114" s="2" t="str">
        <v>不按此口径列示</v>
      </c>
      <c r="I114" s="2" t="str">
        <v>已提取2025版原表</v>
      </c>
      <c r="J114" s="10" t="n">
        <v>99</v>
      </c>
      <c r="K114" s="2" t="str">
        <v>2025版年报统计年为2024。</v>
      </c>
      <c r="L114" s="14" t="str">
        <v>年报原页</v>
      </c>
      <c r="M114" s="14" t="str">
        <v>http://zwblxb.magtech.com.cn/CN/home</v>
      </c>
      <c r="N114" s="7" t="str">
        <v>期刊/主办方官方入口匹配</v>
      </c>
      <c r="O114" s="2" t="str">
        <v>官网来源</v>
      </c>
    </row>
    <row r="115" ht="30" customHeight="1">
      <c r="A115" s="7" t="str">
        <v>植物保护</v>
      </c>
      <c r="B115" s="7" t="str">
        <v>植物保护与昆虫</v>
      </c>
      <c r="C115" s="21" t="n">
        <v>2.521</v>
      </c>
      <c r="D115" s="21" t="n">
        <v>1.656</v>
      </c>
      <c r="E115" s="13" t="n">
        <v>2024</v>
      </c>
      <c r="F115" s="13" t="n">
        <v>2025</v>
      </c>
      <c r="G115" s="2" t="str">
        <v>国内年报口径；不与JIF混排</v>
      </c>
      <c r="H115" s="2" t="str">
        <v>不按此口径列示</v>
      </c>
      <c r="I115" s="2" t="str">
        <v>已提取2025版原表</v>
      </c>
      <c r="J115" s="10" t="n">
        <v>99</v>
      </c>
      <c r="K115" s="2" t="str">
        <v>2025版年报统计年为2024。</v>
      </c>
      <c r="L115" s="14" t="str">
        <v>年报原页</v>
      </c>
      <c r="M115" s="14" t="str">
        <v>http://www.plantprotection.ac.cn/ch/index.aspx</v>
      </c>
      <c r="N115" s="7" t="str">
        <v>期刊/出版平台页面检索核对</v>
      </c>
      <c r="O115" s="2" t="str">
        <v>官网来源</v>
      </c>
    </row>
    <row r="116" ht="30" customHeight="1">
      <c r="A116" s="7" t="str">
        <v>农药学学报</v>
      </c>
      <c r="B116" s="7" t="str">
        <v>植物保护与昆虫</v>
      </c>
      <c r="C116" s="21" t="n">
        <v>2.922</v>
      </c>
      <c r="D116" s="21" t="n">
        <v>1.836</v>
      </c>
      <c r="E116" s="13" t="n">
        <v>2024</v>
      </c>
      <c r="F116" s="13" t="n">
        <v>2025</v>
      </c>
      <c r="G116" s="2" t="str">
        <v>国内年报口径；不与JIF混排</v>
      </c>
      <c r="H116" s="2" t="str">
        <v>不按此口径列示</v>
      </c>
      <c r="I116" s="2" t="str">
        <v>已提取2025版原表</v>
      </c>
      <c r="J116" s="10" t="n">
        <v>99</v>
      </c>
      <c r="K116" s="2" t="str">
        <v>2025版年报统计年为2024。</v>
      </c>
      <c r="L116" s="14" t="str">
        <v>年报原页</v>
      </c>
      <c r="M116" s="14" t="str">
        <v>http://www.nyxxb.cn/</v>
      </c>
      <c r="N116" s="7" t="str">
        <v>期刊/出版平台页面检索核对</v>
      </c>
      <c r="O116" s="2" t="str">
        <v>官网来源</v>
      </c>
    </row>
    <row r="117" ht="30" customHeight="1">
      <c r="A117" s="7" t="str">
        <v>农药</v>
      </c>
      <c r="B117" s="7" t="str">
        <v>植物保护与昆虫</v>
      </c>
      <c r="C117" s="21" t="n">
        <v>1.676</v>
      </c>
      <c r="D117" s="21" t="n">
        <v>1.125</v>
      </c>
      <c r="E117" s="13" t="n">
        <v>2024</v>
      </c>
      <c r="F117" s="13" t="n">
        <v>2025</v>
      </c>
      <c r="G117" s="2" t="str">
        <v>国内年报口径；不与JIF混排</v>
      </c>
      <c r="H117" s="2" t="str">
        <v>不按此口径列示</v>
      </c>
      <c r="I117" s="2" t="str">
        <v>已提取2025版原表</v>
      </c>
      <c r="J117" s="10" t="n">
        <v>99</v>
      </c>
      <c r="K117" s="2" t="str">
        <v>2025版年报统计年为2024。</v>
      </c>
      <c r="L117" s="14" t="str">
        <v>年报原页</v>
      </c>
      <c r="M117" s="14" t="str">
        <v>http://nyzz.cbpt.cnki.net/</v>
      </c>
      <c r="N117" s="7" t="str">
        <v>期刊/主办方官方入口匹配</v>
      </c>
      <c r="O117" s="2" t="str">
        <v>官网来源</v>
      </c>
    </row>
    <row r="118" ht="30" customHeight="1">
      <c r="A118" s="7" t="str">
        <v>昆虫学报</v>
      </c>
      <c r="B118" s="7" t="str">
        <v>植物保护与昆虫</v>
      </c>
      <c r="C118" s="21" t="n">
        <v>1.602</v>
      </c>
      <c r="D118" s="21" t="n">
        <v>0.96</v>
      </c>
      <c r="E118" s="13" t="n">
        <v>2024</v>
      </c>
      <c r="F118" s="13" t="n">
        <v>2025</v>
      </c>
      <c r="G118" s="2" t="str">
        <v>国内年报口径；不与JIF混排</v>
      </c>
      <c r="H118" s="2" t="str">
        <v>不按此口径列示</v>
      </c>
      <c r="I118" s="2" t="str">
        <v>已提取2025版原表</v>
      </c>
      <c r="J118" s="10" t="n">
        <v>55</v>
      </c>
      <c r="K118" s="2" t="str">
        <v>2025版年报统计年为2024。</v>
      </c>
      <c r="L118" s="14" t="str">
        <v>年报原页</v>
      </c>
      <c r="M118" s="14" t="str">
        <v>https://www.insect.org.cn/CN/0454-6296/home.shtml</v>
      </c>
      <c r="N118" s="7" t="str">
        <v>期刊/出版平台页面检索核对</v>
      </c>
      <c r="O118" s="2" t="str">
        <v>官网来源</v>
      </c>
    </row>
    <row r="119" ht="30" customHeight="1">
      <c r="A119" s="7" t="str">
        <v>应用昆虫学报</v>
      </c>
      <c r="B119" s="7" t="str">
        <v>植物保护与昆虫</v>
      </c>
      <c r="C119" s="21" t="n">
        <v>1.39</v>
      </c>
      <c r="D119" s="21" t="n">
        <v>0.867</v>
      </c>
      <c r="E119" s="13" t="n">
        <v>2024</v>
      </c>
      <c r="F119" s="13" t="n">
        <v>2025</v>
      </c>
      <c r="G119" s="2" t="str">
        <v>国内年报口径；不与JIF混排</v>
      </c>
      <c r="H119" s="2" t="str">
        <v>不按此口径列示</v>
      </c>
      <c r="I119" s="2" t="str">
        <v>已提取2025版原表</v>
      </c>
      <c r="J119" s="10" t="n">
        <v>55</v>
      </c>
      <c r="K119" s="2" t="str">
        <v>2025版年报统计年为2024。</v>
      </c>
      <c r="L119" s="14" t="str">
        <v>年报原页</v>
      </c>
      <c r="M119" s="14" t="str">
        <v>http://www.ent-bull.com.cn/</v>
      </c>
      <c r="N119" s="7" t="str">
        <v>期刊/出版平台页面检索核对</v>
      </c>
      <c r="O119" s="2" t="str">
        <v>官网来源</v>
      </c>
    </row>
    <row r="120" ht="30" customHeight="1">
      <c r="A120" s="7" t="str">
        <v>环境昆虫学报</v>
      </c>
      <c r="B120" s="7" t="str">
        <v>植物保护与昆虫</v>
      </c>
      <c r="C120" s="21" t="n">
        <v>1.73</v>
      </c>
      <c r="D120" s="21" t="n">
        <v>1.102</v>
      </c>
      <c r="E120" s="13" t="n">
        <v>2024</v>
      </c>
      <c r="F120" s="13" t="n">
        <v>2025</v>
      </c>
      <c r="G120" s="2" t="str">
        <v>国内年报口径；不与JIF混排</v>
      </c>
      <c r="H120" s="2" t="str">
        <v>不按此口径列示</v>
      </c>
      <c r="I120" s="2" t="str">
        <v>已提取2025版原表</v>
      </c>
      <c r="J120" s="10" t="n">
        <v>55</v>
      </c>
      <c r="K120" s="2" t="str">
        <v>2025版年报统计年为2024。</v>
      </c>
      <c r="L120" s="14" t="str">
        <v>年报原页</v>
      </c>
      <c r="M120" s="14" t="str">
        <v>http://hjkcxb.alljournals.net/ch/first_menu.aspx?parent_id=20120809164412001</v>
      </c>
      <c r="N120" s="7" t="str">
        <v>期刊/出版平台页面检索核对</v>
      </c>
      <c r="O120" s="2" t="str">
        <v>官网来源</v>
      </c>
    </row>
    <row r="121" ht="30" customHeight="1">
      <c r="A121" s="7" t="str">
        <v>中国生物防治学报</v>
      </c>
      <c r="B121" s="7" t="str">
        <v>植物保护与昆虫</v>
      </c>
      <c r="C121" s="21" t="n">
        <v>3.162</v>
      </c>
      <c r="D121" s="21" t="n">
        <v>1.915</v>
      </c>
      <c r="E121" s="13" t="n">
        <v>2024</v>
      </c>
      <c r="F121" s="13" t="n">
        <v>2025</v>
      </c>
      <c r="G121" s="2" t="str">
        <v>国内年报口径；不与JIF混排</v>
      </c>
      <c r="H121" s="2" t="str">
        <v>不按此口径列示</v>
      </c>
      <c r="I121" s="2" t="str">
        <v>已提取2025版原表</v>
      </c>
      <c r="J121" s="10" t="n">
        <v>99</v>
      </c>
      <c r="K121" s="2" t="str">
        <v>2025版年报统计年为2024。</v>
      </c>
      <c r="L121" s="14" t="str">
        <v>年报原页</v>
      </c>
      <c r="M121" s="14" t="str">
        <v>https://www.zgswfz.com.cn/CN/2095-039X/home.shtml</v>
      </c>
      <c r="N121" s="7" t="str">
        <v>期刊/主办方官方入口匹配</v>
      </c>
      <c r="O121" s="2" t="str">
        <v>官网来源</v>
      </c>
    </row>
    <row r="122" ht="30" customHeight="1">
      <c r="A122" s="7" t="str">
        <v>中国植保导刊</v>
      </c>
      <c r="B122" s="7" t="str">
        <v>植物保护与昆虫</v>
      </c>
      <c r="C122" s="21" t="n">
        <v>1.453</v>
      </c>
      <c r="D122" s="21" t="n">
        <v>0.959</v>
      </c>
      <c r="E122" s="13" t="n">
        <v>2024</v>
      </c>
      <c r="F122" s="13" t="n">
        <v>2025</v>
      </c>
      <c r="G122" s="2" t="str">
        <v>国内年报口径；不与JIF混排</v>
      </c>
      <c r="H122" s="2" t="str">
        <v>不按此口径列示</v>
      </c>
      <c r="I122" s="2" t="str">
        <v>已提取2025版原表</v>
      </c>
      <c r="J122" s="10" t="n">
        <v>99</v>
      </c>
      <c r="K122" s="2" t="str">
        <v>2025版年报统计年为2024。</v>
      </c>
      <c r="L122" s="14" t="str">
        <v>年报原页</v>
      </c>
      <c r="M122" s="14" t="str">
        <v>https://natesc.agri.cn/ztzl/PlantProtect</v>
      </c>
      <c r="N122" s="7" t="str">
        <v>期刊/主办方官方入口匹配</v>
      </c>
      <c r="O122" s="2" t="str">
        <v>官网来源</v>
      </c>
    </row>
    <row r="123" ht="30" customHeight="1">
      <c r="A123" s="7" t="str">
        <v>中国森林病虫</v>
      </c>
      <c r="B123" s="7" t="str">
        <v>植物保护与昆虫</v>
      </c>
      <c r="C123" s="21" t="n">
        <v>2.302</v>
      </c>
      <c r="D123" s="21" t="n">
        <v>1.566</v>
      </c>
      <c r="E123" s="13" t="n">
        <v>2024</v>
      </c>
      <c r="F123" s="13" t="n">
        <v>2025</v>
      </c>
      <c r="G123" s="2" t="str">
        <v>国内年报口径；不与JIF混排</v>
      </c>
      <c r="H123" s="2" t="str">
        <v>不按此口径列示</v>
      </c>
      <c r="I123" s="2" t="str">
        <v>已提取2025版原表</v>
      </c>
      <c r="J123" s="10" t="n">
        <v>101</v>
      </c>
      <c r="K123" s="2" t="str">
        <v>2025版年报统计年为2024。</v>
      </c>
      <c r="L123" s="14" t="str">
        <v>年报原页</v>
      </c>
      <c r="M123" s="14" t="str">
        <v>https://zgslbc.bdpc.org.cn/</v>
      </c>
      <c r="N123" s="7" t="str">
        <v>期刊/主办方官方入口匹配</v>
      </c>
      <c r="O123" s="2" t="str">
        <v>官网来源</v>
      </c>
    </row>
    <row r="124" ht="30" customHeight="1">
      <c r="A124" s="7" t="str">
        <v>林业科学研究</v>
      </c>
      <c r="B124" s="7" t="str">
        <v>植物保护与昆虫</v>
      </c>
      <c r="C124" s="21" t="n">
        <v>3.072</v>
      </c>
      <c r="D124" s="21" t="n">
        <v>2.04</v>
      </c>
      <c r="E124" s="13" t="n">
        <v>2024</v>
      </c>
      <c r="F124" s="13" t="n">
        <v>2025</v>
      </c>
      <c r="G124" s="2" t="str">
        <v>国内年报口径；不与JIF混排</v>
      </c>
      <c r="H124" s="2" t="str">
        <v>不按此口径列示</v>
      </c>
      <c r="I124" s="2" t="str">
        <v>已提取2025版原表</v>
      </c>
      <c r="J124" s="10" t="n">
        <v>100</v>
      </c>
      <c r="K124" s="2" t="str">
        <v>2025版年报统计年为2024。</v>
      </c>
      <c r="L124" s="14" t="str">
        <v>年报原页</v>
      </c>
      <c r="M124" s="14" t="str">
        <v>https://journals.caf.ac.cn/lykxyj/</v>
      </c>
      <c r="N124" s="7" t="str">
        <v>期刊/主办方官方入口匹配</v>
      </c>
      <c r="O124" s="2" t="str">
        <v>官网来源</v>
      </c>
    </row>
    <row r="125" ht="30" customHeight="1">
      <c r="A125" s="7" t="str">
        <v>农药科学与管理</v>
      </c>
      <c r="B125" s="7" t="str">
        <v>植物保护与昆虫</v>
      </c>
      <c r="C125" s="21" t="n">
        <v>0.868</v>
      </c>
      <c r="D125" s="21" t="n">
        <v>0.74</v>
      </c>
      <c r="E125" s="13" t="n">
        <v>2024</v>
      </c>
      <c r="F125" s="13" t="n">
        <v>2025</v>
      </c>
      <c r="G125" s="2" t="str">
        <v>国内年报口径；不与JIF混排</v>
      </c>
      <c r="H125" s="2" t="str">
        <v>不按此口径列示</v>
      </c>
      <c r="I125" s="2" t="str">
        <v>已提取2025版原表</v>
      </c>
      <c r="J125" s="10" t="n">
        <v>99</v>
      </c>
      <c r="K125" s="2" t="str">
        <v>2025版年报统计年为2024。</v>
      </c>
      <c r="L125" s="14" t="str">
        <v>年报原页</v>
      </c>
      <c r="M125" s="14" t="str">
        <v>https://nykxyglqk.icama.cn/emagazine/home/homePage.do</v>
      </c>
      <c r="N125" s="7" t="str">
        <v>期刊/主办方官方入口匹配</v>
      </c>
      <c r="O125" s="2" t="str">
        <v>官网来源</v>
      </c>
    </row>
    <row r="126" ht="30" customHeight="1">
      <c r="A126" s="7" t="str">
        <v>林业科学</v>
      </c>
      <c r="B126" s="7" t="str">
        <v>林学木材与草业</v>
      </c>
      <c r="C126" s="21" t="n">
        <v>2.692</v>
      </c>
      <c r="D126" s="21" t="n">
        <v>1.934</v>
      </c>
      <c r="E126" s="13" t="n">
        <v>2024</v>
      </c>
      <c r="F126" s="13" t="n">
        <v>2025</v>
      </c>
      <c r="G126" s="2" t="str">
        <v>国内年报口径；不与JIF混排</v>
      </c>
      <c r="H126" s="2" t="str">
        <v>不按此口径列示</v>
      </c>
      <c r="I126" s="2" t="str">
        <v>已提取2025版原表</v>
      </c>
      <c r="J126" s="10" t="n">
        <v>100</v>
      </c>
      <c r="K126" s="2" t="str">
        <v>2025版年报统计年为2024。</v>
      </c>
      <c r="L126" s="14" t="str">
        <v>年报原页</v>
      </c>
      <c r="M126" s="14" t="str">
        <v>https://www.linyekexue.net/CN/1001-7488/home.shtml</v>
      </c>
      <c r="N126" s="7" t="str">
        <v>期刊/出版平台页面检索核对</v>
      </c>
      <c r="O126" s="2" t="str">
        <v>官网来源</v>
      </c>
    </row>
    <row r="127" ht="30" customHeight="1">
      <c r="A127" s="7" t="str">
        <v>北京林业大学学报</v>
      </c>
      <c r="B127" s="7" t="str">
        <v>林学木材与草业</v>
      </c>
      <c r="C127" s="21" t="n">
        <v>3.058</v>
      </c>
      <c r="D127" s="21" t="n">
        <v>1.879</v>
      </c>
      <c r="E127" s="13" t="n">
        <v>2024</v>
      </c>
      <c r="F127" s="13" t="n">
        <v>2025</v>
      </c>
      <c r="G127" s="2" t="str">
        <v>国内年报口径；不与JIF混排</v>
      </c>
      <c r="H127" s="2" t="str">
        <v>不按此口径列示</v>
      </c>
      <c r="I127" s="2" t="str">
        <v>已提取2025版原表</v>
      </c>
      <c r="J127" s="10" t="n">
        <v>100</v>
      </c>
      <c r="K127" s="2" t="str">
        <v>2025版年报统计年为2024。</v>
      </c>
      <c r="L127" s="14" t="str">
        <v>年报原页</v>
      </c>
      <c r="M127" s="14" t="str">
        <v>https://j.bjfu.edu.cn/</v>
      </c>
      <c r="N127" s="7" t="str">
        <v>期刊/出版平台页面检索核对</v>
      </c>
      <c r="O127" s="2" t="str">
        <v>官网来源</v>
      </c>
    </row>
    <row r="128" ht="30" customHeight="1">
      <c r="A128" s="7" t="str">
        <v>南京林业大学学报(自然科学版)</v>
      </c>
      <c r="B128" s="7" t="str">
        <v>林学木材与草业</v>
      </c>
      <c r="C128" s="21" t="n">
        <v>4.087</v>
      </c>
      <c r="D128" s="21" t="n">
        <v>2.575</v>
      </c>
      <c r="E128" s="13" t="n">
        <v>2024</v>
      </c>
      <c r="F128" s="13" t="n">
        <v>2025</v>
      </c>
      <c r="G128" s="2" t="str">
        <v>国内年报口径；不与JIF混排</v>
      </c>
      <c r="H128" s="2" t="str">
        <v>不按此口径列示</v>
      </c>
      <c r="I128" s="2" t="str">
        <v>已提取2025版原表</v>
      </c>
      <c r="J128" s="10" t="n">
        <v>100</v>
      </c>
      <c r="K128" s="2" t="str">
        <v>2025版年报统计年为2024。</v>
      </c>
      <c r="L128" s="14" t="str">
        <v>年报原页</v>
      </c>
      <c r="M128" s="14" t="str">
        <v>http://nldxb.njfu.edu.cn/CN/1000-2006/home.shtml</v>
      </c>
      <c r="N128" s="7" t="str">
        <v>期刊/出版平台页面检索核对</v>
      </c>
      <c r="O128" s="2" t="str">
        <v>官网来源</v>
      </c>
    </row>
    <row r="129" ht="30" customHeight="1">
      <c r="A129" s="7" t="str">
        <v>东北林业大学学报</v>
      </c>
      <c r="B129" s="7" t="str">
        <v>林学木材与草业</v>
      </c>
      <c r="C129" s="21" t="n">
        <v>2.216</v>
      </c>
      <c r="D129" s="21" t="n">
        <v>1.421</v>
      </c>
      <c r="E129" s="13" t="n">
        <v>2024</v>
      </c>
      <c r="F129" s="13" t="n">
        <v>2025</v>
      </c>
      <c r="G129" s="2" t="str">
        <v>国内年报口径；不与JIF混排</v>
      </c>
      <c r="H129" s="2" t="str">
        <v>不按此口径列示</v>
      </c>
      <c r="I129" s="2" t="str">
        <v>已提取2025版原表</v>
      </c>
      <c r="J129" s="10" t="n">
        <v>100</v>
      </c>
      <c r="K129" s="2" t="str">
        <v>2025版年报统计年为2024。</v>
      </c>
      <c r="L129" s="14" t="str">
        <v>年报原页</v>
      </c>
      <c r="M129" s="14" t="str">
        <v>http://dlxb.nefu.edu.cn/</v>
      </c>
      <c r="N129" s="7" t="str">
        <v>期刊/出版平台页面检索核对</v>
      </c>
      <c r="O129" s="2" t="str">
        <v>官网来源</v>
      </c>
    </row>
    <row r="130" ht="30" customHeight="1">
      <c r="A130" s="7" t="str">
        <v>中南林业科技大学学报</v>
      </c>
      <c r="B130" s="7" t="str">
        <v>林学木材与草业</v>
      </c>
      <c r="C130" s="21" t="n">
        <v>4.033</v>
      </c>
      <c r="D130" s="21" t="n">
        <v>2.85</v>
      </c>
      <c r="E130" s="13" t="n">
        <v>2024</v>
      </c>
      <c r="F130" s="13" t="n">
        <v>2025</v>
      </c>
      <c r="G130" s="2" t="str">
        <v>国内年报口径；不与JIF混排</v>
      </c>
      <c r="H130" s="2" t="str">
        <v>不按此口径列示</v>
      </c>
      <c r="I130" s="2" t="str">
        <v>已提取2025版原表</v>
      </c>
      <c r="J130" s="10" t="n">
        <v>100</v>
      </c>
      <c r="K130" s="2" t="str">
        <v>2025版年报统计年为2024。</v>
      </c>
      <c r="L130" s="14" t="str">
        <v>年报原页</v>
      </c>
      <c r="M130" s="14" t="str">
        <v>https://zkxb.csuft.edu.cn/</v>
      </c>
      <c r="N130" s="7" t="str">
        <v>期刊/主办方官方入口匹配</v>
      </c>
      <c r="O130" s="2" t="str">
        <v>官网来源</v>
      </c>
    </row>
    <row r="131" ht="30" customHeight="1">
      <c r="A131" s="7" t="str">
        <v>浙江农林大学学报</v>
      </c>
      <c r="B131" s="7" t="str">
        <v>林学木材与草业</v>
      </c>
      <c r="C131" s="21" t="n">
        <v>3.086</v>
      </c>
      <c r="D131" s="21" t="n">
        <v>2.03</v>
      </c>
      <c r="E131" s="13" t="n">
        <v>2024</v>
      </c>
      <c r="F131" s="13" t="n">
        <v>2025</v>
      </c>
      <c r="G131" s="2" t="str">
        <v>国内年报口径；不与JIF混排</v>
      </c>
      <c r="H131" s="2" t="str">
        <v>不按此口径列示</v>
      </c>
      <c r="I131" s="2" t="str">
        <v>已提取2025版原表</v>
      </c>
      <c r="J131" s="10" t="n">
        <v>100</v>
      </c>
      <c r="K131" s="2" t="str">
        <v>2025版年报统计年为2024。</v>
      </c>
      <c r="L131" s="14" t="str">
        <v>年报原页</v>
      </c>
      <c r="M131" s="14" t="str">
        <v>https://zlxb.zafu.edu.cn/</v>
      </c>
      <c r="N131" s="7" t="str">
        <v>期刊/出版平台页面检索核对</v>
      </c>
      <c r="O131" s="2" t="str">
        <v>官网来源</v>
      </c>
    </row>
    <row r="132" ht="30" customHeight="1">
      <c r="A132" s="7" t="str">
        <v>西南林业大学学报(自然科学)</v>
      </c>
      <c r="B132" s="7" t="str">
        <v>林学木材与草业</v>
      </c>
      <c r="C132" s="21" t="n">
        <v>2.572</v>
      </c>
      <c r="D132" s="21" t="n">
        <v>1.678</v>
      </c>
      <c r="E132" s="13" t="n">
        <v>2024</v>
      </c>
      <c r="F132" s="13" t="n">
        <v>2025</v>
      </c>
      <c r="G132" s="2" t="str">
        <v>国内年报口径；不与JIF混排</v>
      </c>
      <c r="H132" s="2" t="str">
        <v>不按此口径列示</v>
      </c>
      <c r="I132" s="2" t="str">
        <v>已提取2025版原表</v>
      </c>
      <c r="J132" s="10" t="n">
        <v>101</v>
      </c>
      <c r="K132" s="2" t="str">
        <v>2025版年报统计年为2024。</v>
      </c>
      <c r="L132" s="14" t="str">
        <v>年报原页</v>
      </c>
      <c r="M132" s="14" t="str">
        <v>http://xnldxb.swfu.edu.cn/</v>
      </c>
      <c r="N132" s="7" t="str">
        <v>期刊/主办方官方入口匹配</v>
      </c>
      <c r="O132" s="2" t="str">
        <v>官网来源</v>
      </c>
    </row>
    <row r="133" ht="30" customHeight="1">
      <c r="A133" s="7" t="str">
        <v>世界林业研究</v>
      </c>
      <c r="B133" s="7" t="str">
        <v>林学木材与草业</v>
      </c>
      <c r="C133" s="21" t="n">
        <v>3.836</v>
      </c>
      <c r="D133" s="21" t="n">
        <v>2.473</v>
      </c>
      <c r="E133" s="13" t="n">
        <v>2024</v>
      </c>
      <c r="F133" s="13" t="n">
        <v>2025</v>
      </c>
      <c r="G133" s="2" t="str">
        <v>国内年报口径；不与JIF混排</v>
      </c>
      <c r="H133" s="2" t="str">
        <v>不按此口径列示</v>
      </c>
      <c r="I133" s="2" t="str">
        <v>已提取2025版原表</v>
      </c>
      <c r="J133" s="10" t="n">
        <v>100</v>
      </c>
      <c r="K133" s="2" t="str">
        <v>2025版年报统计年为2024。</v>
      </c>
      <c r="L133" s="14" t="str">
        <v>年报原页</v>
      </c>
      <c r="M133" s="14" t="str">
        <v>https://journals.caf.ac.cn/sjlyyj</v>
      </c>
      <c r="N133" s="7" t="str">
        <v>期刊/出版平台页面检索核对</v>
      </c>
      <c r="O133" s="2" t="str">
        <v>官网来源</v>
      </c>
    </row>
    <row r="134" ht="30" customHeight="1">
      <c r="A134" s="7" t="str">
        <v>林业工程学报</v>
      </c>
      <c r="B134" s="7" t="str">
        <v>林学木材与草业</v>
      </c>
      <c r="C134" s="21" t="n">
        <v>2.592</v>
      </c>
      <c r="D134" s="21" t="n">
        <v>1.675</v>
      </c>
      <c r="E134" s="13" t="n">
        <v>2024</v>
      </c>
      <c r="F134" s="13" t="n">
        <v>2025</v>
      </c>
      <c r="G134" s="2" t="str">
        <v>国内年报口径；不与JIF混排</v>
      </c>
      <c r="H134" s="2" t="str">
        <v>不按此口径列示</v>
      </c>
      <c r="I134" s="2" t="str">
        <v>已提取2025版原表</v>
      </c>
      <c r="J134" s="10" t="n">
        <v>101</v>
      </c>
      <c r="K134" s="2" t="str">
        <v>2025版年报统计年为2024。</v>
      </c>
      <c r="L134" s="14" t="str">
        <v>年报原页</v>
      </c>
      <c r="M134" s="14" t="str">
        <v>http://lygcxb.njfu.edu.cn/</v>
      </c>
      <c r="N134" s="7" t="str">
        <v>期刊/出版平台页面检索核对</v>
      </c>
      <c r="O134" s="2" t="str">
        <v>官网来源</v>
      </c>
    </row>
    <row r="135" ht="30" customHeight="1">
      <c r="A135" s="7" t="str">
        <v>林产工业</v>
      </c>
      <c r="B135" s="7" t="str">
        <v>林学木材与草业</v>
      </c>
      <c r="C135" s="21" t="n">
        <v>4.483</v>
      </c>
      <c r="D135" s="21" t="n">
        <v>3.96</v>
      </c>
      <c r="E135" s="13" t="n">
        <v>2024</v>
      </c>
      <c r="F135" s="13" t="n">
        <v>2025</v>
      </c>
      <c r="G135" s="2" t="str">
        <v>国内年报口径；不与JIF混排</v>
      </c>
      <c r="H135" s="2" t="str">
        <v>不按此口径列示</v>
      </c>
      <c r="I135" s="2" t="str">
        <v>已提取2025版原表</v>
      </c>
      <c r="J135" s="10" t="n">
        <v>150</v>
      </c>
      <c r="K135" s="2" t="str">
        <v>2025版年报统计年为2024。</v>
      </c>
      <c r="L135" s="14" t="str">
        <v>年报原页</v>
      </c>
      <c r="M135" s="14" t="str">
        <v>https://lcgy.cbpt.cnki.net/portal/journal/portal/client/index</v>
      </c>
      <c r="N135" s="7" t="str">
        <v>期刊/出版平台页面检索核对</v>
      </c>
      <c r="O135" s="2" t="str">
        <v>官网来源</v>
      </c>
    </row>
    <row r="136" ht="30" customHeight="1">
      <c r="A136" s="7" t="str">
        <v>林产化学与工业</v>
      </c>
      <c r="B136" s="7" t="str">
        <v>林学木材与草业</v>
      </c>
      <c r="C136" s="21" t="n">
        <v>1.567</v>
      </c>
      <c r="D136" s="21" t="n">
        <v>1.051</v>
      </c>
      <c r="E136" s="13" t="n">
        <v>2024</v>
      </c>
      <c r="F136" s="13" t="n">
        <v>2025</v>
      </c>
      <c r="G136" s="2" t="str">
        <v>国内年报口径；不与JIF混排</v>
      </c>
      <c r="H136" s="2" t="str">
        <v>不按此口径列示</v>
      </c>
      <c r="I136" s="2" t="str">
        <v>已提取2025版原表</v>
      </c>
      <c r="J136" s="10" t="n">
        <v>143</v>
      </c>
      <c r="K136" s="2" t="str">
        <v>2025版年报统计年为2024。</v>
      </c>
      <c r="L136" s="14" t="str">
        <v>年报原页</v>
      </c>
      <c r="M136" s="14" t="str">
        <v>https://www.aeeisp.com/lchxygy/</v>
      </c>
      <c r="N136" s="7" t="str">
        <v>期刊/出版平台页面检索核对</v>
      </c>
      <c r="O136" s="2" t="str">
        <v>官网来源</v>
      </c>
    </row>
    <row r="137" ht="30" customHeight="1">
      <c r="A137" s="7" t="str">
        <v>森林与环境学报</v>
      </c>
      <c r="B137" s="7" t="str">
        <v>林学木材与草业</v>
      </c>
      <c r="C137" s="21" t="n">
        <v>3.317</v>
      </c>
      <c r="D137" s="21" t="n">
        <v>2.143</v>
      </c>
      <c r="E137" s="13" t="n">
        <v>2024</v>
      </c>
      <c r="F137" s="13" t="n">
        <v>2025</v>
      </c>
      <c r="G137" s="2" t="str">
        <v>国内年报口径；不与JIF混排</v>
      </c>
      <c r="H137" s="2" t="str">
        <v>不按此口径列示</v>
      </c>
      <c r="I137" s="2" t="str">
        <v>已提取2025版原表</v>
      </c>
      <c r="J137" s="10" t="n">
        <v>100</v>
      </c>
      <c r="K137" s="2" t="str">
        <v>2025版年报统计年为2024。</v>
      </c>
      <c r="L137" s="14" t="str">
        <v>年报原页</v>
      </c>
      <c r="M137" s="14" t="str">
        <v>https://fjlxyxb.fafu.edu.cn/</v>
      </c>
      <c r="N137" s="7" t="str">
        <v>期刊/出版平台页面检索核对</v>
      </c>
      <c r="O137" s="2" t="str">
        <v>官网来源</v>
      </c>
    </row>
    <row r="138" ht="30" customHeight="1">
      <c r="A138" s="7" t="str">
        <v>中国城市林业</v>
      </c>
      <c r="B138" s="7" t="str">
        <v>林学木材与草业</v>
      </c>
      <c r="C138" s="21" t="n">
        <v>2.301</v>
      </c>
      <c r="D138" s="21" t="n">
        <v>1.475</v>
      </c>
      <c r="E138" s="13" t="n">
        <v>2024</v>
      </c>
      <c r="F138" s="13" t="n">
        <v>2025</v>
      </c>
      <c r="G138" s="2" t="str">
        <v>国内年报口径；不与JIF混排</v>
      </c>
      <c r="H138" s="2" t="str">
        <v>不按此口径列示</v>
      </c>
      <c r="I138" s="2" t="str">
        <v>已提取2025版原表</v>
      </c>
      <c r="J138" s="10" t="n">
        <v>101</v>
      </c>
      <c r="K138" s="2" t="str">
        <v>2025版年报统计年为2024。</v>
      </c>
      <c r="L138" s="14" t="str">
        <v>年报原页</v>
      </c>
      <c r="M138" s="14" t="str">
        <v>https://csly.cbpt.cnki.net/portal</v>
      </c>
      <c r="N138" s="7" t="str">
        <v>期刊/出版平台页面检索核对</v>
      </c>
      <c r="O138" s="2" t="str">
        <v>官网来源</v>
      </c>
    </row>
    <row r="139" ht="30" customHeight="1">
      <c r="A139" s="7" t="str">
        <v>草业学报</v>
      </c>
      <c r="B139" s="7" t="str">
        <v>林学木材与草业</v>
      </c>
      <c r="C139" s="21" t="n">
        <v>4.829</v>
      </c>
      <c r="D139" s="21" t="n">
        <v>2.869</v>
      </c>
      <c r="E139" s="13" t="n">
        <v>2024</v>
      </c>
      <c r="F139" s="13" t="n">
        <v>2025</v>
      </c>
      <c r="G139" s="2" t="str">
        <v>国内年报口径；不与JIF混排</v>
      </c>
      <c r="H139" s="2" t="str">
        <v>不按此口径列示</v>
      </c>
      <c r="I139" s="2" t="str">
        <v>已提取2025版原表</v>
      </c>
      <c r="J139" s="10" t="n">
        <v>102</v>
      </c>
      <c r="K139" s="2" t="str">
        <v>2025版年报统计年为2024。</v>
      </c>
      <c r="L139" s="14" t="str">
        <v>年报原页</v>
      </c>
      <c r="M139" s="14" t="str">
        <v>http://cyxb.magtech.com.cn/CN/1004-5759/home.shtml</v>
      </c>
      <c r="N139" s="7" t="str">
        <v>期刊/主办方官方入口匹配</v>
      </c>
      <c r="O139" s="2" t="str">
        <v>官网来源</v>
      </c>
    </row>
    <row r="140" ht="30" customHeight="1">
      <c r="A140" s="7" t="str">
        <v>草地学报</v>
      </c>
      <c r="B140" s="7" t="str">
        <v>林学木材与草业</v>
      </c>
      <c r="C140" s="21" t="n">
        <v>4.46</v>
      </c>
      <c r="D140" s="21" t="n">
        <v>2.871</v>
      </c>
      <c r="E140" s="13" t="n">
        <v>2024</v>
      </c>
      <c r="F140" s="13" t="n">
        <v>2025</v>
      </c>
      <c r="G140" s="2" t="str">
        <v>国内年报口径；不与JIF混排</v>
      </c>
      <c r="H140" s="2" t="str">
        <v>不按此口径列示</v>
      </c>
      <c r="I140" s="2" t="str">
        <v>已提取2025版原表</v>
      </c>
      <c r="J140" s="10" t="n">
        <v>102</v>
      </c>
      <c r="K140" s="2" t="str">
        <v>2025版年报统计年为2024。</v>
      </c>
      <c r="L140" s="14" t="str">
        <v>年报原页</v>
      </c>
      <c r="M140" s="14" t="str">
        <v>https://manu40.magtech.com.cn/Jweb_cdxb/CN/1007-0435/home.shtml</v>
      </c>
      <c r="N140" s="7" t="str">
        <v>期刊/出版平台页面检索核对</v>
      </c>
      <c r="O140" s="2" t="str">
        <v>官网来源</v>
      </c>
    </row>
    <row r="141" ht="30" customHeight="1">
      <c r="A141" s="7" t="str">
        <v>草业科学</v>
      </c>
      <c r="B141" s="7" t="str">
        <v>林学木材与草业</v>
      </c>
      <c r="C141" s="21" t="n">
        <v>2.759</v>
      </c>
      <c r="D141" s="21" t="n">
        <v>1.945</v>
      </c>
      <c r="E141" s="13" t="n">
        <v>2024</v>
      </c>
      <c r="F141" s="13" t="n">
        <v>2025</v>
      </c>
      <c r="G141" s="2" t="str">
        <v>国内年报口径；不与JIF混排</v>
      </c>
      <c r="H141" s="2" t="str">
        <v>不按此口径列示</v>
      </c>
      <c r="I141" s="2" t="str">
        <v>已提取2025版原表</v>
      </c>
      <c r="J141" s="10" t="n">
        <v>102</v>
      </c>
      <c r="K141" s="2" t="str">
        <v>2025版年报统计年为2024。</v>
      </c>
      <c r="L141" s="14" t="str">
        <v>年报原页</v>
      </c>
      <c r="M141" s="14" t="str">
        <v>https://www.integrativebiology.ac.cn/cykx/CN/home</v>
      </c>
      <c r="N141" s="7" t="str">
        <v>期刊/出版平台页面检索核对</v>
      </c>
      <c r="O141" s="2" t="str">
        <v>官网来源</v>
      </c>
    </row>
    <row r="142" ht="30" customHeight="1">
      <c r="A142" s="7" t="str">
        <v>中国草地学报</v>
      </c>
      <c r="B142" s="7" t="str">
        <v>林学木材与草业</v>
      </c>
      <c r="C142" s="21" t="n">
        <v>4.834</v>
      </c>
      <c r="D142" s="21" t="n">
        <v>3.22</v>
      </c>
      <c r="E142" s="13" t="n">
        <v>2024</v>
      </c>
      <c r="F142" s="13" t="n">
        <v>2025</v>
      </c>
      <c r="G142" s="2" t="str">
        <v>国内年报口径；不与JIF混排</v>
      </c>
      <c r="H142" s="2" t="str">
        <v>不按此口径列示</v>
      </c>
      <c r="I142" s="2" t="str">
        <v>已提取2025版原表</v>
      </c>
      <c r="J142" s="10" t="n">
        <v>102</v>
      </c>
      <c r="K142" s="2" t="str">
        <v>2025版年报统计年为2024。</v>
      </c>
      <c r="L142" s="14" t="str">
        <v>年报原页</v>
      </c>
      <c r="M142" s="14" t="str">
        <v>https://manu32.magtech.com.cn/zgcdxb/CN/home</v>
      </c>
      <c r="N142" s="7" t="str">
        <v>期刊/出版平台页面检索核对</v>
      </c>
      <c r="O142" s="2" t="str">
        <v>官网来源</v>
      </c>
    </row>
    <row r="143" ht="30" customHeight="1">
      <c r="A143" s="7" t="str">
        <v>草原与草坪</v>
      </c>
      <c r="B143" s="7" t="str">
        <v>林学木材与草业</v>
      </c>
      <c r="C143" s="21" t="n">
        <v>1.915</v>
      </c>
      <c r="D143" s="21" t="n">
        <v>1.379</v>
      </c>
      <c r="E143" s="13" t="n">
        <v>2024</v>
      </c>
      <c r="F143" s="13" t="n">
        <v>2025</v>
      </c>
      <c r="G143" s="2" t="str">
        <v>国内年报口径；不与JIF混排</v>
      </c>
      <c r="H143" s="2" t="str">
        <v>不按此口径列示</v>
      </c>
      <c r="I143" s="2" t="str">
        <v>已提取2025版原表</v>
      </c>
      <c r="J143" s="10" t="n">
        <v>103</v>
      </c>
      <c r="K143" s="2" t="str">
        <v>2025版年报统计年为2024。</v>
      </c>
      <c r="L143" s="14" t="str">
        <v>年报原页</v>
      </c>
      <c r="M143" s="14" t="str">
        <v>https://cycp.cbpt.cnki.net/WKB/WebPublication/index.aspx?mid=cycp</v>
      </c>
      <c r="N143" s="7" t="str">
        <v>期刊/出版平台页面检索核对</v>
      </c>
      <c r="O143" s="2" t="str">
        <v>官网来源</v>
      </c>
    </row>
    <row r="144" ht="30" customHeight="1">
      <c r="A144" s="7" t="str">
        <v>竹子学报</v>
      </c>
      <c r="B144" s="7" t="str">
        <v>林学木材与草业</v>
      </c>
      <c r="C144" s="21" t="n">
        <v>0.87</v>
      </c>
      <c r="D144" s="21" t="n">
        <v>0.69</v>
      </c>
      <c r="E144" s="13" t="n">
        <v>2024</v>
      </c>
      <c r="F144" s="13" t="n">
        <v>2025</v>
      </c>
      <c r="G144" s="2" t="str">
        <v>国内年报口径；不与JIF混排</v>
      </c>
      <c r="H144" s="2" t="str">
        <v>不按此口径列示</v>
      </c>
      <c r="I144" s="2" t="str">
        <v>已提取2025版原表</v>
      </c>
      <c r="J144" s="10" t="n">
        <v>101</v>
      </c>
      <c r="K144" s="2" t="str">
        <v>2025版年报统计年为2024。</v>
      </c>
      <c r="L144" s="14" t="str">
        <v>年报原页</v>
      </c>
      <c r="M144" s="14" t="str">
        <v>https://journals.caf.ac.cn/zzxb/</v>
      </c>
      <c r="N144" s="7" t="str">
        <v>期刊/出版平台页面检索核对</v>
      </c>
      <c r="O144" s="2" t="str">
        <v>官网来源</v>
      </c>
    </row>
    <row r="145" ht="30" customHeight="1">
      <c r="A145" s="7" t="str">
        <v>畜牧兽医学报</v>
      </c>
      <c r="B145" s="7" t="str">
        <v>畜牧兽医与动物营养</v>
      </c>
      <c r="C145" s="21" t="n">
        <v>1.963</v>
      </c>
      <c r="D145" s="21" t="n">
        <v>1.33</v>
      </c>
      <c r="E145" s="13" t="n">
        <v>2024</v>
      </c>
      <c r="F145" s="13" t="n">
        <v>2025</v>
      </c>
      <c r="G145" s="2" t="str">
        <v>国内年报口径；不与JIF混排</v>
      </c>
      <c r="H145" s="2" t="str">
        <v>不按此口径列示</v>
      </c>
      <c r="I145" s="2" t="str">
        <v>已提取2025版原表</v>
      </c>
      <c r="J145" s="10" t="n">
        <v>102</v>
      </c>
      <c r="K145" s="2" t="str">
        <v>2025版年报统计年为2024。</v>
      </c>
      <c r="L145" s="14" t="str">
        <v>年报原页</v>
      </c>
      <c r="M145" s="14" t="str">
        <v>https://www.xmsyxb.com/CN/0366-6964/home.shtml</v>
      </c>
      <c r="N145" s="7" t="str">
        <v>期刊/出版平台页面检索核对</v>
      </c>
      <c r="O145" s="2" t="str">
        <v>官网来源</v>
      </c>
    </row>
    <row r="146" ht="30" customHeight="1">
      <c r="A146" s="7" t="str">
        <v>中国畜牧兽医</v>
      </c>
      <c r="B146" s="7" t="str">
        <v>畜牧兽医与动物营养</v>
      </c>
      <c r="C146" s="21" t="n">
        <v>1.992</v>
      </c>
      <c r="D146" s="21" t="n">
        <v>1.373</v>
      </c>
      <c r="E146" s="13" t="n">
        <v>2024</v>
      </c>
      <c r="F146" s="13" t="n">
        <v>2025</v>
      </c>
      <c r="G146" s="2" t="str">
        <v>国内年报口径；不与JIF混排</v>
      </c>
      <c r="H146" s="2" t="str">
        <v>不按此口径列示</v>
      </c>
      <c r="I146" s="2" t="str">
        <v>已提取2025版原表</v>
      </c>
      <c r="J146" s="10" t="n">
        <v>102</v>
      </c>
      <c r="K146" s="2" t="str">
        <v>2025版年报统计年为2024。</v>
      </c>
      <c r="L146" s="14" t="str">
        <v>年报原页</v>
      </c>
      <c r="M146" s="14" t="str">
        <v>https://www.zgxmsy.cn/CN/1671-7236/home.shtml</v>
      </c>
      <c r="N146" s="7" t="str">
        <v>期刊/出版平台页面检索核对</v>
      </c>
      <c r="O146" s="2" t="str">
        <v>官网来源</v>
      </c>
    </row>
    <row r="147" ht="30" customHeight="1">
      <c r="A147" s="7" t="str">
        <v>中国畜牧杂志</v>
      </c>
      <c r="B147" s="7" t="str">
        <v>畜牧兽医与动物营养</v>
      </c>
      <c r="C147" s="21" t="n">
        <v>2.363</v>
      </c>
      <c r="D147" s="21" t="n">
        <v>1.513</v>
      </c>
      <c r="E147" s="13" t="n">
        <v>2024</v>
      </c>
      <c r="F147" s="13" t="n">
        <v>2025</v>
      </c>
      <c r="G147" s="2" t="str">
        <v>国内年报口径；不与JIF混排</v>
      </c>
      <c r="H147" s="2" t="str">
        <v>不按此口径列示</v>
      </c>
      <c r="I147" s="2" t="str">
        <v>已提取2025版原表</v>
      </c>
      <c r="J147" s="10" t="n">
        <v>102</v>
      </c>
      <c r="K147" s="2" t="str">
        <v>2025版年报统计年为2024。</v>
      </c>
      <c r="L147" s="14" t="str">
        <v>年报原页</v>
      </c>
      <c r="M147" s="14" t="str">
        <v>https://www.zgxmzz.cn/</v>
      </c>
      <c r="N147" s="7" t="str">
        <v>期刊/主办方官方入口匹配</v>
      </c>
      <c r="O147" s="2" t="str">
        <v>官网来源</v>
      </c>
    </row>
    <row r="148" ht="30" customHeight="1">
      <c r="A148" s="7" t="str">
        <v>动物营养学报</v>
      </c>
      <c r="B148" s="7" t="str">
        <v>畜牧兽医与动物营养</v>
      </c>
      <c r="C148" s="21" t="n">
        <v>3.825</v>
      </c>
      <c r="D148" s="21" t="n">
        <v>2.611</v>
      </c>
      <c r="E148" s="13" t="n">
        <v>2024</v>
      </c>
      <c r="F148" s="13" t="n">
        <v>2025</v>
      </c>
      <c r="G148" s="2" t="str">
        <v>国内年报口径；不与JIF混排</v>
      </c>
      <c r="H148" s="2" t="str">
        <v>不按此口径列示</v>
      </c>
      <c r="I148" s="2" t="str">
        <v>已提取2025版原表</v>
      </c>
      <c r="J148" s="10" t="n">
        <v>102</v>
      </c>
      <c r="K148" s="2" t="str">
        <v>2025版年报统计年为2024。</v>
      </c>
      <c r="L148" s="14" t="str">
        <v>年报原页</v>
      </c>
      <c r="M148" s="14" t="str">
        <v>https://www.chinajan.com/CN/home</v>
      </c>
      <c r="N148" s="7" t="str">
        <v>期刊/出版平台页面检索核对</v>
      </c>
      <c r="O148" s="2" t="str">
        <v>官网来源</v>
      </c>
    </row>
    <row r="149" ht="30" customHeight="1">
      <c r="A149" s="7" t="str">
        <v>中国兽医学报</v>
      </c>
      <c r="B149" s="7" t="str">
        <v>畜牧兽医与动物营养</v>
      </c>
      <c r="C149" s="21" t="n">
        <v>1.483</v>
      </c>
      <c r="D149" s="21" t="n">
        <v>0.944</v>
      </c>
      <c r="E149" s="13" t="n">
        <v>2024</v>
      </c>
      <c r="F149" s="13" t="n">
        <v>2025</v>
      </c>
      <c r="G149" s="2" t="str">
        <v>国内年报口径；不与JIF混排</v>
      </c>
      <c r="H149" s="2" t="str">
        <v>不按此口径列示</v>
      </c>
      <c r="I149" s="2" t="str">
        <v>已提取2025版原表</v>
      </c>
      <c r="J149" s="10" t="n">
        <v>103</v>
      </c>
      <c r="K149" s="2" t="str">
        <v>2025版年报统计年为2024。</v>
      </c>
      <c r="L149" s="14" t="str">
        <v>年报原页</v>
      </c>
      <c r="M149" s="14" t="str">
        <v>https://cjournal.hep.com.cn/1005-4545/CN/home</v>
      </c>
      <c r="N149" s="7" t="str">
        <v>期刊/出版平台页面检索核对</v>
      </c>
      <c r="O149" s="2" t="str">
        <v>官网来源</v>
      </c>
    </row>
    <row r="150" ht="30" customHeight="1">
      <c r="A150" s="7" t="str">
        <v>中国预防兽医学报</v>
      </c>
      <c r="B150" s="7" t="str">
        <v>畜牧兽医与动物营养</v>
      </c>
      <c r="C150" s="21" t="n">
        <v>2.282</v>
      </c>
      <c r="D150" s="21" t="n">
        <v>1.813</v>
      </c>
      <c r="E150" s="13" t="n">
        <v>2024</v>
      </c>
      <c r="F150" s="13" t="n">
        <v>2025</v>
      </c>
      <c r="G150" s="2" t="str">
        <v>国内年报口径；不与JIF混排</v>
      </c>
      <c r="H150" s="2" t="str">
        <v>不按此口径列示</v>
      </c>
      <c r="I150" s="2" t="str">
        <v>已提取2025版原表</v>
      </c>
      <c r="J150" s="10" t="n">
        <v>103</v>
      </c>
      <c r="K150" s="2" t="str">
        <v>2025版年报统计年为2024。</v>
      </c>
      <c r="L150" s="14" t="str">
        <v>年报原页</v>
      </c>
      <c r="M150" s="14" t="str">
        <v>https://caas.cn/xxfw/zyfw/cqk/feb9a2c6dbfb4cb0b212753e4a51d583.htm</v>
      </c>
      <c r="N150" s="7" t="str">
        <v>期刊/出版平台页面检索核对</v>
      </c>
      <c r="O150" s="2" t="str">
        <v>官网来源</v>
      </c>
    </row>
    <row r="151" ht="30" customHeight="1">
      <c r="A151" s="7" t="str">
        <v>中国兽医科学</v>
      </c>
      <c r="B151" s="7" t="str">
        <v>畜牧兽医与动物营养</v>
      </c>
      <c r="C151" s="21" t="n">
        <v>1.488</v>
      </c>
      <c r="D151" s="21" t="n">
        <v>0.869</v>
      </c>
      <c r="E151" s="13" t="n">
        <v>2024</v>
      </c>
      <c r="F151" s="13" t="n">
        <v>2025</v>
      </c>
      <c r="G151" s="2" t="str">
        <v>国内年报口径；不与JIF混排</v>
      </c>
      <c r="H151" s="2" t="str">
        <v>不按此口径列示</v>
      </c>
      <c r="I151" s="2" t="str">
        <v>已提取2025版原表</v>
      </c>
      <c r="J151" s="10" t="n">
        <v>103</v>
      </c>
      <c r="K151" s="2" t="str">
        <v>2025版年报统计年为2024。</v>
      </c>
      <c r="L151" s="14" t="str">
        <v>年报原页</v>
      </c>
      <c r="M151" s="14" t="str">
        <v>https://zgsy.cbpt.cnki.net/portal</v>
      </c>
      <c r="N151" s="7" t="str">
        <v>期刊/出版平台页面检索核对</v>
      </c>
      <c r="O151" s="2" t="str">
        <v>官网来源</v>
      </c>
    </row>
    <row r="152" ht="30" customHeight="1">
      <c r="A152" s="7" t="str">
        <v>中国兽医杂志</v>
      </c>
      <c r="B152" s="7" t="str">
        <v>畜牧兽医与动物营养</v>
      </c>
      <c r="C152" s="21" t="n">
        <v>0.932</v>
      </c>
      <c r="D152" s="21" t="n">
        <v>0.628</v>
      </c>
      <c r="E152" s="13" t="n">
        <v>2024</v>
      </c>
      <c r="F152" s="13" t="n">
        <v>2025</v>
      </c>
      <c r="G152" s="2" t="str">
        <v>国内年报口径；不与JIF混排</v>
      </c>
      <c r="H152" s="2" t="str">
        <v>不按此口径列示</v>
      </c>
      <c r="I152" s="2" t="str">
        <v>已提取2025版原表</v>
      </c>
      <c r="J152" s="10" t="n">
        <v>103</v>
      </c>
      <c r="K152" s="2" t="str">
        <v>2025版年报统计年为2024。</v>
      </c>
      <c r="L152" s="14" t="str">
        <v>年报原页</v>
      </c>
      <c r="M152" s="14" t="str">
        <v>https://www.zsyz.cbpt.cnki.net/WKB3/WebPublication/index.aspx?mid=ZSYZ</v>
      </c>
      <c r="N152" s="7" t="str">
        <v>期刊/出版平台页面检索核对</v>
      </c>
      <c r="O152" s="2" t="str">
        <v>官网来源</v>
      </c>
    </row>
    <row r="153" ht="30" customHeight="1">
      <c r="A153" s="7" t="str">
        <v>中国动物检疫</v>
      </c>
      <c r="B153" s="7" t="str">
        <v>畜牧兽医与动物营养</v>
      </c>
      <c r="C153" s="21" t="n">
        <v>1.141</v>
      </c>
      <c r="D153" s="21" t="n">
        <v>0.785</v>
      </c>
      <c r="E153" s="13" t="n">
        <v>2024</v>
      </c>
      <c r="F153" s="13" t="n">
        <v>2025</v>
      </c>
      <c r="G153" s="2" t="str">
        <v>国内年报口径；不与JIF混排</v>
      </c>
      <c r="H153" s="2" t="str">
        <v>不按此口径列示</v>
      </c>
      <c r="I153" s="2" t="str">
        <v>已提取2025版原表</v>
      </c>
      <c r="J153" s="10" t="n">
        <v>103</v>
      </c>
      <c r="K153" s="2" t="str">
        <v>2025版年报统计年为2024。</v>
      </c>
      <c r="L153" s="14" t="str">
        <v>年报原页</v>
      </c>
      <c r="M153" s="14" t="str">
        <v>https://zgdw.cbpt.cnki.net/WKD2/WebPublication/index.aspx?mid=zgdw</v>
      </c>
      <c r="N153" s="7" t="str">
        <v>期刊/出版平台页面检索核对</v>
      </c>
      <c r="O153" s="2" t="str">
        <v>官网来源</v>
      </c>
    </row>
    <row r="154" ht="30" customHeight="1">
      <c r="A154" s="7" t="str">
        <v>中国家禽</v>
      </c>
      <c r="B154" s="7" t="str">
        <v>畜牧兽医与动物营养</v>
      </c>
      <c r="C154" s="21" t="n">
        <v>2.108</v>
      </c>
      <c r="D154" s="21" t="n">
        <v>1.395</v>
      </c>
      <c r="E154" s="13" t="n">
        <v>2024</v>
      </c>
      <c r="F154" s="13" t="n">
        <v>2025</v>
      </c>
      <c r="G154" s="2" t="str">
        <v>国内年报口径；不与JIF混排</v>
      </c>
      <c r="H154" s="2" t="str">
        <v>不按此口径列示</v>
      </c>
      <c r="I154" s="2" t="str">
        <v>已提取2025版原表</v>
      </c>
      <c r="J154" s="10" t="n">
        <v>103</v>
      </c>
      <c r="K154" s="2" t="str">
        <v>2025版年报统计年为2024。</v>
      </c>
      <c r="L154" s="14" t="str">
        <v>年报原页</v>
      </c>
      <c r="M154" s="14" t="str">
        <v>http://www.zgjqzz.net/</v>
      </c>
      <c r="N154" s="7" t="str">
        <v>期刊/出版平台页面检索核对</v>
      </c>
      <c r="O154" s="2" t="str">
        <v>官网来源</v>
      </c>
    </row>
    <row r="155" ht="30" customHeight="1">
      <c r="A155" s="7" t="str">
        <v>家畜生态学报</v>
      </c>
      <c r="B155" s="7" t="str">
        <v>畜牧兽医与动物营养</v>
      </c>
      <c r="C155" s="21" t="n">
        <v>1.849</v>
      </c>
      <c r="D155" s="21" t="n">
        <v>1.305</v>
      </c>
      <c r="E155" s="13" t="n">
        <v>2024</v>
      </c>
      <c r="F155" s="13" t="n">
        <v>2025</v>
      </c>
      <c r="G155" s="2" t="str">
        <v>国内年报口径；不与JIF混排</v>
      </c>
      <c r="H155" s="2" t="str">
        <v>不按此口径列示</v>
      </c>
      <c r="I155" s="2" t="str">
        <v>已提取2025版原表</v>
      </c>
      <c r="J155" s="10" t="n">
        <v>103</v>
      </c>
      <c r="K155" s="2" t="str">
        <v>2025版年报统计年为2024。</v>
      </c>
      <c r="L155" s="14" t="str">
        <v>年报原页</v>
      </c>
      <c r="M155" s="14" t="str">
        <v>http://jcst.magtech.com.cn/</v>
      </c>
      <c r="N155" s="7" t="str">
        <v>期刊/出版平台页面检索核对</v>
      </c>
      <c r="O155" s="2" t="str">
        <v>官网来源</v>
      </c>
    </row>
    <row r="156" ht="30" customHeight="1">
      <c r="A156" s="7" t="str">
        <v>家禽科学</v>
      </c>
      <c r="B156" s="7" t="str">
        <v>畜牧兽医与动物营养</v>
      </c>
      <c r="C156" s="21" t="n">
        <v>0.396</v>
      </c>
      <c r="D156" s="21" t="n">
        <v>0.26</v>
      </c>
      <c r="E156" s="13" t="n">
        <v>2024</v>
      </c>
      <c r="F156" s="13" t="n">
        <v>2025</v>
      </c>
      <c r="G156" s="2" t="str">
        <v>国内年报口径；不与JIF混排</v>
      </c>
      <c r="H156" s="2" t="str">
        <v>不按此口径列示</v>
      </c>
      <c r="I156" s="2" t="str">
        <v>已提取2025版原表</v>
      </c>
      <c r="J156" s="10" t="n">
        <v>104</v>
      </c>
      <c r="K156" s="2" t="str">
        <v>2025版年报统计年为2024。</v>
      </c>
      <c r="L156" s="14" t="str">
        <v>年报原页</v>
      </c>
      <c r="M156" s="14" t="str">
        <v>https://cook.cbpt.cnki.net/WKA/WebPublication/index.aspx?mid=cook</v>
      </c>
      <c r="N156" s="7" t="str">
        <v>期刊/出版平台页面检索核对</v>
      </c>
      <c r="O156" s="2" t="str">
        <v>官网来源</v>
      </c>
    </row>
    <row r="157" ht="30" customHeight="1">
      <c r="A157" s="7" t="str">
        <v>中国饲料</v>
      </c>
      <c r="B157" s="7" t="str">
        <v>畜牧兽医与动物营养</v>
      </c>
      <c r="C157" s="21" t="n">
        <v>1.954</v>
      </c>
      <c r="D157" s="21" t="n">
        <v>1.397</v>
      </c>
      <c r="E157" s="13" t="n">
        <v>2024</v>
      </c>
      <c r="F157" s="13" t="n">
        <v>2025</v>
      </c>
      <c r="G157" s="2" t="str">
        <v>国内年报口径；不与JIF混排</v>
      </c>
      <c r="H157" s="2" t="str">
        <v>不按此口径列示</v>
      </c>
      <c r="I157" s="2" t="str">
        <v>已提取2025版原表</v>
      </c>
      <c r="J157" s="10" t="n">
        <v>102</v>
      </c>
      <c r="K157" s="2" t="str">
        <v>2025版年报统计年为2024。</v>
      </c>
      <c r="L157" s="14" t="str">
        <v>年报原页</v>
      </c>
      <c r="M157" s="14" t="str">
        <v>https://journal.chinafeed.com.cn/CN/1004-3314/home.shtml</v>
      </c>
      <c r="N157" s="7" t="str">
        <v>期刊/出版平台页面检索核对</v>
      </c>
      <c r="O157" s="2" t="str">
        <v>官网来源</v>
      </c>
    </row>
    <row r="158" ht="30" customHeight="1">
      <c r="A158" s="7" t="str">
        <v>饲料工业</v>
      </c>
      <c r="B158" s="7" t="str">
        <v>畜牧兽医与动物营养</v>
      </c>
      <c r="C158" s="21" t="n">
        <v>2.82</v>
      </c>
      <c r="D158" s="21" t="n">
        <v>1.865</v>
      </c>
      <c r="E158" s="13" t="n">
        <v>2024</v>
      </c>
      <c r="F158" s="13" t="n">
        <v>2025</v>
      </c>
      <c r="G158" s="2" t="str">
        <v>国内年报口径；不与JIF混排</v>
      </c>
      <c r="H158" s="2" t="str">
        <v>不按此口径列示</v>
      </c>
      <c r="I158" s="2" t="str">
        <v>已提取2025版原表</v>
      </c>
      <c r="J158" s="10" t="n">
        <v>102</v>
      </c>
      <c r="K158" s="2" t="str">
        <v>2025版年报统计年为2024。</v>
      </c>
      <c r="L158" s="14" t="str">
        <v>年报原页</v>
      </c>
      <c r="M158" s="14" t="str">
        <v>https://feed.cbpt.cnki.net/portal</v>
      </c>
      <c r="N158" s="7" t="str">
        <v>期刊/主办方官方入口匹配</v>
      </c>
      <c r="O158" s="2" t="str">
        <v>官网来源</v>
      </c>
    </row>
    <row r="159" ht="30" customHeight="1">
      <c r="A159" s="7" t="str">
        <v>饲料研究</v>
      </c>
      <c r="B159" s="7" t="str">
        <v>畜牧兽医与动物营养</v>
      </c>
      <c r="C159" s="21" t="n">
        <v>2.835</v>
      </c>
      <c r="D159" s="21" t="n">
        <v>1.996</v>
      </c>
      <c r="E159" s="13" t="n">
        <v>2024</v>
      </c>
      <c r="F159" s="13" t="n">
        <v>2025</v>
      </c>
      <c r="G159" s="2" t="str">
        <v>国内年报口径；不与JIF混排</v>
      </c>
      <c r="H159" s="2" t="str">
        <v>不按此口径列示</v>
      </c>
      <c r="I159" s="2" t="str">
        <v>已提取2025版原表</v>
      </c>
      <c r="J159" s="10" t="n">
        <v>102</v>
      </c>
      <c r="K159" s="2" t="str">
        <v>2025版年报统计年为2024。</v>
      </c>
      <c r="L159" s="14" t="str">
        <v>年报原页</v>
      </c>
      <c r="M159" s="14" t="str">
        <v>http://slyj.publish.founderss.cn/</v>
      </c>
      <c r="N159" s="7" t="str">
        <v>期刊/主办方官方入口匹配</v>
      </c>
      <c r="O159" s="2" t="str">
        <v>官网来源</v>
      </c>
    </row>
    <row r="160" ht="30" customHeight="1">
      <c r="A160" s="7" t="str">
        <v>中国奶牛</v>
      </c>
      <c r="B160" s="7" t="str">
        <v>畜牧兽医与动物营养</v>
      </c>
      <c r="C160" s="21" t="n">
        <v>1.222</v>
      </c>
      <c r="D160" s="21" t="n">
        <v>0.791</v>
      </c>
      <c r="E160" s="13" t="n">
        <v>2024</v>
      </c>
      <c r="F160" s="13" t="n">
        <v>2025</v>
      </c>
      <c r="G160" s="2" t="str">
        <v>国内年报口径；不与JIF混排</v>
      </c>
      <c r="H160" s="2" t="str">
        <v>不按此口径列示</v>
      </c>
      <c r="I160" s="2" t="str">
        <v>已提取2025版原表</v>
      </c>
      <c r="J160" s="10" t="n">
        <v>103</v>
      </c>
      <c r="K160" s="2" t="str">
        <v>2025版年报统计年为2024。</v>
      </c>
      <c r="L160" s="14" t="str">
        <v>年报原页</v>
      </c>
      <c r="M160" s="14" t="str">
        <v>https://www.zgnn.org.cn/CN/volumn/current.shtml</v>
      </c>
      <c r="N160" s="7" t="str">
        <v>期刊/出版平台页面检索核对</v>
      </c>
      <c r="O160" s="2" t="str">
        <v>官网来源</v>
      </c>
    </row>
    <row r="161" ht="30" customHeight="1">
      <c r="A161" s="7" t="str">
        <v>中国乳品工业</v>
      </c>
      <c r="B161" s="7" t="str">
        <v>畜牧兽医与动物营养</v>
      </c>
      <c r="C161" s="21" t="n">
        <v>1.785</v>
      </c>
      <c r="D161" s="21" t="n">
        <v>1.218</v>
      </c>
      <c r="E161" s="13" t="n">
        <v>2024</v>
      </c>
      <c r="F161" s="13" t="n">
        <v>2025</v>
      </c>
      <c r="G161" s="2" t="str">
        <v>国内年报口径；不与JIF混排</v>
      </c>
      <c r="H161" s="2" t="str">
        <v>不按此口径列示</v>
      </c>
      <c r="I161" s="2" t="str">
        <v>已提取2025版原表</v>
      </c>
      <c r="J161" s="10" t="n">
        <v>149</v>
      </c>
      <c r="K161" s="2" t="str">
        <v>2025版年报统计年为2024。</v>
      </c>
      <c r="L161" s="14" t="str">
        <v>年报原页</v>
      </c>
      <c r="M161" s="14" t="str">
        <v>https://rpgy.cbpt.cnki.net/WKI/WebPublication/index.aspx?mid=rpgy</v>
      </c>
      <c r="N161" s="7" t="str">
        <v>期刊/出版平台页面检索核对</v>
      </c>
      <c r="O161" s="2" t="str">
        <v>官网来源</v>
      </c>
    </row>
    <row r="162" ht="30" customHeight="1">
      <c r="A162" s="7" t="str">
        <v>乳业科学与技术</v>
      </c>
      <c r="B162" s="7" t="str">
        <v>畜牧兽医与动物营养</v>
      </c>
      <c r="C162" s="21" t="n">
        <v>1.074</v>
      </c>
      <c r="D162" s="21" t="n">
        <v>0.787</v>
      </c>
      <c r="E162" s="13" t="n">
        <v>2024</v>
      </c>
      <c r="F162" s="13" t="n">
        <v>2025</v>
      </c>
      <c r="G162" s="2" t="str">
        <v>国内年报口径；不与JIF混排</v>
      </c>
      <c r="H162" s="2" t="str">
        <v>不按此口径列示</v>
      </c>
      <c r="I162" s="2" t="str">
        <v>已提取2025版原表</v>
      </c>
      <c r="J162" s="10" t="n">
        <v>103</v>
      </c>
      <c r="K162" s="2" t="str">
        <v>2025版年报统计年为2024。</v>
      </c>
      <c r="L162" s="14" t="str">
        <v>年报原页</v>
      </c>
      <c r="M162" s="14" t="str">
        <v>https://www.dairyst.net.cn/</v>
      </c>
      <c r="N162" s="7" t="str">
        <v>期刊/主办方官方入口匹配</v>
      </c>
      <c r="O162" s="2" t="str">
        <v>官网来源</v>
      </c>
    </row>
    <row r="163" ht="30" customHeight="1">
      <c r="A163" s="7" t="str">
        <v>中国猪业</v>
      </c>
      <c r="B163" s="7" t="str">
        <v>畜牧兽医与动物营养</v>
      </c>
      <c r="C163" s="21" t="n">
        <v>0.774</v>
      </c>
      <c r="D163" s="21" t="n">
        <v>0.525</v>
      </c>
      <c r="E163" s="13" t="n">
        <v>2024</v>
      </c>
      <c r="F163" s="13" t="n">
        <v>2025</v>
      </c>
      <c r="G163" s="2" t="str">
        <v>国内年报口径；不与JIF混排</v>
      </c>
      <c r="H163" s="2" t="str">
        <v>不按此口径列示</v>
      </c>
      <c r="I163" s="2" t="str">
        <v>已提取2025版原表</v>
      </c>
      <c r="J163" s="10" t="n">
        <v>104</v>
      </c>
      <c r="K163" s="2" t="str">
        <v>2025版年报统计年为2024。</v>
      </c>
      <c r="L163" s="14" t="str">
        <v>年报原页</v>
      </c>
      <c r="M163" s="14" t="str">
        <v>https://zhuye.aiijournal.com/</v>
      </c>
      <c r="N163" s="7" t="str">
        <v>期刊/主办方官方入口匹配</v>
      </c>
      <c r="O163" s="2" t="str">
        <v>官网来源</v>
      </c>
    </row>
    <row r="164" ht="30" customHeight="1">
      <c r="A164" s="7" t="str">
        <v>养猪</v>
      </c>
      <c r="B164" s="7" t="str">
        <v>畜牧兽医与动物营养</v>
      </c>
      <c r="C164" s="21" t="n">
        <v>0.429</v>
      </c>
      <c r="D164" s="21" t="n">
        <v>0.257</v>
      </c>
      <c r="E164" s="13" t="n">
        <v>2024</v>
      </c>
      <c r="F164" s="13" t="n">
        <v>2025</v>
      </c>
      <c r="G164" s="2" t="str">
        <v>国内年报口径；不与JIF混排</v>
      </c>
      <c r="H164" s="2" t="str">
        <v>不按此口径列示</v>
      </c>
      <c r="I164" s="2" t="str">
        <v>已提取2025版原表</v>
      </c>
      <c r="J164" s="10" t="n">
        <v>104</v>
      </c>
      <c r="K164" s="2" t="str">
        <v>2025版年报统计年为2024。</v>
      </c>
      <c r="L164" s="14" t="str">
        <v>年报原页</v>
      </c>
      <c r="M164" s="14" t="str">
        <v>https://yzzz.cbpt.cnki.net/portal</v>
      </c>
      <c r="N164" s="7" t="str">
        <v>期刊/出版平台页面检索核对</v>
      </c>
      <c r="O164" s="2" t="str">
        <v>官网来源</v>
      </c>
    </row>
    <row r="165" ht="30" customHeight="1">
      <c r="A165" s="7" t="str">
        <v>中国草食动物科学</v>
      </c>
      <c r="B165" s="7" t="str">
        <v>畜牧兽医与动物营养</v>
      </c>
      <c r="C165" s="21" t="n">
        <v>1.558</v>
      </c>
      <c r="D165" s="21" t="n">
        <v>1.087</v>
      </c>
      <c r="E165" s="13" t="n">
        <v>2024</v>
      </c>
      <c r="F165" s="13" t="n">
        <v>2025</v>
      </c>
      <c r="G165" s="2" t="str">
        <v>国内年报口径；不与JIF混排</v>
      </c>
      <c r="H165" s="2" t="str">
        <v>不按此口径列示</v>
      </c>
      <c r="I165" s="2" t="str">
        <v>已提取2025版原表</v>
      </c>
      <c r="J165" s="10" t="n">
        <v>103</v>
      </c>
      <c r="K165" s="2" t="str">
        <v>2025版年报统计年为2024。</v>
      </c>
      <c r="L165" s="14" t="str">
        <v>年报原页</v>
      </c>
      <c r="M165" s="14" t="str">
        <v>http://www.cycz.chinajournal.net.cn/WKD/WebPublication/index.aspx?mid=cycz</v>
      </c>
      <c r="N165" s="7" t="str">
        <v>期刊/出版平台页面检索核对</v>
      </c>
      <c r="O165" s="2" t="str">
        <v>官网来源</v>
      </c>
    </row>
    <row r="166" ht="30" customHeight="1">
      <c r="A166" s="7" t="str">
        <v>黑龙江畜牧兽医</v>
      </c>
      <c r="B166" s="7" t="str">
        <v>畜牧兽医与动物营养</v>
      </c>
      <c r="C166" s="21" t="n">
        <v>1.658</v>
      </c>
      <c r="D166" s="21" t="n">
        <v>1.04</v>
      </c>
      <c r="E166" s="13" t="n">
        <v>2024</v>
      </c>
      <c r="F166" s="13" t="n">
        <v>2025</v>
      </c>
      <c r="G166" s="2" t="str">
        <v>国内年报口径；不与JIF混排</v>
      </c>
      <c r="H166" s="2" t="str">
        <v>不按此口径列示</v>
      </c>
      <c r="I166" s="2" t="str">
        <v>已提取2025版原表</v>
      </c>
      <c r="J166" s="10" t="n">
        <v>102</v>
      </c>
      <c r="K166" s="2" t="str">
        <v>2025版年报统计年为2024。</v>
      </c>
      <c r="L166" s="14" t="str">
        <v>年报原页</v>
      </c>
      <c r="M166" s="14" t="str">
        <v>http://hljx.chinajournal.net.cn/WKD/WebPublication/index.aspx?mid=hljx</v>
      </c>
      <c r="N166" s="7" t="str">
        <v>期刊/出版平台页面检索核对</v>
      </c>
      <c r="O166" s="2" t="str">
        <v>官网来源</v>
      </c>
    </row>
    <row r="167" ht="30" customHeight="1">
      <c r="A167" s="7" t="str">
        <v>畜牧与兽医</v>
      </c>
      <c r="B167" s="7" t="str">
        <v>畜牧兽医与动物营养</v>
      </c>
      <c r="C167" s="21" t="n">
        <v>1.544</v>
      </c>
      <c r="D167" s="21" t="n">
        <v>1</v>
      </c>
      <c r="E167" s="13" t="n">
        <v>2024</v>
      </c>
      <c r="F167" s="13" t="n">
        <v>2025</v>
      </c>
      <c r="G167" s="2" t="str">
        <v>国内年报口径；不与JIF混排</v>
      </c>
      <c r="H167" s="2" t="str">
        <v>不按此口径列示</v>
      </c>
      <c r="I167" s="2" t="str">
        <v>已提取2025版原表</v>
      </c>
      <c r="J167" s="10" t="n">
        <v>103</v>
      </c>
      <c r="K167" s="2" t="str">
        <v>2025版年报统计年为2024。</v>
      </c>
      <c r="L167" s="14" t="str">
        <v>年报原页</v>
      </c>
      <c r="M167" s="14" t="str">
        <v>https://xmys.cbpt.cnki.net/portal</v>
      </c>
      <c r="N167" s="7" t="str">
        <v>期刊/出版平台页面检索核对</v>
      </c>
      <c r="O167" s="2" t="str">
        <v>官网来源</v>
      </c>
    </row>
    <row r="168" ht="30" customHeight="1">
      <c r="A168" s="7" t="str">
        <v>现代畜牧兽医</v>
      </c>
      <c r="B168" s="7" t="str">
        <v>畜牧兽医与动物营养</v>
      </c>
      <c r="C168" s="21" t="n">
        <v>1.209</v>
      </c>
      <c r="D168" s="21" t="n">
        <v>0.825</v>
      </c>
      <c r="E168" s="13" t="n">
        <v>2024</v>
      </c>
      <c r="F168" s="13" t="n">
        <v>2025</v>
      </c>
      <c r="G168" s="2" t="str">
        <v>国内年报口径；不与JIF混排</v>
      </c>
      <c r="H168" s="2" t="str">
        <v>不按此口径列示</v>
      </c>
      <c r="I168" s="2" t="str">
        <v>已提取2025版原表</v>
      </c>
      <c r="J168" s="10" t="n">
        <v>103</v>
      </c>
      <c r="K168" s="2" t="str">
        <v>2025版年报统计年为2024。</v>
      </c>
      <c r="L168" s="14" t="str">
        <v>年报原页</v>
      </c>
      <c r="M168" s="14" t="str">
        <v>http://www.xdxmsy.com/CN/volumn/home.shtml</v>
      </c>
      <c r="N168" s="7" t="str">
        <v>期刊/主办方官方入口匹配</v>
      </c>
      <c r="O168" s="2" t="str">
        <v>官网来源</v>
      </c>
    </row>
    <row r="169" ht="30" customHeight="1">
      <c r="A169" s="7" t="str">
        <v>蚕业科学</v>
      </c>
      <c r="B169" s="7" t="str">
        <v>畜牧兽医与动物营养</v>
      </c>
      <c r="C169" s="21" t="n">
        <v>1.079</v>
      </c>
      <c r="D169" s="21" t="n">
        <v>0.714</v>
      </c>
      <c r="E169" s="13" t="n">
        <v>2024</v>
      </c>
      <c r="F169" s="13" t="n">
        <v>2025</v>
      </c>
      <c r="G169" s="2" t="str">
        <v>国内年报口径；不与JIF混排</v>
      </c>
      <c r="H169" s="2" t="str">
        <v>不按此口径列示</v>
      </c>
      <c r="I169" s="2" t="str">
        <v>已提取2025版原表</v>
      </c>
      <c r="J169" s="10" t="n">
        <v>103</v>
      </c>
      <c r="K169" s="2" t="str">
        <v>2025版年报统计年为2024。</v>
      </c>
      <c r="L169" s="14" t="str">
        <v>年报原页</v>
      </c>
      <c r="M169" s="14" t="str">
        <v>http://www.cykxjournal.com/</v>
      </c>
      <c r="N169" s="7" t="str">
        <v>期刊/主办方官方入口匹配</v>
      </c>
      <c r="O169" s="2" t="str">
        <v>官网来源</v>
      </c>
    </row>
    <row r="170" ht="30" customHeight="1">
      <c r="A170" s="7" t="str">
        <v>中国蚕业</v>
      </c>
      <c r="B170" s="7" t="str">
        <v>畜牧兽医与动物营养</v>
      </c>
      <c r="C170" s="21" t="n">
        <v>0.689</v>
      </c>
      <c r="D170" s="21" t="n">
        <v>0.42</v>
      </c>
      <c r="E170" s="13" t="n">
        <v>2024</v>
      </c>
      <c r="F170" s="13" t="n">
        <v>2025</v>
      </c>
      <c r="G170" s="2" t="str">
        <v>国内年报口径；不与JIF混排</v>
      </c>
      <c r="H170" s="2" t="str">
        <v>不按此口径列示</v>
      </c>
      <c r="I170" s="2" t="str">
        <v>已提取2025版原表</v>
      </c>
      <c r="J170" s="10" t="n">
        <v>104</v>
      </c>
      <c r="K170" s="2" t="str">
        <v>2025版年报统计年为2024。</v>
      </c>
      <c r="L170" s="14" t="str">
        <v>年报原页</v>
      </c>
      <c r="M170" s="14" t="str">
        <v>http://www.zgcyjournal.com/</v>
      </c>
      <c r="N170" s="7" t="str">
        <v>期刊/主办方官方入口匹配</v>
      </c>
      <c r="O170" s="2" t="str">
        <v>官网来源</v>
      </c>
    </row>
    <row r="171" ht="30" customHeight="1">
      <c r="A171" s="7" t="str">
        <v>中国蜂业</v>
      </c>
      <c r="B171" s="7" t="str">
        <v>畜牧兽医与动物营养</v>
      </c>
      <c r="C171" s="21" t="n">
        <v>0.331</v>
      </c>
      <c r="D171" s="21" t="n">
        <v>0.249</v>
      </c>
      <c r="E171" s="13" t="n">
        <v>2024</v>
      </c>
      <c r="F171" s="13" t="n">
        <v>2025</v>
      </c>
      <c r="G171" s="2" t="str">
        <v>国内年报口径；不与JIF混排</v>
      </c>
      <c r="H171" s="2" t="str">
        <v>不按此口径列示</v>
      </c>
      <c r="I171" s="2" t="str">
        <v>已提取2025版原表</v>
      </c>
      <c r="J171" s="10" t="n">
        <v>104</v>
      </c>
      <c r="K171" s="2" t="str">
        <v>2025版年报统计年为2024。</v>
      </c>
      <c r="L171" s="14" t="str">
        <v>年报原页</v>
      </c>
      <c r="M171" s="14" t="str">
        <v>http://www.zgyf.cbpt.cnki.net/WKB/WebPublication/index.aspx?mid=zgyf</v>
      </c>
      <c r="N171" s="7" t="str">
        <v>期刊/出版平台页面检索核对</v>
      </c>
      <c r="O171" s="2" t="str">
        <v>官网来源</v>
      </c>
    </row>
    <row r="172" ht="30" customHeight="1">
      <c r="A172" s="7" t="str">
        <v>水产学报</v>
      </c>
      <c r="B172" s="7" t="str">
        <v>水产渔业与海洋生物</v>
      </c>
      <c r="C172" s="21" t="n">
        <v>2.67</v>
      </c>
      <c r="D172" s="21" t="n">
        <v>1.684</v>
      </c>
      <c r="E172" s="13" t="n">
        <v>2024</v>
      </c>
      <c r="F172" s="13" t="n">
        <v>2025</v>
      </c>
      <c r="G172" s="2" t="str">
        <v>国内年报口径；不与JIF混排</v>
      </c>
      <c r="H172" s="2" t="str">
        <v>不按此口径列示</v>
      </c>
      <c r="I172" s="2" t="str">
        <v>已提取2025版原表</v>
      </c>
      <c r="J172" s="10" t="n">
        <v>104</v>
      </c>
      <c r="K172" s="2" t="str">
        <v>2025版年报统计年为2024。</v>
      </c>
      <c r="L172" s="14" t="str">
        <v>年报原页</v>
      </c>
      <c r="M172" s="14" t="str">
        <v>https://china-fishery.cn/</v>
      </c>
      <c r="N172" s="7" t="str">
        <v>期刊/出版平台页面检索核对</v>
      </c>
      <c r="O172" s="2" t="str">
        <v>官网来源</v>
      </c>
    </row>
    <row r="173" ht="30" customHeight="1">
      <c r="A173" s="7" t="str">
        <v>中国水产科学</v>
      </c>
      <c r="B173" s="7" t="str">
        <v>水产渔业与海洋生物</v>
      </c>
      <c r="C173" s="21" t="n">
        <v>2.201</v>
      </c>
      <c r="D173" s="21" t="n">
        <v>1.473</v>
      </c>
      <c r="E173" s="13" t="n">
        <v>2024</v>
      </c>
      <c r="F173" s="13" t="n">
        <v>2025</v>
      </c>
      <c r="G173" s="2" t="str">
        <v>国内年报口径；不与JIF混排</v>
      </c>
      <c r="H173" s="2" t="str">
        <v>不按此口径列示</v>
      </c>
      <c r="I173" s="2" t="str">
        <v>已提取2025版原表</v>
      </c>
      <c r="J173" s="10" t="n">
        <v>104</v>
      </c>
      <c r="K173" s="2" t="str">
        <v>2025版年报统计年为2024。</v>
      </c>
      <c r="L173" s="14" t="str">
        <v>年报原页</v>
      </c>
      <c r="M173" s="14" t="str">
        <v>https://www.fishscichina.com/zgsckx/home</v>
      </c>
      <c r="N173" s="7" t="str">
        <v>期刊/主办方官方入口匹配</v>
      </c>
      <c r="O173" s="2" t="str">
        <v>官网来源</v>
      </c>
    </row>
    <row r="174" ht="30" customHeight="1">
      <c r="A174" s="7" t="str">
        <v>水生生物学报</v>
      </c>
      <c r="B174" s="7" t="str">
        <v>水产渔业与海洋生物</v>
      </c>
      <c r="C174" s="21" t="n">
        <v>2.319</v>
      </c>
      <c r="D174" s="21" t="n">
        <v>1.489</v>
      </c>
      <c r="E174" s="13" t="n">
        <v>2024</v>
      </c>
      <c r="F174" s="13" t="n">
        <v>2025</v>
      </c>
      <c r="G174" s="2" t="str">
        <v>国内年报口径；不与JIF混排</v>
      </c>
      <c r="H174" s="2" t="str">
        <v>不按此口径列示</v>
      </c>
      <c r="I174" s="2" t="str">
        <v>已提取2025版原表</v>
      </c>
      <c r="J174" s="10" t="n">
        <v>55</v>
      </c>
      <c r="K174" s="2" t="str">
        <v>2025版年报统计年为2024。</v>
      </c>
      <c r="L174" s="14" t="str">
        <v>年报原页</v>
      </c>
      <c r="M174" s="14" t="str">
        <v>http://ssswxb.ihb.ac.cn/</v>
      </c>
      <c r="N174" s="7" t="str">
        <v>期刊/出版平台页面检索核对</v>
      </c>
      <c r="O174" s="2" t="str">
        <v>官网来源</v>
      </c>
    </row>
    <row r="175" ht="30" customHeight="1">
      <c r="A175" s="7" t="str">
        <v>淡水渔业</v>
      </c>
      <c r="B175" s="7" t="str">
        <v>水产渔业与海洋生物</v>
      </c>
      <c r="C175" s="21" t="n">
        <v>1.692</v>
      </c>
      <c r="D175" s="21" t="n">
        <v>1.226</v>
      </c>
      <c r="E175" s="13" t="n">
        <v>2024</v>
      </c>
      <c r="F175" s="13" t="n">
        <v>2025</v>
      </c>
      <c r="G175" s="2" t="str">
        <v>国内年报口径；不与JIF混排</v>
      </c>
      <c r="H175" s="2" t="str">
        <v>不按此口径列示</v>
      </c>
      <c r="I175" s="2" t="str">
        <v>已提取2025版原表</v>
      </c>
      <c r="J175" s="10" t="n">
        <v>105</v>
      </c>
      <c r="K175" s="2" t="str">
        <v>2025版年报统计年为2024。</v>
      </c>
      <c r="L175" s="14" t="str">
        <v>年报原页</v>
      </c>
      <c r="M175" s="14" t="str">
        <v>http://www.aquaticjournal.com/dsyy/</v>
      </c>
      <c r="N175" s="7" t="str">
        <v>期刊/主办方官方入口匹配</v>
      </c>
      <c r="O175" s="2" t="str">
        <v>官网来源</v>
      </c>
    </row>
    <row r="176" ht="30" customHeight="1">
      <c r="A176" s="7" t="str">
        <v>水产科学</v>
      </c>
      <c r="B176" s="7" t="str">
        <v>水产渔业与海洋生物</v>
      </c>
      <c r="C176" s="21" t="n">
        <v>1.849</v>
      </c>
      <c r="D176" s="21" t="n">
        <v>1.254</v>
      </c>
      <c r="E176" s="13" t="n">
        <v>2024</v>
      </c>
      <c r="F176" s="13" t="n">
        <v>2025</v>
      </c>
      <c r="G176" s="2" t="str">
        <v>国内年报口径；不与JIF混排</v>
      </c>
      <c r="H176" s="2" t="str">
        <v>不按此口径列示</v>
      </c>
      <c r="I176" s="2" t="str">
        <v>已提取2025版原表</v>
      </c>
      <c r="J176" s="10" t="n">
        <v>105</v>
      </c>
      <c r="K176" s="2" t="str">
        <v>2025版年报统计年为2024。</v>
      </c>
      <c r="L176" s="14" t="str">
        <v>年报原页</v>
      </c>
      <c r="M176" s="14" t="str">
        <v>http://www.aquaticjournal.com/sckx/</v>
      </c>
      <c r="N176" s="7" t="str">
        <v>期刊/主办方官方入口匹配</v>
      </c>
      <c r="O176" s="2" t="str">
        <v>官网来源</v>
      </c>
    </row>
    <row r="177" ht="30" customHeight="1">
      <c r="A177" s="7" t="str">
        <v>水产科技情报</v>
      </c>
      <c r="B177" s="7" t="str">
        <v>水产渔业与海洋生物</v>
      </c>
      <c r="C177" s="21" t="n">
        <v>1.05</v>
      </c>
      <c r="D177" s="21" t="n">
        <v>0.692</v>
      </c>
      <c r="E177" s="13" t="n">
        <v>2024</v>
      </c>
      <c r="F177" s="13" t="n">
        <v>2025</v>
      </c>
      <c r="G177" s="2" t="str">
        <v>国内年报口径；不与JIF混排</v>
      </c>
      <c r="H177" s="2" t="str">
        <v>不按此口径列示</v>
      </c>
      <c r="I177" s="2" t="str">
        <v>已提取2025版原表</v>
      </c>
      <c r="J177" s="10" t="n">
        <v>105</v>
      </c>
      <c r="K177" s="2" t="str">
        <v>2025版年报统计年为2024。</v>
      </c>
      <c r="L177" s="14" t="str">
        <v>年报原页</v>
      </c>
      <c r="M177" s="14" t="str">
        <v>http://www.aquaticjournal.com/sckjqb/</v>
      </c>
      <c r="N177" s="7" t="str">
        <v>期刊/出版平台页面检索核对</v>
      </c>
      <c r="O177" s="2" t="str">
        <v>官网来源</v>
      </c>
    </row>
    <row r="178" ht="30" customHeight="1">
      <c r="A178" s="7" t="str">
        <v>海洋渔业</v>
      </c>
      <c r="B178" s="7" t="str">
        <v>水产渔业与海洋生物</v>
      </c>
      <c r="C178" s="21" t="n">
        <v>1.589</v>
      </c>
      <c r="D178" s="21" t="n">
        <v>1.185</v>
      </c>
      <c r="E178" s="13" t="n">
        <v>2024</v>
      </c>
      <c r="F178" s="13" t="n">
        <v>2025</v>
      </c>
      <c r="G178" s="2" t="str">
        <v>国内年报口径；不与JIF混排</v>
      </c>
      <c r="H178" s="2" t="str">
        <v>不按此口径列示</v>
      </c>
      <c r="I178" s="2" t="str">
        <v>已提取2025版原表</v>
      </c>
      <c r="J178" s="10" t="n">
        <v>105</v>
      </c>
      <c r="K178" s="2" t="str">
        <v>2025版年报统计年为2024。</v>
      </c>
      <c r="L178" s="14" t="str">
        <v>年报原页</v>
      </c>
      <c r="M178" s="14" t="str">
        <v>https://www.marinefisheries.cn/CN/1004-2490/home.shtml</v>
      </c>
      <c r="N178" s="7" t="str">
        <v>期刊/出版平台页面检索核对</v>
      </c>
      <c r="O178" s="2" t="str">
        <v>官网来源</v>
      </c>
    </row>
    <row r="179" ht="30" customHeight="1">
      <c r="A179" s="7" t="str">
        <v>南方水产科学</v>
      </c>
      <c r="B179" s="7" t="str">
        <v>水产渔业与海洋生物</v>
      </c>
      <c r="C179" s="21" t="n">
        <v>2.229</v>
      </c>
      <c r="D179" s="21" t="n">
        <v>1.59</v>
      </c>
      <c r="E179" s="13" t="n">
        <v>2024</v>
      </c>
      <c r="F179" s="13" t="n">
        <v>2025</v>
      </c>
      <c r="G179" s="2" t="str">
        <v>国内年报口径；不与JIF混排</v>
      </c>
      <c r="H179" s="2" t="str">
        <v>不按此口径列示</v>
      </c>
      <c r="I179" s="2" t="str">
        <v>已提取2025版原表</v>
      </c>
      <c r="J179" s="10" t="n">
        <v>105</v>
      </c>
      <c r="K179" s="2" t="str">
        <v>2025版年报统计年为2024。</v>
      </c>
      <c r="L179" s="14" t="str">
        <v>年报原页</v>
      </c>
      <c r="M179" s="14" t="str">
        <v>https://www.schinafish.cn/</v>
      </c>
      <c r="N179" s="7" t="str">
        <v>期刊/出版平台页面检索核对</v>
      </c>
      <c r="O179" s="2" t="str">
        <v>官网来源</v>
      </c>
    </row>
    <row r="180" ht="30" customHeight="1">
      <c r="A180" s="7" t="str">
        <v>渔业科学进展</v>
      </c>
      <c r="B180" s="7" t="str">
        <v>水产渔业与海洋生物</v>
      </c>
      <c r="C180" s="21" t="n">
        <v>2.543</v>
      </c>
      <c r="D180" s="21" t="n">
        <v>1.721</v>
      </c>
      <c r="E180" s="13" t="n">
        <v>2024</v>
      </c>
      <c r="F180" s="13" t="n">
        <v>2025</v>
      </c>
      <c r="G180" s="2" t="str">
        <v>国内年报口径；不与JIF混排</v>
      </c>
      <c r="H180" s="2" t="str">
        <v>不按此口径列示</v>
      </c>
      <c r="I180" s="2" t="str">
        <v>已提取2025版原表</v>
      </c>
      <c r="J180" s="10" t="n">
        <v>105</v>
      </c>
      <c r="K180" s="2" t="str">
        <v>2025版年报统计年为2024。</v>
      </c>
      <c r="L180" s="14" t="str">
        <v>年报原页</v>
      </c>
      <c r="M180" s="14" t="str">
        <v>http://yykxjz.ijournals.cn/yykxjz/ch/index.aspx</v>
      </c>
      <c r="N180" s="7" t="str">
        <v>期刊/主办方官方入口匹配</v>
      </c>
      <c r="O180" s="2" t="str">
        <v>官网来源</v>
      </c>
    </row>
    <row r="181" ht="30" customHeight="1">
      <c r="A181" s="7" t="str">
        <v>海洋科学</v>
      </c>
      <c r="B181" s="7" t="str">
        <v>水产渔业与海洋生物</v>
      </c>
      <c r="C181" s="21" t="n">
        <v>1.079</v>
      </c>
      <c r="D181" s="21" t="n">
        <v>0.759</v>
      </c>
      <c r="E181" s="13" t="n">
        <v>2024</v>
      </c>
      <c r="F181" s="13" t="n">
        <v>2025</v>
      </c>
      <c r="G181" s="2" t="str">
        <v>国内年报口径；不与JIF混排</v>
      </c>
      <c r="H181" s="2" t="str">
        <v>不按此口径列示</v>
      </c>
      <c r="I181" s="2" t="str">
        <v>已提取2025版原表</v>
      </c>
      <c r="J181" s="10" t="n">
        <v>52</v>
      </c>
      <c r="K181" s="2" t="str">
        <v>2025版年报统计年为2024。</v>
      </c>
      <c r="L181" s="14" t="str">
        <v>年报原页</v>
      </c>
      <c r="M181" s="14" t="str">
        <v>http://qdhys.ijournal.cn/hykx/ch/index.aspx</v>
      </c>
      <c r="N181" s="7" t="str">
        <v>期刊/主办方官方入口匹配</v>
      </c>
      <c r="O181" s="2" t="str">
        <v>官网来源</v>
      </c>
    </row>
    <row r="182" ht="30" customHeight="1">
      <c r="A182" s="7" t="str">
        <v>海洋与湖沼</v>
      </c>
      <c r="B182" s="7" t="str">
        <v>水产渔业与海洋生物</v>
      </c>
      <c r="C182" s="21" t="n">
        <v>1.396</v>
      </c>
      <c r="D182" s="21" t="n">
        <v>0.994</v>
      </c>
      <c r="E182" s="13" t="n">
        <v>2024</v>
      </c>
      <c r="F182" s="13" t="n">
        <v>2025</v>
      </c>
      <c r="G182" s="2" t="str">
        <v>国内年报口径；不与JIF混排</v>
      </c>
      <c r="H182" s="2" t="str">
        <v>不按此口径列示</v>
      </c>
      <c r="I182" s="2" t="str">
        <v>已提取2025版原表</v>
      </c>
      <c r="J182" s="10" t="n">
        <v>52</v>
      </c>
      <c r="K182" s="2" t="str">
        <v>2025版年报统计年为2024。</v>
      </c>
      <c r="L182" s="14" t="str">
        <v>年报原页</v>
      </c>
      <c r="M182" s="14" t="str">
        <v>http://qdhys.ijournal.cn/hyyhz/ch/index.aspx</v>
      </c>
      <c r="N182" s="7" t="str">
        <v>期刊/主办方官方入口匹配</v>
      </c>
      <c r="O182" s="2" t="str">
        <v>官网来源</v>
      </c>
    </row>
    <row r="183" ht="30" customHeight="1">
      <c r="A183" s="7" t="str">
        <v>海洋学报</v>
      </c>
      <c r="B183" s="7" t="str">
        <v>水产渔业与海洋生物</v>
      </c>
      <c r="C183" s="21" t="n">
        <v>1.38</v>
      </c>
      <c r="D183" s="21" t="n">
        <v>0.882</v>
      </c>
      <c r="E183" s="13" t="n">
        <v>2024</v>
      </c>
      <c r="F183" s="13" t="n">
        <v>2025</v>
      </c>
      <c r="G183" s="2" t="str">
        <v>国内年报口径；不与JIF混排</v>
      </c>
      <c r="H183" s="2" t="str">
        <v>不按此口径列示</v>
      </c>
      <c r="I183" s="2" t="str">
        <v>已提取2025版原表</v>
      </c>
      <c r="J183" s="10" t="n">
        <v>52</v>
      </c>
      <c r="K183" s="2" t="str">
        <v>2025版年报统计年为2024。</v>
      </c>
      <c r="L183" s="14" t="str">
        <v>年报原页</v>
      </c>
      <c r="M183" s="14" t="str">
        <v>http://www.hyxb.org.cn/</v>
      </c>
      <c r="N183" s="7" t="str">
        <v>期刊/出版平台页面检索核对</v>
      </c>
      <c r="O183" s="2" t="str">
        <v>官网来源</v>
      </c>
    </row>
    <row r="184" ht="30" customHeight="1">
      <c r="A184" s="7" t="str">
        <v>应用海洋学学报</v>
      </c>
      <c r="B184" s="7" t="str">
        <v>水产渔业与海洋生物</v>
      </c>
      <c r="C184" s="21" t="n">
        <v>1.682</v>
      </c>
      <c r="D184" s="21" t="n">
        <v>1.153</v>
      </c>
      <c r="E184" s="13" t="n">
        <v>2024</v>
      </c>
      <c r="F184" s="13" t="n">
        <v>2025</v>
      </c>
      <c r="G184" s="2" t="str">
        <v>国内年报口径；不与JIF混排</v>
      </c>
      <c r="H184" s="2" t="str">
        <v>不按此口径列示</v>
      </c>
      <c r="I184" s="2" t="str">
        <v>已提取2025版原表</v>
      </c>
      <c r="J184" s="10" t="n">
        <v>52</v>
      </c>
      <c r="K184" s="2" t="str">
        <v>2025版年报统计年为2024。</v>
      </c>
      <c r="L184" s="14" t="str">
        <v>年报原页</v>
      </c>
      <c r="M184" s="14" t="str">
        <v>http://xuebao.jao.org.cn/</v>
      </c>
      <c r="N184" s="7" t="str">
        <v>期刊/主办方官方入口匹配</v>
      </c>
      <c r="O184" s="2" t="str">
        <v>官网来源</v>
      </c>
    </row>
    <row r="185" ht="30" customHeight="1">
      <c r="A185" s="7" t="str">
        <v>热带海洋学报</v>
      </c>
      <c r="B185" s="7" t="str">
        <v>水产渔业与海洋生物</v>
      </c>
      <c r="C185" s="21" t="n">
        <v>1.313</v>
      </c>
      <c r="D185" s="21" t="n">
        <v>0.81</v>
      </c>
      <c r="E185" s="13" t="n">
        <v>2024</v>
      </c>
      <c r="F185" s="13" t="n">
        <v>2025</v>
      </c>
      <c r="G185" s="2" t="str">
        <v>国内年报口径；不与JIF混排</v>
      </c>
      <c r="H185" s="2" t="str">
        <v>不按此口径列示</v>
      </c>
      <c r="I185" s="2" t="str">
        <v>已提取2025版原表</v>
      </c>
      <c r="J185" s="10" t="n">
        <v>52</v>
      </c>
      <c r="K185" s="2" t="str">
        <v>2025版年报统计年为2024。</v>
      </c>
      <c r="L185" s="14" t="str">
        <v>年报原页</v>
      </c>
      <c r="M185" s="14" t="str">
        <v>https://www.jto.ac.cn/CN/1009-5470/home.shtml</v>
      </c>
      <c r="N185" s="7" t="str">
        <v>期刊/出版平台页面检索核对</v>
      </c>
      <c r="O185" s="2" t="str">
        <v>官网来源</v>
      </c>
    </row>
    <row r="186" ht="30" customHeight="1">
      <c r="A186" s="7" t="str">
        <v>海洋环境科学</v>
      </c>
      <c r="B186" s="7" t="str">
        <v>水产渔业与海洋生物</v>
      </c>
      <c r="C186" s="21" t="n">
        <v>2.14</v>
      </c>
      <c r="D186" s="21" t="n">
        <v>1.43</v>
      </c>
      <c r="E186" s="13" t="n">
        <v>2024</v>
      </c>
      <c r="F186" s="13" t="n">
        <v>2025</v>
      </c>
      <c r="G186" s="2" t="str">
        <v>国内年报口径；不与JIF混排</v>
      </c>
      <c r="H186" s="2" t="str">
        <v>不按此口径列示</v>
      </c>
      <c r="I186" s="2" t="str">
        <v>已提取2025版原表</v>
      </c>
      <c r="J186" s="10" t="n">
        <v>52</v>
      </c>
      <c r="K186" s="2" t="str">
        <v>2025版年报统计年为2024。</v>
      </c>
      <c r="L186" s="14" t="str">
        <v>年报原页</v>
      </c>
      <c r="M186" s="14" t="str">
        <v>http://hyhjkx.nmemc.org.cn/</v>
      </c>
      <c r="N186" s="7" t="str">
        <v>期刊/出版平台页面检索核对</v>
      </c>
      <c r="O186" s="2" t="str">
        <v>官网来源</v>
      </c>
    </row>
    <row r="187" ht="30" customHeight="1">
      <c r="A187" s="7" t="str">
        <v>海洋科学进展</v>
      </c>
      <c r="B187" s="7" t="str">
        <v>水产渔业与海洋生物</v>
      </c>
      <c r="C187" s="21" t="n">
        <v>1.557</v>
      </c>
      <c r="D187" s="21" t="n">
        <v>1.074</v>
      </c>
      <c r="E187" s="13" t="n">
        <v>2024</v>
      </c>
      <c r="F187" s="13" t="n">
        <v>2025</v>
      </c>
      <c r="G187" s="2" t="str">
        <v>国内年报口径；不与JIF混排</v>
      </c>
      <c r="H187" s="2" t="str">
        <v>不按此口径列示</v>
      </c>
      <c r="I187" s="2" t="str">
        <v>已提取2025版原表</v>
      </c>
      <c r="J187" s="10" t="n">
        <v>52</v>
      </c>
      <c r="K187" s="2" t="str">
        <v>2025版年报统计年为2024。</v>
      </c>
      <c r="L187" s="14" t="str">
        <v>年报原页</v>
      </c>
      <c r="M187" s="14" t="str">
        <v>https://www.ams-journal.org.cn/website/index.htm</v>
      </c>
      <c r="N187" s="7" t="str">
        <v>期刊/出版平台页面检索核对</v>
      </c>
      <c r="O187" s="2" t="str">
        <v>官网来源</v>
      </c>
    </row>
    <row r="188" ht="30" customHeight="1">
      <c r="A188" s="7" t="str">
        <v>湖泊科学</v>
      </c>
      <c r="B188" s="7" t="str">
        <v>水产渔业与海洋生物</v>
      </c>
      <c r="C188" s="21" t="n">
        <v>4.755</v>
      </c>
      <c r="D188" s="21" t="n">
        <v>3.161</v>
      </c>
      <c r="E188" s="13" t="n">
        <v>2024</v>
      </c>
      <c r="F188" s="13" t="n">
        <v>2025</v>
      </c>
      <c r="G188" s="2" t="str">
        <v>国内年报口径；不与JIF混排</v>
      </c>
      <c r="H188" s="2" t="str">
        <v>不按此口径列示</v>
      </c>
      <c r="I188" s="2" t="str">
        <v>已提取2025版原表</v>
      </c>
      <c r="J188" s="10" t="n">
        <v>157</v>
      </c>
      <c r="K188" s="2" t="str">
        <v>2025版年报统计年为2024。</v>
      </c>
      <c r="L188" s="14" t="str">
        <v>年报原页</v>
      </c>
      <c r="M188" s="14" t="str">
        <v>http://jlakes.alljournals.cn/hpkx/home</v>
      </c>
      <c r="N188" s="7" t="str">
        <v>期刊/出版平台页面检索核对</v>
      </c>
      <c r="O188" s="2" t="str">
        <v>官网来源</v>
      </c>
    </row>
    <row r="189" ht="30" customHeight="1">
      <c r="A189" s="7" t="str">
        <v>大连海洋大学学报</v>
      </c>
      <c r="B189" s="7" t="str">
        <v>水产渔业与海洋生物</v>
      </c>
      <c r="C189" s="21" t="n">
        <v>2.621</v>
      </c>
      <c r="D189" s="21" t="n">
        <v>1.741</v>
      </c>
      <c r="E189" s="13" t="n">
        <v>2024</v>
      </c>
      <c r="F189" s="13" t="n">
        <v>2025</v>
      </c>
      <c r="G189" s="2" t="str">
        <v>国内年报口径；不与JIF混排</v>
      </c>
      <c r="H189" s="2" t="str">
        <v>不按此口径列示</v>
      </c>
      <c r="I189" s="2" t="str">
        <v>已提取2025版原表</v>
      </c>
      <c r="J189" s="10" t="n">
        <v>105</v>
      </c>
      <c r="K189" s="2" t="str">
        <v>2025版年报统计年为2024。</v>
      </c>
      <c r="L189" s="14" t="str">
        <v>年报原页</v>
      </c>
      <c r="M189" s="14" t="str">
        <v>https://xuebao.dlou.edu.cn/CN/2095-1388/home.shtml</v>
      </c>
      <c r="N189" s="7" t="str">
        <v>期刊/主办方官方入口匹配</v>
      </c>
      <c r="O189" s="2" t="str">
        <v>官网来源</v>
      </c>
    </row>
    <row r="190" ht="30" customHeight="1">
      <c r="A190" s="7" t="str">
        <v>上海海洋大学学报</v>
      </c>
      <c r="B190" s="7" t="str">
        <v>水产渔业与海洋生物</v>
      </c>
      <c r="C190" s="21" t="n">
        <v>2.289</v>
      </c>
      <c r="D190" s="21" t="n">
        <v>1.437</v>
      </c>
      <c r="E190" s="13" t="n">
        <v>2024</v>
      </c>
      <c r="F190" s="13" t="n">
        <v>2025</v>
      </c>
      <c r="G190" s="2" t="str">
        <v>国内年报口径；不与JIF混排</v>
      </c>
      <c r="H190" s="2" t="str">
        <v>不按此口径列示</v>
      </c>
      <c r="I190" s="2" t="str">
        <v>已提取2025版原表</v>
      </c>
      <c r="J190" s="10" t="n">
        <v>105</v>
      </c>
      <c r="K190" s="2" t="str">
        <v>2025版年报统计年为2024。</v>
      </c>
      <c r="L190" s="14" t="str">
        <v>年报原页</v>
      </c>
      <c r="M190" s="14" t="str">
        <v>https://www.shhydxxb.com/ch/index.aspx</v>
      </c>
      <c r="N190" s="7" t="str">
        <v>期刊/出版平台页面检索核对</v>
      </c>
      <c r="O190" s="2" t="str">
        <v>官网来源</v>
      </c>
    </row>
    <row r="191" ht="30" customHeight="1">
      <c r="A191" s="7" t="str">
        <v>广东海洋大学学报</v>
      </c>
      <c r="B191" s="7" t="str">
        <v>水产渔业与海洋生物</v>
      </c>
      <c r="C191" s="21" t="n">
        <v>1.765</v>
      </c>
      <c r="D191" s="21" t="n">
        <v>1.357</v>
      </c>
      <c r="E191" s="13" t="n">
        <v>2024</v>
      </c>
      <c r="F191" s="13" t="n">
        <v>2025</v>
      </c>
      <c r="G191" s="2" t="str">
        <v>国内年报口径；不与JIF混排</v>
      </c>
      <c r="H191" s="2" t="str">
        <v>不按此口径列示</v>
      </c>
      <c r="I191" s="2" t="str">
        <v>已提取2025版原表</v>
      </c>
      <c r="J191" s="10" t="n">
        <v>52</v>
      </c>
      <c r="K191" s="2" t="str">
        <v>2025版年报统计年为2024。</v>
      </c>
      <c r="L191" s="14" t="str">
        <v>年报原页</v>
      </c>
      <c r="M191" s="14" t="str">
        <v>https://www.shdx.chinajournal.net.cn/WKB/WebPublication/index.aspx?mid=shdx</v>
      </c>
      <c r="N191" s="7" t="str">
        <v>期刊/出版平台页面检索核对</v>
      </c>
      <c r="O191" s="2" t="str">
        <v>官网来源</v>
      </c>
    </row>
    <row r="192" ht="30" customHeight="1">
      <c r="A192" s="7" t="str">
        <v>集美大学学报(自然科学版)</v>
      </c>
      <c r="B192" s="7" t="str">
        <v>水产渔业与海洋生物</v>
      </c>
      <c r="C192" s="21" t="n">
        <v>0.563</v>
      </c>
      <c r="D192" s="21" t="n">
        <v>0.366</v>
      </c>
      <c r="E192" s="13" t="n">
        <v>2024</v>
      </c>
      <c r="F192" s="13" t="n">
        <v>2025</v>
      </c>
      <c r="G192" s="2" t="str">
        <v>国内年报口径；不与JIF混排</v>
      </c>
      <c r="H192" s="2" t="str">
        <v>不按此口径列示</v>
      </c>
      <c r="I192" s="2" t="str">
        <v>已提取2025版原表</v>
      </c>
      <c r="J192" s="10" t="n">
        <v>36</v>
      </c>
      <c r="K192" s="2" t="str">
        <v>2025版年报统计年为2024。</v>
      </c>
      <c r="L192" s="14" t="str">
        <v>年报原页</v>
      </c>
      <c r="M192" s="14" t="str">
        <v>https://xuebaobangong.jmu.edu.cn/zkb/</v>
      </c>
      <c r="N192" s="7" t="str">
        <v>期刊/主办方官方入口匹配</v>
      </c>
      <c r="O192" s="2" t="str">
        <v>官网来源</v>
      </c>
    </row>
    <row r="193" ht="30" customHeight="1">
      <c r="A193" s="7" t="str">
        <v>渔业现代化</v>
      </c>
      <c r="B193" s="7" t="str">
        <v>水产渔业与海洋生物</v>
      </c>
      <c r="C193" s="21" t="n">
        <v>2.098</v>
      </c>
      <c r="D193" s="21" t="n">
        <v>1.5</v>
      </c>
      <c r="E193" s="13" t="n">
        <v>2024</v>
      </c>
      <c r="F193" s="13" t="n">
        <v>2025</v>
      </c>
      <c r="G193" s="2" t="str">
        <v>国内年报口径；不与JIF混排</v>
      </c>
      <c r="H193" s="2" t="str">
        <v>不按此口径列示</v>
      </c>
      <c r="I193" s="2" t="str">
        <v>已提取2025版原表</v>
      </c>
      <c r="J193" s="10" t="n">
        <v>105</v>
      </c>
      <c r="K193" s="2" t="str">
        <v>2025版年报统计年为2024。</v>
      </c>
      <c r="L193" s="14" t="str">
        <v>年报原页</v>
      </c>
      <c r="M193" s="14" t="str">
        <v>https://fm.fmiri.ac.cn/CN/current</v>
      </c>
      <c r="N193" s="7" t="str">
        <v>期刊/出版平台页面检索核对</v>
      </c>
      <c r="O193" s="2" t="str">
        <v>官网来源</v>
      </c>
    </row>
    <row r="194" ht="30" customHeight="1">
      <c r="A194" s="7" t="str">
        <v>科学养鱼</v>
      </c>
      <c r="B194" s="7" t="str">
        <v>水产渔业与海洋生物</v>
      </c>
      <c r="C194" s="21" t="n">
        <v>0.257</v>
      </c>
      <c r="D194" s="21" t="n">
        <v>0.164</v>
      </c>
      <c r="E194" s="13" t="n">
        <v>2024</v>
      </c>
      <c r="F194" s="13" t="n">
        <v>2025</v>
      </c>
      <c r="G194" s="2" t="str">
        <v>国内年报口径；不与JIF混排</v>
      </c>
      <c r="H194" s="2" t="str">
        <v>不按此口径列示</v>
      </c>
      <c r="I194" s="2" t="str">
        <v>已提取2025版原表</v>
      </c>
      <c r="J194" s="10" t="n">
        <v>105</v>
      </c>
      <c r="K194" s="2" t="str">
        <v>2025版年报统计年为2024。</v>
      </c>
      <c r="L194" s="14" t="str">
        <v>年报原页</v>
      </c>
      <c r="M194" s="14" t="str">
        <v>http://www.aquaticjournal.com/kxyy</v>
      </c>
      <c r="N194" s="7" t="str">
        <v>期刊/出版平台页面检索核对</v>
      </c>
      <c r="O194" s="2" t="str">
        <v>官网来源</v>
      </c>
    </row>
    <row r="195" ht="30" customHeight="1">
      <c r="A195" s="7" t="str">
        <v>渔业研究</v>
      </c>
      <c r="B195" s="7" t="str">
        <v>水产渔业与海洋生物</v>
      </c>
      <c r="C195" s="21" t="n">
        <v>1.319</v>
      </c>
      <c r="D195" s="21" t="n">
        <v>1.007</v>
      </c>
      <c r="E195" s="13" t="n">
        <v>2024</v>
      </c>
      <c r="F195" s="13" t="n">
        <v>2025</v>
      </c>
      <c r="G195" s="2" t="str">
        <v>国内年报口径；不与JIF混排</v>
      </c>
      <c r="H195" s="2" t="str">
        <v>不按此口径列示</v>
      </c>
      <c r="I195" s="2" t="str">
        <v>已提取2025版原表</v>
      </c>
      <c r="J195" s="10" t="n">
        <v>105</v>
      </c>
      <c r="K195" s="2" t="str">
        <v>2025版年报统计年为2024。</v>
      </c>
      <c r="L195" s="14" t="str">
        <v>年报原页</v>
      </c>
      <c r="M195" s="14" t="str">
        <v>http://www.hyyysci.com/</v>
      </c>
      <c r="N195" s="7" t="str">
        <v>期刊/出版平台页面检索核对</v>
      </c>
      <c r="O195" s="2" t="str">
        <v>官网来源</v>
      </c>
    </row>
    <row r="196" ht="30" customHeight="1">
      <c r="A196" s="7" t="str">
        <v>土壤学报</v>
      </c>
      <c r="B196" s="7" t="str">
        <v>土壤肥料与农业环境</v>
      </c>
      <c r="C196" s="21" t="n">
        <v>7.628</v>
      </c>
      <c r="D196" s="21" t="n">
        <v>4.454</v>
      </c>
      <c r="E196" s="13" t="n">
        <v>2024</v>
      </c>
      <c r="F196" s="13" t="n">
        <v>2025</v>
      </c>
      <c r="G196" s="2" t="str">
        <v>国内年报口径；不与JIF混排</v>
      </c>
      <c r="H196" s="2" t="str">
        <v>不按此口径列示</v>
      </c>
      <c r="I196" s="2" t="str">
        <v>已提取2025版原表</v>
      </c>
      <c r="J196" s="10" t="n">
        <v>96</v>
      </c>
      <c r="K196" s="2" t="str">
        <v>2025版年报统计年为2024。</v>
      </c>
      <c r="L196" s="14" t="str">
        <v>年报原页</v>
      </c>
      <c r="M196" s="14" t="str">
        <v>http://pedologica.issas.ac.cn/trxb/home</v>
      </c>
      <c r="N196" s="7" t="str">
        <v>期刊/出版平台页面检索核对</v>
      </c>
      <c r="O196" s="2" t="str">
        <v>官网来源</v>
      </c>
    </row>
    <row r="197" ht="30" customHeight="1">
      <c r="A197" s="7" t="str">
        <v>土壤</v>
      </c>
      <c r="B197" s="7" t="str">
        <v>土壤肥料与农业环境</v>
      </c>
      <c r="C197" s="21" t="n">
        <v>3.941</v>
      </c>
      <c r="D197" s="21" t="n">
        <v>2.52</v>
      </c>
      <c r="E197" s="13" t="n">
        <v>2024</v>
      </c>
      <c r="F197" s="13" t="n">
        <v>2025</v>
      </c>
      <c r="G197" s="2" t="str">
        <v>国内年报口径；不与JIF混排</v>
      </c>
      <c r="H197" s="2" t="str">
        <v>不按此口径列示</v>
      </c>
      <c r="I197" s="2" t="str">
        <v>已提取2025版原表</v>
      </c>
      <c r="J197" s="10" t="n">
        <v>96</v>
      </c>
      <c r="K197" s="2" t="str">
        <v>2025版年报统计年为2024。</v>
      </c>
      <c r="L197" s="14" t="str">
        <v>年报原页</v>
      </c>
      <c r="M197" s="14" t="str">
        <v>http://soils.issas.ac.cn/tr/home</v>
      </c>
      <c r="N197" s="7" t="str">
        <v>期刊/出版平台页面检索核对</v>
      </c>
      <c r="O197" s="2" t="str">
        <v>官网来源</v>
      </c>
    </row>
    <row r="198" ht="30" customHeight="1">
      <c r="A198" s="7" t="str">
        <v>土壤通报</v>
      </c>
      <c r="B198" s="7" t="str">
        <v>土壤肥料与农业环境</v>
      </c>
      <c r="C198" s="21" t="n">
        <v>4.864</v>
      </c>
      <c r="D198" s="21" t="n">
        <v>2.746</v>
      </c>
      <c r="E198" s="13" t="n">
        <v>2024</v>
      </c>
      <c r="F198" s="13" t="n">
        <v>2025</v>
      </c>
      <c r="G198" s="2" t="str">
        <v>国内年报口径；不与JIF混排</v>
      </c>
      <c r="H198" s="2" t="str">
        <v>不按此口径列示</v>
      </c>
      <c r="I198" s="2" t="str">
        <v>已提取2025版原表</v>
      </c>
      <c r="J198" s="10" t="n">
        <v>96</v>
      </c>
      <c r="K198" s="2" t="str">
        <v>2025版年报统计年为2024。</v>
      </c>
      <c r="L198" s="14" t="str">
        <v>年报原页</v>
      </c>
      <c r="M198" s="14" t="str">
        <v>https://www.trtb.net/</v>
      </c>
      <c r="N198" s="7" t="str">
        <v>期刊/主办方官方入口匹配</v>
      </c>
      <c r="O198" s="2" t="str">
        <v>官网来源</v>
      </c>
    </row>
    <row r="199" ht="30" customHeight="1">
      <c r="A199" s="7" t="str">
        <v>植物营养与肥料学报</v>
      </c>
      <c r="B199" s="7" t="str">
        <v>土壤肥料与农业环境</v>
      </c>
      <c r="C199" s="21" t="n">
        <v>5.329</v>
      </c>
      <c r="D199" s="21" t="n">
        <v>3.044</v>
      </c>
      <c r="E199" s="13" t="n">
        <v>2024</v>
      </c>
      <c r="F199" s="13" t="n">
        <v>2025</v>
      </c>
      <c r="G199" s="2" t="str">
        <v>国内年报口径；不与JIF混排</v>
      </c>
      <c r="H199" s="2" t="str">
        <v>不按此口径列示</v>
      </c>
      <c r="I199" s="2" t="str">
        <v>已提取2025版原表</v>
      </c>
      <c r="J199" s="10" t="n">
        <v>96</v>
      </c>
      <c r="K199" s="2" t="str">
        <v>2025版年报统计年为2024。</v>
      </c>
      <c r="L199" s="14" t="str">
        <v>年报原页</v>
      </c>
      <c r="M199" s="14" t="str">
        <v>https://www.plantnutrifert.org/</v>
      </c>
      <c r="N199" s="7" t="str">
        <v>期刊/出版平台页面检索核对</v>
      </c>
      <c r="O199" s="2" t="str">
        <v>官网来源</v>
      </c>
    </row>
    <row r="200" ht="30" customHeight="1">
      <c r="A200" s="7" t="str">
        <v>中国土壤与肥料</v>
      </c>
      <c r="B200" s="7" t="str">
        <v>土壤肥料与农业环境</v>
      </c>
      <c r="C200" s="21" t="n">
        <v>3.494</v>
      </c>
      <c r="D200" s="21" t="n">
        <v>2.025</v>
      </c>
      <c r="E200" s="13" t="n">
        <v>2024</v>
      </c>
      <c r="F200" s="13" t="n">
        <v>2025</v>
      </c>
      <c r="G200" s="2" t="str">
        <v>国内年报口径；不与JIF混排</v>
      </c>
      <c r="H200" s="2" t="str">
        <v>不按此口径列示</v>
      </c>
      <c r="I200" s="2" t="str">
        <v>已提取2025版原表</v>
      </c>
      <c r="J200" s="10" t="n">
        <v>96</v>
      </c>
      <c r="K200" s="2" t="str">
        <v>2025版年报统计年为2024。</v>
      </c>
      <c r="L200" s="14" t="str">
        <v>年报原页</v>
      </c>
      <c r="M200" s="14" t="str">
        <v>https://caas.cn/xxfw/zyfw/cqk/81791d9be9304b7dbef8b97aaf9b2e6b.htm</v>
      </c>
      <c r="N200" s="7" t="str">
        <v>期刊/出版平台页面检索核对</v>
      </c>
      <c r="O200" s="2" t="str">
        <v>官网来源</v>
      </c>
    </row>
    <row r="201" ht="30" customHeight="1">
      <c r="A201" s="7" t="str">
        <v>农业环境科学学报</v>
      </c>
      <c r="B201" s="7" t="str">
        <v>土壤肥料与农业环境</v>
      </c>
      <c r="C201" s="21" t="n">
        <v>3.628</v>
      </c>
      <c r="D201" s="21" t="n">
        <v>2.06</v>
      </c>
      <c r="E201" s="13" t="n">
        <v>2024</v>
      </c>
      <c r="F201" s="13" t="n">
        <v>2025</v>
      </c>
      <c r="G201" s="2" t="str">
        <v>国内年报口径；不与JIF混排</v>
      </c>
      <c r="H201" s="2" t="str">
        <v>不按此口径列示</v>
      </c>
      <c r="I201" s="2" t="str">
        <v>已提取2025版原表</v>
      </c>
      <c r="J201" s="10" t="n">
        <v>166</v>
      </c>
      <c r="K201" s="2" t="str">
        <v>2025版年报统计年为2024。</v>
      </c>
      <c r="L201" s="14" t="str">
        <v>年报原页</v>
      </c>
      <c r="M201" s="14" t="str">
        <v>https://www.aes.org.cn/nyhjkxxb/ch/index.aspx</v>
      </c>
      <c r="N201" s="7" t="str">
        <v>期刊/主办方官方入口匹配</v>
      </c>
      <c r="O201" s="2" t="str">
        <v>官网来源</v>
      </c>
    </row>
    <row r="202" ht="30" customHeight="1">
      <c r="A202" s="7" t="str">
        <v>农业资源与环境学报</v>
      </c>
      <c r="B202" s="7" t="str">
        <v>土壤肥料与农业环境</v>
      </c>
      <c r="C202" s="21" t="n">
        <v>6.112</v>
      </c>
      <c r="D202" s="21" t="n">
        <v>3.014</v>
      </c>
      <c r="E202" s="13" t="n">
        <v>2024</v>
      </c>
      <c r="F202" s="13" t="n">
        <v>2025</v>
      </c>
      <c r="G202" s="2" t="str">
        <v>国内年报口径；不与JIF混排</v>
      </c>
      <c r="H202" s="2" t="str">
        <v>不按此口径列示</v>
      </c>
      <c r="I202" s="2" t="str">
        <v>已提取2025版原表</v>
      </c>
      <c r="J202" s="10" t="n">
        <v>92</v>
      </c>
      <c r="K202" s="2" t="str">
        <v>2025版年报统计年为2024。</v>
      </c>
      <c r="L202" s="14" t="str">
        <v>年报原页</v>
      </c>
      <c r="M202" s="14" t="str">
        <v>https://www.aed.org.cn/nyzyyhjxb/ch/index.aspx</v>
      </c>
      <c r="N202" s="7" t="str">
        <v>期刊/主办方官方入口匹配</v>
      </c>
      <c r="O202" s="2" t="str">
        <v>官网来源</v>
      </c>
    </row>
    <row r="203" ht="30" customHeight="1">
      <c r="A203" s="7" t="str">
        <v>水土保持学报</v>
      </c>
      <c r="B203" s="7" t="str">
        <v>土壤肥料与农业环境</v>
      </c>
      <c r="C203" s="21" t="n">
        <v>5.153</v>
      </c>
      <c r="D203" s="21" t="n">
        <v>2.763</v>
      </c>
      <c r="E203" s="13" t="n">
        <v>2024</v>
      </c>
      <c r="F203" s="13" t="n">
        <v>2025</v>
      </c>
      <c r="G203" s="2" t="str">
        <v>国内年报口径；不与JIF混排</v>
      </c>
      <c r="H203" s="2" t="str">
        <v>不按此口径列示</v>
      </c>
      <c r="I203" s="2" t="str">
        <v>已提取2025版原表</v>
      </c>
      <c r="J203" s="10" t="n">
        <v>96</v>
      </c>
      <c r="K203" s="2" t="str">
        <v>2025版年报统计年为2024。</v>
      </c>
      <c r="L203" s="14" t="str">
        <v>年报原页</v>
      </c>
      <c r="M203" s="14" t="str">
        <v>https://www.stbcxb.com.cn/zh/home/</v>
      </c>
      <c r="N203" s="7" t="str">
        <v>期刊/出版平台页面检索核对</v>
      </c>
      <c r="O203" s="2" t="str">
        <v>官网来源</v>
      </c>
    </row>
    <row r="204" ht="30" customHeight="1">
      <c r="A204" s="7" t="str">
        <v>水土保持研究</v>
      </c>
      <c r="B204" s="7" t="str">
        <v>土壤肥料与农业环境</v>
      </c>
      <c r="C204" s="21" t="n">
        <v>5.406</v>
      </c>
      <c r="D204" s="21" t="n">
        <v>3.025</v>
      </c>
      <c r="E204" s="13" t="n">
        <v>2024</v>
      </c>
      <c r="F204" s="13" t="n">
        <v>2025</v>
      </c>
      <c r="G204" s="2" t="str">
        <v>国内年报口径；不与JIF混排</v>
      </c>
      <c r="H204" s="2" t="str">
        <v>不按此口径列示</v>
      </c>
      <c r="I204" s="2" t="str">
        <v>已提取2025版原表</v>
      </c>
      <c r="J204" s="10" t="n">
        <v>96</v>
      </c>
      <c r="K204" s="2" t="str">
        <v>2025版年报统计年为2024。</v>
      </c>
      <c r="L204" s="14" t="str">
        <v>年报原页</v>
      </c>
      <c r="M204" s="14" t="str">
        <v>https://cjournal.hep.com.cn/1005-3409/CN/home</v>
      </c>
      <c r="N204" s="7" t="str">
        <v>期刊/出版平台页面检索核对</v>
      </c>
      <c r="O204" s="2" t="str">
        <v>官网来源</v>
      </c>
    </row>
    <row r="205" ht="30" customHeight="1">
      <c r="A205" s="7" t="str">
        <v>中国水土保持科学(中英文)</v>
      </c>
      <c r="B205" s="7" t="str">
        <v>土壤肥料与农业环境</v>
      </c>
      <c r="C205" s="21" t="n">
        <v>2.722</v>
      </c>
      <c r="D205" s="21" t="n">
        <v>1.713</v>
      </c>
      <c r="E205" s="13" t="n">
        <v>2024</v>
      </c>
      <c r="F205" s="13" t="n">
        <v>2025</v>
      </c>
      <c r="G205" s="2" t="str">
        <v>国内年报口径；不与JIF混排</v>
      </c>
      <c r="H205" s="2" t="str">
        <v>不按此口径列示</v>
      </c>
      <c r="I205" s="2" t="str">
        <v>已提取2025版原表</v>
      </c>
      <c r="J205" s="10" t="n">
        <v>96</v>
      </c>
      <c r="K205" s="2" t="str">
        <v>2025版年报统计年为2024。</v>
      </c>
      <c r="L205" s="14" t="str">
        <v>年报原页</v>
      </c>
      <c r="M205" s="14" t="str">
        <v>https://zgstbckx.xml-journal.net/</v>
      </c>
      <c r="N205" s="7" t="str">
        <v>期刊/主办方官方入口匹配</v>
      </c>
      <c r="O205" s="2" t="str">
        <v>官网来源</v>
      </c>
    </row>
    <row r="206" ht="30" customHeight="1">
      <c r="A206" s="7" t="str">
        <v>水土保持通报</v>
      </c>
      <c r="B206" s="7" t="str">
        <v>土壤肥料与农业环境</v>
      </c>
      <c r="C206" s="21" t="n">
        <v>3.867</v>
      </c>
      <c r="D206" s="21" t="n">
        <v>2.348</v>
      </c>
      <c r="E206" s="13" t="n">
        <v>2024</v>
      </c>
      <c r="F206" s="13" t="n">
        <v>2025</v>
      </c>
      <c r="G206" s="2" t="str">
        <v>国内年报口径；不与JIF混排</v>
      </c>
      <c r="H206" s="2" t="str">
        <v>不按此口径列示</v>
      </c>
      <c r="I206" s="2" t="str">
        <v>已提取2025版原表</v>
      </c>
      <c r="J206" s="10" t="n">
        <v>96</v>
      </c>
      <c r="K206" s="2" t="str">
        <v>2025版年报统计年为2024。</v>
      </c>
      <c r="L206" s="14" t="str">
        <v>年报原页</v>
      </c>
      <c r="M206" s="14" t="str">
        <v>https://cjournal.hep.com.cn/1000-288X/CN/home</v>
      </c>
      <c r="N206" s="7" t="str">
        <v>期刊/出版平台页面检索核对</v>
      </c>
      <c r="O206" s="2" t="str">
        <v>官网来源</v>
      </c>
    </row>
    <row r="207" ht="30" customHeight="1">
      <c r="A207" s="7" t="str">
        <v>水土保持应用技术</v>
      </c>
      <c r="B207" s="7" t="str">
        <v>土壤肥料与农业环境</v>
      </c>
      <c r="C207" s="21" t="n">
        <v>0.876</v>
      </c>
      <c r="D207" s="21" t="n">
        <v>0.709</v>
      </c>
      <c r="E207" s="13" t="n">
        <v>2024</v>
      </c>
      <c r="F207" s="13" t="n">
        <v>2025</v>
      </c>
      <c r="G207" s="2" t="str">
        <v>国内年报口径；不与JIF混排</v>
      </c>
      <c r="H207" s="2" t="str">
        <v>不按此口径列示</v>
      </c>
      <c r="I207" s="2" t="str">
        <v>已提取2025版原表</v>
      </c>
      <c r="J207" s="10" t="n">
        <v>96</v>
      </c>
      <c r="K207" s="2" t="str">
        <v>2025版年报统计年为2024。</v>
      </c>
      <c r="L207" s="14" t="str">
        <v>年报原页</v>
      </c>
      <c r="M207" s="14" t="str"/>
      <c r="N207" s="7" t="str">
        <v>未检得可靠官网；待核实</v>
      </c>
      <c r="O207" s="2" t="str"/>
    </row>
    <row r="208" ht="30" customHeight="1">
      <c r="A208" s="7" t="str">
        <v>中国水土保持</v>
      </c>
      <c r="B208" s="7" t="str">
        <v>土壤肥料与农业环境</v>
      </c>
      <c r="C208" s="21" t="n">
        <v>1.069</v>
      </c>
      <c r="D208" s="21" t="n">
        <v>0.803</v>
      </c>
      <c r="E208" s="13" t="n">
        <v>2024</v>
      </c>
      <c r="F208" s="13" t="n">
        <v>2025</v>
      </c>
      <c r="G208" s="2" t="str">
        <v>国内年报口径；不与JIF混排</v>
      </c>
      <c r="H208" s="2" t="str">
        <v>不按此口径列示</v>
      </c>
      <c r="I208" s="2" t="str">
        <v>已提取2025版原表</v>
      </c>
      <c r="J208" s="10" t="n">
        <v>96</v>
      </c>
      <c r="K208" s="2" t="str">
        <v>2025版年报统计年为2024。</v>
      </c>
      <c r="L208" s="14" t="str">
        <v>年报原页</v>
      </c>
      <c r="M208" s="14" t="str">
        <v>http://www.swcczz.cn/CN/home</v>
      </c>
      <c r="N208" s="7" t="str">
        <v>期刊/出版平台页面检索核对</v>
      </c>
      <c r="O208" s="2" t="str">
        <v>官网来源</v>
      </c>
    </row>
    <row r="209" ht="30" customHeight="1">
      <c r="A209" s="7" t="str">
        <v>灌溉排水学报</v>
      </c>
      <c r="B209" s="7" t="str">
        <v>土壤肥料与农业环境</v>
      </c>
      <c r="C209" s="21" t="n">
        <v>3.162</v>
      </c>
      <c r="D209" s="21" t="n">
        <v>1.939</v>
      </c>
      <c r="E209" s="13" t="n">
        <v>2024</v>
      </c>
      <c r="F209" s="13" t="n">
        <v>2025</v>
      </c>
      <c r="G209" s="2" t="str">
        <v>国内年报口径；不与JIF混排</v>
      </c>
      <c r="H209" s="2" t="str">
        <v>不按此口径列示</v>
      </c>
      <c r="I209" s="2" t="str">
        <v>已提取2025版原表</v>
      </c>
      <c r="J209" s="10" t="n">
        <v>96</v>
      </c>
      <c r="K209" s="2" t="str">
        <v>2025版年报统计年为2024。</v>
      </c>
      <c r="L209" s="14" t="str">
        <v>年报原页</v>
      </c>
      <c r="M209" s="14" t="str">
        <v>http://journals.caass.org.cn/ggpsxb/CN/home</v>
      </c>
      <c r="N209" s="7" t="str">
        <v>期刊/出版平台页面检索核对</v>
      </c>
      <c r="O209" s="2" t="str">
        <v>官网来源</v>
      </c>
    </row>
    <row r="210" ht="30" customHeight="1">
      <c r="A210" s="7" t="str">
        <v>中国农村水利水电</v>
      </c>
      <c r="B210" s="7" t="str">
        <v>土壤肥料与农业环境</v>
      </c>
      <c r="C210" s="21" t="n">
        <v>2.263</v>
      </c>
      <c r="D210" s="21" t="n">
        <v>1.414</v>
      </c>
      <c r="E210" s="13" t="n">
        <v>2024</v>
      </c>
      <c r="F210" s="13" t="n">
        <v>2025</v>
      </c>
      <c r="G210" s="2" t="str">
        <v>国内年报口径；不与JIF混排</v>
      </c>
      <c r="H210" s="2" t="str">
        <v>不按此口径列示</v>
      </c>
      <c r="I210" s="2" t="str">
        <v>已提取2025版原表</v>
      </c>
      <c r="J210" s="10" t="n">
        <v>96</v>
      </c>
      <c r="K210" s="2" t="str">
        <v>2025版年报统计年为2024。</v>
      </c>
      <c r="L210" s="14" t="str">
        <v>年报原页</v>
      </c>
      <c r="M210" s="14" t="str">
        <v>https://irrigate.whu.edu.cn/CN/1007-2284/home.shtml</v>
      </c>
      <c r="N210" s="7" t="str">
        <v>期刊/出版平台页面检索核对</v>
      </c>
      <c r="O210" s="2" t="str">
        <v>官网来源</v>
      </c>
    </row>
    <row r="211" ht="30" customHeight="1">
      <c r="A211" s="7" t="str">
        <v>农业工程学报</v>
      </c>
      <c r="B211" s="7" t="str">
        <v>土壤肥料与农业环境</v>
      </c>
      <c r="C211" s="21" t="n">
        <v>4.971</v>
      </c>
      <c r="D211" s="21" t="n">
        <v>3.335</v>
      </c>
      <c r="E211" s="13" t="n">
        <v>2024</v>
      </c>
      <c r="F211" s="13" t="n">
        <v>2025</v>
      </c>
      <c r="G211" s="2" t="str">
        <v>国内年报口径；不与JIF混排</v>
      </c>
      <c r="H211" s="2" t="str">
        <v>不按此口径列示</v>
      </c>
      <c r="I211" s="2" t="str">
        <v>已提取2025版原表</v>
      </c>
      <c r="J211" s="10" t="n">
        <v>96</v>
      </c>
      <c r="K211" s="2" t="str">
        <v>2025版年报统计年为2024。</v>
      </c>
      <c r="L211" s="14" t="str">
        <v>年报原页</v>
      </c>
      <c r="M211" s="14" t="str">
        <v>http://www.tcsae.org/</v>
      </c>
      <c r="N211" s="7" t="str">
        <v>期刊/出版平台页面检索核对</v>
      </c>
      <c r="O211" s="2" t="str">
        <v>官网来源</v>
      </c>
    </row>
    <row r="212" ht="30" customHeight="1">
      <c r="A212" s="7" t="str">
        <v>农业机械学报</v>
      </c>
      <c r="B212" s="7" t="str">
        <v>土壤肥料与农业环境</v>
      </c>
      <c r="C212" s="21" t="n">
        <v>5.793</v>
      </c>
      <c r="D212" s="21" t="n">
        <v>3.347</v>
      </c>
      <c r="E212" s="13" t="n">
        <v>2024</v>
      </c>
      <c r="F212" s="13" t="n">
        <v>2025</v>
      </c>
      <c r="G212" s="2" t="str">
        <v>国内年报口径；不与JIF混排</v>
      </c>
      <c r="H212" s="2" t="str">
        <v>不按此口径列示</v>
      </c>
      <c r="I212" s="2" t="str">
        <v>已提取2025版原表</v>
      </c>
      <c r="J212" s="10" t="n">
        <v>96</v>
      </c>
      <c r="K212" s="2" t="str">
        <v>2025版年报统计年为2024。</v>
      </c>
      <c r="L212" s="14" t="str">
        <v>年报原页</v>
      </c>
      <c r="M212" s="14" t="str">
        <v>http://nyjxxb.ijournals.cn/jcsam/home</v>
      </c>
      <c r="N212" s="7" t="str">
        <v>期刊/出版平台页面检索核对</v>
      </c>
      <c r="O212" s="2" t="str">
        <v>官网来源</v>
      </c>
    </row>
    <row r="213" ht="30" customHeight="1">
      <c r="A213" s="7" t="str">
        <v>排灌机械工程学报</v>
      </c>
      <c r="B213" s="7" t="str">
        <v>土壤肥料与农业环境</v>
      </c>
      <c r="C213" s="21" t="n">
        <v>3.061</v>
      </c>
      <c r="D213" s="21" t="n">
        <v>2.116</v>
      </c>
      <c r="E213" s="13" t="n">
        <v>2024</v>
      </c>
      <c r="F213" s="13" t="n">
        <v>2025</v>
      </c>
      <c r="G213" s="2" t="str">
        <v>国内年报口径；不与JIF混排</v>
      </c>
      <c r="H213" s="2" t="str">
        <v>不按此口径列示</v>
      </c>
      <c r="I213" s="2" t="str">
        <v>已提取2025版原表</v>
      </c>
      <c r="J213" s="10" t="n">
        <v>96</v>
      </c>
      <c r="K213" s="2" t="str">
        <v>2025版年报统计年为2024。</v>
      </c>
      <c r="L213" s="14" t="str">
        <v>年报原页</v>
      </c>
      <c r="M213" s="14" t="str">
        <v>https://zzs.ujs.edu.cn/pgjxgcxb/CN/home</v>
      </c>
      <c r="N213" s="7" t="str">
        <v>期刊/主办方官方入口匹配</v>
      </c>
      <c r="O213" s="2" t="str">
        <v>官网来源</v>
      </c>
    </row>
    <row r="214" ht="30" customHeight="1">
      <c r="A214" s="7" t="str">
        <v>节水灌溉</v>
      </c>
      <c r="B214" s="7" t="str">
        <v>土壤肥料与农业环境</v>
      </c>
      <c r="C214" s="21" t="n">
        <v>2.865</v>
      </c>
      <c r="D214" s="21" t="n">
        <v>1.685</v>
      </c>
      <c r="E214" s="13" t="n">
        <v>2024</v>
      </c>
      <c r="F214" s="13" t="n">
        <v>2025</v>
      </c>
      <c r="G214" s="2" t="str">
        <v>国内年报口径；不与JIF混排</v>
      </c>
      <c r="H214" s="2" t="str">
        <v>不按此口径列示</v>
      </c>
      <c r="I214" s="2" t="str">
        <v>已提取2025版原表</v>
      </c>
      <c r="J214" s="10" t="n">
        <v>96</v>
      </c>
      <c r="K214" s="2" t="str">
        <v>2025版年报统计年为2024。</v>
      </c>
      <c r="L214" s="14" t="str">
        <v>年报原页</v>
      </c>
      <c r="M214" s="14" t="str">
        <v>https://irrigate.whu.edu.cn/jsgg/</v>
      </c>
      <c r="N214" s="7" t="str">
        <v>期刊/主办方官方入口匹配</v>
      </c>
      <c r="O214" s="2" t="str">
        <v>官网来源</v>
      </c>
    </row>
    <row r="215" ht="30" customHeight="1">
      <c r="A215" s="7" t="str">
        <v>农机化研究</v>
      </c>
      <c r="B215" s="7" t="str">
        <v>土壤肥料与农业环境</v>
      </c>
      <c r="C215" s="21" t="n">
        <v>1.694</v>
      </c>
      <c r="D215" s="21" t="n">
        <v>0.885</v>
      </c>
      <c r="E215" s="13" t="n">
        <v>2024</v>
      </c>
      <c r="F215" s="13" t="n">
        <v>2025</v>
      </c>
      <c r="G215" s="2" t="str">
        <v>国内年报口径；不与JIF混排</v>
      </c>
      <c r="H215" s="2" t="str">
        <v>不按此口径列示</v>
      </c>
      <c r="I215" s="2" t="str">
        <v>已提取2025版原表</v>
      </c>
      <c r="J215" s="10" t="n">
        <v>97</v>
      </c>
      <c r="K215" s="2" t="str">
        <v>2025版年报统计年为2024。</v>
      </c>
      <c r="L215" s="14" t="str">
        <v>年报原页</v>
      </c>
      <c r="M215" s="14" t="str">
        <v>https://njyj.cbpt.cnki.net/portal/journal/portal/client/index</v>
      </c>
      <c r="N215" s="7" t="str">
        <v>期刊/出版平台页面检索核对</v>
      </c>
      <c r="O215" s="2" t="str">
        <v>官网来源</v>
      </c>
    </row>
    <row r="216" ht="30" customHeight="1">
      <c r="A216" s="7" t="str">
        <v>生态学报</v>
      </c>
      <c r="B216" s="7" t="str">
        <v>生态环境与自然资源</v>
      </c>
      <c r="C216" s="21" t="n">
        <v>7.268</v>
      </c>
      <c r="D216" s="21" t="n">
        <v>4.447</v>
      </c>
      <c r="E216" s="13" t="n">
        <v>2024</v>
      </c>
      <c r="F216" s="13" t="n">
        <v>2025</v>
      </c>
      <c r="G216" s="2" t="str">
        <v>国内年报口径；不与JIF混排</v>
      </c>
      <c r="H216" s="2" t="str">
        <v>不按此口径列示</v>
      </c>
      <c r="I216" s="2" t="str">
        <v>已提取2025版原表</v>
      </c>
      <c r="J216" s="10" t="n">
        <v>54</v>
      </c>
      <c r="K216" s="2" t="str">
        <v>2025版年报统计年为2024。</v>
      </c>
      <c r="L216" s="14" t="str">
        <v>年报原页</v>
      </c>
      <c r="M216" s="14" t="str">
        <v>https://stxb.ijournals.cn/stxb/home</v>
      </c>
      <c r="N216" s="7" t="str">
        <v>期刊/出版平台页面检索核对</v>
      </c>
      <c r="O216" s="2" t="str">
        <v>官网来源</v>
      </c>
    </row>
    <row r="217" ht="30" customHeight="1">
      <c r="A217" s="7" t="str">
        <v>应用生态学报</v>
      </c>
      <c r="B217" s="7" t="str">
        <v>生态环境与自然资源</v>
      </c>
      <c r="C217" s="21" t="n">
        <v>5.682</v>
      </c>
      <c r="D217" s="21" t="n">
        <v>3.291</v>
      </c>
      <c r="E217" s="13" t="n">
        <v>2024</v>
      </c>
      <c r="F217" s="13" t="n">
        <v>2025</v>
      </c>
      <c r="G217" s="2" t="str">
        <v>国内年报口径；不与JIF混排</v>
      </c>
      <c r="H217" s="2" t="str">
        <v>不按此口径列示</v>
      </c>
      <c r="I217" s="2" t="str">
        <v>已提取2025版原表</v>
      </c>
      <c r="J217" s="10" t="n">
        <v>54</v>
      </c>
      <c r="K217" s="2" t="str">
        <v>2025版年报统计年为2024。</v>
      </c>
      <c r="L217" s="14" t="str">
        <v>年报原页</v>
      </c>
      <c r="M217" s="14" t="str">
        <v>https://www.cjae.net/CN/1001-9332/home.shtml</v>
      </c>
      <c r="N217" s="7" t="str">
        <v>期刊/出版平台页面检索核对</v>
      </c>
      <c r="O217" s="2" t="str">
        <v>官网来源</v>
      </c>
    </row>
    <row r="218" ht="30" customHeight="1">
      <c r="A218" s="7" t="str">
        <v>生态学杂志</v>
      </c>
      <c r="B218" s="7" t="str">
        <v>生态环境与自然资源</v>
      </c>
      <c r="C218" s="21" t="n">
        <v>4.881</v>
      </c>
      <c r="D218" s="21" t="n">
        <v>2.793</v>
      </c>
      <c r="E218" s="13" t="n">
        <v>2024</v>
      </c>
      <c r="F218" s="13" t="n">
        <v>2025</v>
      </c>
      <c r="G218" s="2" t="str">
        <v>国内年报口径；不与JIF混排</v>
      </c>
      <c r="H218" s="2" t="str">
        <v>不按此口径列示</v>
      </c>
      <c r="I218" s="2" t="str">
        <v>已提取2025版原表</v>
      </c>
      <c r="J218" s="10" t="n">
        <v>54</v>
      </c>
      <c r="K218" s="2" t="str">
        <v>2025版年报统计年为2024。</v>
      </c>
      <c r="L218" s="14" t="str">
        <v>年报原页</v>
      </c>
      <c r="M218" s="14" t="str">
        <v>https://www.cje.net.cn/CN/1000-4890/home.shtml</v>
      </c>
      <c r="N218" s="7" t="str">
        <v>期刊/出版平台页面检索核对</v>
      </c>
      <c r="O218" s="2" t="str">
        <v>官网来源</v>
      </c>
    </row>
    <row r="219" ht="30" customHeight="1">
      <c r="A219" s="7" t="str">
        <v>生态环境学报</v>
      </c>
      <c r="B219" s="7" t="str">
        <v>生态环境与自然资源</v>
      </c>
      <c r="C219" s="21" t="n">
        <v>4.213</v>
      </c>
      <c r="D219" s="21" t="n">
        <v>2.708</v>
      </c>
      <c r="E219" s="13" t="n">
        <v>2024</v>
      </c>
      <c r="F219" s="13" t="n">
        <v>2025</v>
      </c>
      <c r="G219" s="2" t="str">
        <v>国内年报口径；不与JIF混排</v>
      </c>
      <c r="H219" s="2" t="str">
        <v>不按此口径列示</v>
      </c>
      <c r="I219" s="2" t="str">
        <v>已提取2025版原表</v>
      </c>
      <c r="J219" s="10" t="n">
        <v>96</v>
      </c>
      <c r="K219" s="2" t="str">
        <v>2025版年报统计年为2024。</v>
      </c>
      <c r="L219" s="14" t="str">
        <v>年报原页</v>
      </c>
      <c r="M219" s="14" t="str">
        <v>https://www.jeesci.com/CN/1674-5906/home.shtml</v>
      </c>
      <c r="N219" s="7" t="str">
        <v>期刊/出版平台页面检索核对</v>
      </c>
      <c r="O219" s="2" t="str">
        <v>官网来源</v>
      </c>
    </row>
    <row r="220" ht="30" customHeight="1">
      <c r="A220" s="7" t="str">
        <v>生态科学</v>
      </c>
      <c r="B220" s="7" t="str">
        <v>生态环境与自然资源</v>
      </c>
      <c r="C220" s="21" t="n">
        <v>3.383</v>
      </c>
      <c r="D220" s="21" t="n">
        <v>1.908</v>
      </c>
      <c r="E220" s="13" t="n">
        <v>2024</v>
      </c>
      <c r="F220" s="13" t="n">
        <v>2025</v>
      </c>
      <c r="G220" s="2" t="str">
        <v>国内年报口径；不与JIF混排</v>
      </c>
      <c r="H220" s="2" t="str">
        <v>不按此口径列示</v>
      </c>
      <c r="I220" s="2" t="str">
        <v>已提取2025版原表</v>
      </c>
      <c r="J220" s="10" t="n">
        <v>54</v>
      </c>
      <c r="K220" s="2" t="str">
        <v>2025版年报统计年为2024。</v>
      </c>
      <c r="L220" s="14" t="str">
        <v>年报原页</v>
      </c>
      <c r="M220" s="14" t="str">
        <v>http://www.ecolsci.com/</v>
      </c>
      <c r="N220" s="7" t="str">
        <v>期刊/出版平台页面检索核对</v>
      </c>
      <c r="O220" s="2" t="str">
        <v>官网来源</v>
      </c>
    </row>
    <row r="221" ht="30" customHeight="1">
      <c r="A221" s="7" t="str">
        <v>环境科学</v>
      </c>
      <c r="B221" s="7" t="str">
        <v>生态环境与自然资源</v>
      </c>
      <c r="C221" s="21" t="n">
        <v>7.561</v>
      </c>
      <c r="D221" s="21" t="n">
        <v>4.768</v>
      </c>
      <c r="E221" s="13" t="n">
        <v>2024</v>
      </c>
      <c r="F221" s="13" t="n">
        <v>2025</v>
      </c>
      <c r="G221" s="2" t="str">
        <v>国内年报口径；不与JIF混排</v>
      </c>
      <c r="H221" s="2" t="str">
        <v>不按此口径列示</v>
      </c>
      <c r="I221" s="2" t="str">
        <v>已提取2025版原表</v>
      </c>
      <c r="J221" s="10" t="n">
        <v>166</v>
      </c>
      <c r="K221" s="2" t="str">
        <v>2025版年报统计年为2024。</v>
      </c>
      <c r="L221" s="14" t="str">
        <v>年报原页</v>
      </c>
      <c r="M221" s="14" t="str">
        <v>http://hjkx.ac.cn/hjkx/</v>
      </c>
      <c r="N221" s="7" t="str">
        <v>期刊/主办方官方入口匹配</v>
      </c>
      <c r="O221" s="2" t="str">
        <v>官网来源</v>
      </c>
    </row>
    <row r="222" ht="30" customHeight="1">
      <c r="A222" s="7" t="str">
        <v>环境科学学报</v>
      </c>
      <c r="B222" s="7" t="str">
        <v>生态环境与自然资源</v>
      </c>
      <c r="C222" s="21" t="n">
        <v>2.767</v>
      </c>
      <c r="D222" s="21" t="n">
        <v>1.779</v>
      </c>
      <c r="E222" s="13" t="n">
        <v>2024</v>
      </c>
      <c r="F222" s="13" t="n">
        <v>2025</v>
      </c>
      <c r="G222" s="2" t="str">
        <v>国内年报口径；不与JIF混排</v>
      </c>
      <c r="H222" s="2" t="str">
        <v>不按此口径列示</v>
      </c>
      <c r="I222" s="2" t="str">
        <v>已提取2025版原表</v>
      </c>
      <c r="J222" s="10" t="n">
        <v>166</v>
      </c>
      <c r="K222" s="2" t="str">
        <v>2025版年报统计年为2024。</v>
      </c>
      <c r="L222" s="14" t="str">
        <v>年报原页</v>
      </c>
      <c r="M222" s="14" t="str">
        <v>https://www.actasc.cn/</v>
      </c>
      <c r="N222" s="7" t="str">
        <v>期刊/出版平台页面检索核对</v>
      </c>
      <c r="O222" s="2" t="str">
        <v>官网来源</v>
      </c>
    </row>
    <row r="223" ht="30" customHeight="1">
      <c r="A223" s="7" t="str">
        <v>中国环境科学</v>
      </c>
      <c r="B223" s="7" t="str">
        <v>生态环境与自然资源</v>
      </c>
      <c r="C223" s="21" t="n">
        <v>4.383</v>
      </c>
      <c r="D223" s="21" t="n">
        <v>2.787</v>
      </c>
      <c r="E223" s="13" t="n">
        <v>2024</v>
      </c>
      <c r="F223" s="13" t="n">
        <v>2025</v>
      </c>
      <c r="G223" s="2" t="str">
        <v>国内年报口径；不与JIF混排</v>
      </c>
      <c r="H223" s="2" t="str">
        <v>不按此口径列示</v>
      </c>
      <c r="I223" s="2" t="str">
        <v>已提取2025版原表</v>
      </c>
      <c r="J223" s="10" t="n">
        <v>166</v>
      </c>
      <c r="K223" s="2" t="str">
        <v>2025版年报统计年为2024。</v>
      </c>
      <c r="L223" s="14" t="str">
        <v>年报原页</v>
      </c>
      <c r="M223" s="14" t="str">
        <v>https://castjournals.cast.org.cn/joweb/zghjkx/CN/home</v>
      </c>
      <c r="N223" s="7" t="str">
        <v>期刊/主办方官方入口匹配</v>
      </c>
      <c r="O223" s="2" t="str">
        <v>官网来源</v>
      </c>
    </row>
    <row r="224" ht="30" customHeight="1">
      <c r="A224" s="7" t="str">
        <v>环境科学研究</v>
      </c>
      <c r="B224" s="7" t="str">
        <v>生态环境与自然资源</v>
      </c>
      <c r="C224" s="21" t="n">
        <v>5.594</v>
      </c>
      <c r="D224" s="21" t="n">
        <v>3.785</v>
      </c>
      <c r="E224" s="13" t="n">
        <v>2024</v>
      </c>
      <c r="F224" s="13" t="n">
        <v>2025</v>
      </c>
      <c r="G224" s="2" t="str">
        <v>国内年报口径；不与JIF混排</v>
      </c>
      <c r="H224" s="2" t="str">
        <v>不按此口径列示</v>
      </c>
      <c r="I224" s="2" t="str">
        <v>已提取2025版原表</v>
      </c>
      <c r="J224" s="10" t="n">
        <v>166</v>
      </c>
      <c r="K224" s="2" t="str">
        <v>2025版年报统计年为2024。</v>
      </c>
      <c r="L224" s="14" t="str">
        <v>年报原页</v>
      </c>
      <c r="M224" s="14" t="str">
        <v>https://www.hjkxyj.org.cn/</v>
      </c>
      <c r="N224" s="7" t="str">
        <v>期刊/出版平台页面检索核对</v>
      </c>
      <c r="O224" s="2" t="str">
        <v>官网来源</v>
      </c>
    </row>
    <row r="225" ht="30" customHeight="1">
      <c r="A225" s="7" t="str">
        <v>环境化学</v>
      </c>
      <c r="B225" s="7" t="str">
        <v>生态环境与自然资源</v>
      </c>
      <c r="C225" s="21" t="n">
        <v>2.543</v>
      </c>
      <c r="D225" s="21" t="n">
        <v>1.604</v>
      </c>
      <c r="E225" s="13" t="n">
        <v>2024</v>
      </c>
      <c r="F225" s="13" t="n">
        <v>2025</v>
      </c>
      <c r="G225" s="2" t="str">
        <v>国内年报口径；不与JIF混排</v>
      </c>
      <c r="H225" s="2" t="str">
        <v>不按此口径列示</v>
      </c>
      <c r="I225" s="2" t="str">
        <v>已提取2025版原表</v>
      </c>
      <c r="J225" s="10" t="n">
        <v>167</v>
      </c>
      <c r="K225" s="2" t="str">
        <v>2025版年报统计年为2024。</v>
      </c>
      <c r="L225" s="14" t="str">
        <v>年报原页</v>
      </c>
      <c r="M225" s="14" t="str">
        <v>https://www.sciengine.com/EC/home</v>
      </c>
      <c r="N225" s="7" t="str">
        <v>期刊/主办方官方入口匹配</v>
      </c>
      <c r="O225" s="2" t="str">
        <v>官网来源</v>
      </c>
    </row>
    <row r="226" ht="30" customHeight="1">
      <c r="A226" s="7" t="str">
        <v>环境工程学报</v>
      </c>
      <c r="B226" s="7" t="str">
        <v>生态环境与自然资源</v>
      </c>
      <c r="C226" s="21" t="n">
        <v>2.094</v>
      </c>
      <c r="D226" s="21" t="n">
        <v>1.362</v>
      </c>
      <c r="E226" s="13" t="n">
        <v>2024</v>
      </c>
      <c r="F226" s="13" t="n">
        <v>2025</v>
      </c>
      <c r="G226" s="2" t="str">
        <v>国内年报口径；不与JIF混排</v>
      </c>
      <c r="H226" s="2" t="str">
        <v>不按此口径列示</v>
      </c>
      <c r="I226" s="2" t="str">
        <v>已提取2025版原表</v>
      </c>
      <c r="J226" s="10" t="n">
        <v>167</v>
      </c>
      <c r="K226" s="2" t="str">
        <v>2025版年报统计年为2024。</v>
      </c>
      <c r="L226" s="14" t="str">
        <v>年报原页</v>
      </c>
      <c r="M226" s="14" t="str">
        <v>https://www.sciengine.com/CJEE/home</v>
      </c>
      <c r="N226" s="7" t="str">
        <v>期刊/主办方官方入口匹配</v>
      </c>
      <c r="O226" s="2" t="str">
        <v>官网来源</v>
      </c>
    </row>
    <row r="227" ht="30" customHeight="1">
      <c r="A227" s="7" t="str">
        <v>环境工程</v>
      </c>
      <c r="B227" s="7" t="str">
        <v>生态环境与自然资源</v>
      </c>
      <c r="C227" s="21" t="n">
        <v>2.812</v>
      </c>
      <c r="D227" s="21" t="n">
        <v>1.677</v>
      </c>
      <c r="E227" s="13" t="n">
        <v>2024</v>
      </c>
      <c r="F227" s="13" t="n">
        <v>2025</v>
      </c>
      <c r="G227" s="2" t="str">
        <v>国内年报口径；不与JIF混排</v>
      </c>
      <c r="H227" s="2" t="str">
        <v>不按此口径列示</v>
      </c>
      <c r="I227" s="2" t="str">
        <v>已提取2025版原表</v>
      </c>
      <c r="J227" s="10" t="n">
        <v>167</v>
      </c>
      <c r="K227" s="2" t="str">
        <v>2025版年报统计年为2024。</v>
      </c>
      <c r="L227" s="14" t="str">
        <v>年报原页</v>
      </c>
      <c r="M227" s="14" t="str">
        <v>http://hjgc.ic-mag.com/</v>
      </c>
      <c r="N227" s="7" t="str">
        <v>期刊/出版平台页面检索核对</v>
      </c>
      <c r="O227" s="2" t="str">
        <v>官网来源</v>
      </c>
    </row>
    <row r="228" ht="30" customHeight="1">
      <c r="A228" s="7" t="str">
        <v>环境污染与防治</v>
      </c>
      <c r="B228" s="7" t="str">
        <v>生态环境与自然资源</v>
      </c>
      <c r="C228" s="21" t="n">
        <v>2.253</v>
      </c>
      <c r="D228" s="21" t="n">
        <v>1.484</v>
      </c>
      <c r="E228" s="13" t="n">
        <v>2024</v>
      </c>
      <c r="F228" s="13" t="n">
        <v>2025</v>
      </c>
      <c r="G228" s="2" t="str">
        <v>国内年报口径；不与JIF混排</v>
      </c>
      <c r="H228" s="2" t="str">
        <v>不按此口径列示</v>
      </c>
      <c r="I228" s="2" t="str">
        <v>已提取2025版原表</v>
      </c>
      <c r="J228" s="10" t="n">
        <v>167</v>
      </c>
      <c r="K228" s="2" t="str">
        <v>2025版年报统计年为2024。</v>
      </c>
      <c r="L228" s="14" t="str">
        <v>年报原页</v>
      </c>
      <c r="M228" s="14" t="str">
        <v>http://www.zjepc.com/</v>
      </c>
      <c r="N228" s="7" t="str">
        <v>期刊/出版平台页面检索核对</v>
      </c>
      <c r="O228" s="2" t="str">
        <v>官网来源</v>
      </c>
    </row>
    <row r="229" ht="30" customHeight="1">
      <c r="A229" s="7" t="str">
        <v>环境科学与技术</v>
      </c>
      <c r="B229" s="7" t="str">
        <v>生态环境与自然资源</v>
      </c>
      <c r="C229" s="21" t="n">
        <v>1.657</v>
      </c>
      <c r="D229" s="21" t="n">
        <v>1.088</v>
      </c>
      <c r="E229" s="13" t="n">
        <v>2024</v>
      </c>
      <c r="F229" s="13" t="n">
        <v>2025</v>
      </c>
      <c r="G229" s="2" t="str">
        <v>国内年报口径；不与JIF混排</v>
      </c>
      <c r="H229" s="2" t="str">
        <v>不按此口径列示</v>
      </c>
      <c r="I229" s="2" t="str">
        <v>已提取2025版原表</v>
      </c>
      <c r="J229" s="10" t="n">
        <v>167</v>
      </c>
      <c r="K229" s="2" t="str">
        <v>2025版年报统计年为2024。</v>
      </c>
      <c r="L229" s="14" t="str">
        <v>年报原页</v>
      </c>
      <c r="M229" s="14" t="str">
        <v>https://fjks.chinajournal.net.cn/WKB2/WebPublication/index.aspx?mid=FJKS</v>
      </c>
      <c r="N229" s="7" t="str">
        <v>期刊/出版平台页面检索核对</v>
      </c>
      <c r="O229" s="2" t="str">
        <v>官网来源</v>
      </c>
    </row>
    <row r="230" ht="30" customHeight="1">
      <c r="A230" s="7" t="str">
        <v>环境监测管理与技术</v>
      </c>
      <c r="B230" s="7" t="str">
        <v>生态环境与自然资源</v>
      </c>
      <c r="C230" s="21" t="n">
        <v>2.087</v>
      </c>
      <c r="D230" s="21" t="n">
        <v>1.612</v>
      </c>
      <c r="E230" s="13" t="n">
        <v>2024</v>
      </c>
      <c r="F230" s="13" t="n">
        <v>2025</v>
      </c>
      <c r="G230" s="2" t="str">
        <v>国内年报口径；不与JIF混排</v>
      </c>
      <c r="H230" s="2" t="str">
        <v>不按此口径列示</v>
      </c>
      <c r="I230" s="2" t="str">
        <v>已提取2025版原表</v>
      </c>
      <c r="J230" s="10" t="n">
        <v>167</v>
      </c>
      <c r="K230" s="2" t="str">
        <v>2025版年报统计年为2024。</v>
      </c>
      <c r="L230" s="14" t="str">
        <v>年报原页</v>
      </c>
      <c r="M230" s="14" t="str">
        <v>http://hjjcgl.cnjournals.net/ch/index.aspx</v>
      </c>
      <c r="N230" s="7" t="str">
        <v>期刊/出版平台页面检索核对</v>
      </c>
      <c r="O230" s="2" t="str">
        <v>官网来源</v>
      </c>
    </row>
    <row r="231" ht="30" customHeight="1">
      <c r="A231" s="7" t="str">
        <v>环境监控与预警</v>
      </c>
      <c r="B231" s="7" t="str">
        <v>生态环境与自然资源</v>
      </c>
      <c r="C231" s="21" t="n">
        <v>1.274</v>
      </c>
      <c r="D231" s="21" t="n">
        <v>0.952</v>
      </c>
      <c r="E231" s="13" t="n">
        <v>2024</v>
      </c>
      <c r="F231" s="13" t="n">
        <v>2025</v>
      </c>
      <c r="G231" s="2" t="str">
        <v>国内年报口径；不与JIF混排</v>
      </c>
      <c r="H231" s="2" t="str">
        <v>不按此口径列示</v>
      </c>
      <c r="I231" s="2" t="str">
        <v>已提取2025版原表</v>
      </c>
      <c r="J231" s="10" t="n">
        <v>168</v>
      </c>
      <c r="K231" s="2" t="str">
        <v>2025版年报统计年为2024。</v>
      </c>
      <c r="L231" s="14" t="str">
        <v>年报原页</v>
      </c>
      <c r="M231" s="14" t="str">
        <v>http://www.hjjkyyj.com/</v>
      </c>
      <c r="N231" s="7" t="str">
        <v>刊内官网地址；访问待核实</v>
      </c>
      <c r="O231" s="2" t="str">
        <v>官网来源</v>
      </c>
    </row>
    <row r="232" ht="30" customHeight="1">
      <c r="A232" s="7" t="str">
        <v>环境保护</v>
      </c>
      <c r="B232" s="7" t="str">
        <v>生态环境与自然资源</v>
      </c>
      <c r="C232" s="21" t="n">
        <v>3.019</v>
      </c>
      <c r="D232" s="21" t="n">
        <v>1.885</v>
      </c>
      <c r="E232" s="13" t="n">
        <v>2024</v>
      </c>
      <c r="F232" s="13" t="n">
        <v>2025</v>
      </c>
      <c r="G232" s="2" t="str">
        <v>国内年报口径；不与JIF混排</v>
      </c>
      <c r="H232" s="2" t="str">
        <v>不按此口径列示</v>
      </c>
      <c r="I232" s="2" t="str">
        <v>已提取2025版原表</v>
      </c>
      <c r="J232" s="10" t="n">
        <v>166</v>
      </c>
      <c r="K232" s="2" t="str">
        <v>2025版年报统计年为2024。</v>
      </c>
      <c r="L232" s="14" t="str">
        <v>年报原页</v>
      </c>
      <c r="M232" s="14" t="str">
        <v>https://hjbhzz.com/</v>
      </c>
      <c r="N232" s="7" t="str">
        <v>期刊/主办方官方入口匹配</v>
      </c>
      <c r="O232" s="2" t="str">
        <v>官网来源</v>
      </c>
    </row>
    <row r="233" ht="30" customHeight="1">
      <c r="A233" s="7" t="str">
        <v>中国环境监测</v>
      </c>
      <c r="B233" s="7" t="str">
        <v>生态环境与自然资源</v>
      </c>
      <c r="C233" s="21" t="n">
        <v>2.883</v>
      </c>
      <c r="D233" s="21" t="n">
        <v>2.188</v>
      </c>
      <c r="E233" s="13" t="n">
        <v>2024</v>
      </c>
      <c r="F233" s="13" t="n">
        <v>2025</v>
      </c>
      <c r="G233" s="2" t="str">
        <v>国内年报口径；不与JIF混排</v>
      </c>
      <c r="H233" s="2" t="str">
        <v>不按此口径列示</v>
      </c>
      <c r="I233" s="2" t="str">
        <v>已提取2025版原表</v>
      </c>
      <c r="J233" s="10" t="n">
        <v>167</v>
      </c>
      <c r="K233" s="2" t="str">
        <v>2025版年报统计年为2024。</v>
      </c>
      <c r="L233" s="14" t="str">
        <v>年报原页</v>
      </c>
      <c r="M233" s="14" t="str">
        <v>https://www.cnemce.cn/</v>
      </c>
      <c r="N233" s="7" t="str">
        <v>期刊/出版平台页面检索核对</v>
      </c>
      <c r="O233" s="2" t="str">
        <v>官网来源</v>
      </c>
    </row>
    <row r="234" ht="30" customHeight="1">
      <c r="A234" s="7" t="str">
        <v>生态毒理学报</v>
      </c>
      <c r="B234" s="7" t="str">
        <v>生态环境与自然资源</v>
      </c>
      <c r="C234" s="21" t="n">
        <v>2.025</v>
      </c>
      <c r="D234" s="21" t="n">
        <v>1.188</v>
      </c>
      <c r="E234" s="13" t="n">
        <v>2024</v>
      </c>
      <c r="F234" s="13" t="n">
        <v>2025</v>
      </c>
      <c r="G234" s="2" t="str">
        <v>国内年报口径；不与JIF混排</v>
      </c>
      <c r="H234" s="2" t="str">
        <v>不按此口径列示</v>
      </c>
      <c r="I234" s="2" t="str">
        <v>已提取2025版原表</v>
      </c>
      <c r="J234" s="10" t="n">
        <v>167</v>
      </c>
      <c r="K234" s="2" t="str">
        <v>2025版年报统计年为2024。</v>
      </c>
      <c r="L234" s="14" t="str">
        <v>年报原页</v>
      </c>
      <c r="M234" s="14" t="str">
        <v>http://www.stdl.chinajournal.net.cn/WKC/WebPublication/index.aspx?mid=stdl</v>
      </c>
      <c r="N234" s="7" t="str">
        <v>期刊/出版平台页面检索核对</v>
      </c>
      <c r="O234" s="2" t="str">
        <v>官网来源</v>
      </c>
    </row>
    <row r="235" ht="30" customHeight="1">
      <c r="A235" s="7" t="str">
        <v>自然资源学报</v>
      </c>
      <c r="B235" s="7" t="str">
        <v>生态环境与自然资源</v>
      </c>
      <c r="C235" s="21" t="n">
        <v>11.873</v>
      </c>
      <c r="D235" s="21" t="n">
        <v>7.803</v>
      </c>
      <c r="E235" s="13" t="n">
        <v>2024</v>
      </c>
      <c r="F235" s="13" t="n">
        <v>2025</v>
      </c>
      <c r="G235" s="2" t="str">
        <v>国内年报口径；不与JIF混排</v>
      </c>
      <c r="H235" s="2" t="str">
        <v>不按此口径列示</v>
      </c>
      <c r="I235" s="2" t="str">
        <v>已提取2025版原表</v>
      </c>
      <c r="J235" s="10" t="n">
        <v>53</v>
      </c>
      <c r="K235" s="2" t="str">
        <v>2025版年报统计年为2024。</v>
      </c>
      <c r="L235" s="14" t="str">
        <v>年报原页</v>
      </c>
      <c r="M235" s="14" t="str">
        <v>https://www.jnr.ac.cn/CN/home</v>
      </c>
      <c r="N235" s="7" t="str">
        <v>期刊/出版平台页面检索核对</v>
      </c>
      <c r="O235" s="2" t="str">
        <v>官网来源</v>
      </c>
    </row>
    <row r="236" ht="30" customHeight="1">
      <c r="A236" s="7" t="str">
        <v>资源科学</v>
      </c>
      <c r="B236" s="7" t="str">
        <v>生态环境与自然资源</v>
      </c>
      <c r="C236" s="21" t="n">
        <v>8.558</v>
      </c>
      <c r="D236" s="21" t="n">
        <v>5.674</v>
      </c>
      <c r="E236" s="13" t="n">
        <v>2024</v>
      </c>
      <c r="F236" s="13" t="n">
        <v>2025</v>
      </c>
      <c r="G236" s="2" t="str">
        <v>国内年报口径；不与JIF混排</v>
      </c>
      <c r="H236" s="2" t="str">
        <v>不按此口径列示</v>
      </c>
      <c r="I236" s="2" t="str">
        <v>已提取2025版原表</v>
      </c>
      <c r="J236" s="10" t="n">
        <v>53</v>
      </c>
      <c r="K236" s="2" t="str">
        <v>2025版年报统计年为2024。</v>
      </c>
      <c r="L236" s="14" t="str">
        <v>年报原页</v>
      </c>
      <c r="M236" s="14" t="str">
        <v>https://www.resci.cn/CN/home</v>
      </c>
      <c r="N236" s="7" t="str">
        <v>期刊/出版平台页面检索核对</v>
      </c>
      <c r="O236" s="2" t="str">
        <v>官网来源</v>
      </c>
    </row>
    <row r="237" ht="30" customHeight="1">
      <c r="A237" s="7" t="str">
        <v>地理学报</v>
      </c>
      <c r="B237" s="7" t="str">
        <v>生态环境与自然资源</v>
      </c>
      <c r="C237" s="21" t="n">
        <v>10.499</v>
      </c>
      <c r="D237" s="21" t="n">
        <v>7.39</v>
      </c>
      <c r="E237" s="13" t="n">
        <v>2024</v>
      </c>
      <c r="F237" s="13" t="n">
        <v>2025</v>
      </c>
      <c r="G237" s="2" t="str">
        <v>国内年报口径；不与JIF混排</v>
      </c>
      <c r="H237" s="2" t="str">
        <v>不按此口径列示</v>
      </c>
      <c r="I237" s="2" t="str">
        <v>已提取2025版原表</v>
      </c>
      <c r="J237" s="10" t="n">
        <v>53</v>
      </c>
      <c r="K237" s="2" t="str">
        <v>2025版年报统计年为2024。</v>
      </c>
      <c r="L237" s="14" t="str">
        <v>年报原页</v>
      </c>
      <c r="M237" s="14" t="str">
        <v>https://www.geog.com.cn/CN/0375-5444/home.shtml</v>
      </c>
      <c r="N237" s="7" t="str">
        <v>期刊/出版平台页面检索核对</v>
      </c>
      <c r="O237" s="2" t="str">
        <v>官网来源</v>
      </c>
    </row>
    <row r="238" ht="30" customHeight="1">
      <c r="A238" s="7" t="str">
        <v>地理研究</v>
      </c>
      <c r="B238" s="7" t="str">
        <v>生态环境与自然资源</v>
      </c>
      <c r="C238" s="21" t="n">
        <v>9.083</v>
      </c>
      <c r="D238" s="21" t="n">
        <v>5.719</v>
      </c>
      <c r="E238" s="13" t="n">
        <v>2024</v>
      </c>
      <c r="F238" s="13" t="n">
        <v>2025</v>
      </c>
      <c r="G238" s="2" t="str">
        <v>国内年报口径；不与JIF混排</v>
      </c>
      <c r="H238" s="2" t="str">
        <v>不按此口径列示</v>
      </c>
      <c r="I238" s="2" t="str">
        <v>已提取2025版原表</v>
      </c>
      <c r="J238" s="10" t="n">
        <v>53</v>
      </c>
      <c r="K238" s="2" t="str">
        <v>2025版年报统计年为2024。</v>
      </c>
      <c r="L238" s="14" t="str">
        <v>年报原页</v>
      </c>
      <c r="M238" s="14" t="str">
        <v>https://www.dlyj.ac.cn/CN/home</v>
      </c>
      <c r="N238" s="7" t="str">
        <v>期刊/出版平台页面检索核对</v>
      </c>
      <c r="O238" s="2" t="str">
        <v>官网来源</v>
      </c>
    </row>
    <row r="239" ht="30" customHeight="1">
      <c r="A239" s="7" t="str">
        <v>地理科学</v>
      </c>
      <c r="B239" s="7" t="str">
        <v>生态环境与自然资源</v>
      </c>
      <c r="C239" s="21" t="n">
        <v>6.819</v>
      </c>
      <c r="D239" s="21" t="n">
        <v>4.435</v>
      </c>
      <c r="E239" s="13" t="n">
        <v>2024</v>
      </c>
      <c r="F239" s="13" t="n">
        <v>2025</v>
      </c>
      <c r="G239" s="2" t="str">
        <v>国内年报口径；不与JIF混排</v>
      </c>
      <c r="H239" s="2" t="str">
        <v>不按此口径列示</v>
      </c>
      <c r="I239" s="2" t="str">
        <v>已提取2025版原表</v>
      </c>
      <c r="J239" s="10" t="n">
        <v>53</v>
      </c>
      <c r="K239" s="2" t="str">
        <v>2025版年报统计年为2024。</v>
      </c>
      <c r="L239" s="14" t="str">
        <v>年报原页</v>
      </c>
      <c r="M239" s="14" t="str">
        <v>http://geoscien.neigae.ac.cn/CN/home</v>
      </c>
      <c r="N239" s="7" t="str">
        <v>期刊/出版平台页面检索核对</v>
      </c>
      <c r="O239" s="2" t="str">
        <v>官网来源</v>
      </c>
    </row>
    <row r="240" ht="30" customHeight="1">
      <c r="A240" s="7" t="str">
        <v>地理科学进展</v>
      </c>
      <c r="B240" s="7" t="str">
        <v>生态环境与自然资源</v>
      </c>
      <c r="C240" s="21" t="n">
        <v>7.284</v>
      </c>
      <c r="D240" s="21" t="n">
        <v>4.903</v>
      </c>
      <c r="E240" s="13" t="n">
        <v>2024</v>
      </c>
      <c r="F240" s="13" t="n">
        <v>2025</v>
      </c>
      <c r="G240" s="2" t="str">
        <v>国内年报口径；不与JIF混排</v>
      </c>
      <c r="H240" s="2" t="str">
        <v>不按此口径列示</v>
      </c>
      <c r="I240" s="2" t="str">
        <v>已提取2025版原表</v>
      </c>
      <c r="J240" s="10" t="n">
        <v>53</v>
      </c>
      <c r="K240" s="2" t="str">
        <v>2025版年报统计年为2024。</v>
      </c>
      <c r="L240" s="14" t="str">
        <v>年报原页</v>
      </c>
      <c r="M240" s="14" t="str">
        <v>https://www.progressingeography.com/</v>
      </c>
      <c r="N240" s="7" t="str">
        <v>期刊/主办方官方入口匹配</v>
      </c>
      <c r="O240" s="2" t="str">
        <v>官网来源</v>
      </c>
    </row>
    <row r="241" ht="30" customHeight="1">
      <c r="A241" s="7" t="str">
        <v>地球科学进展</v>
      </c>
      <c r="B241" s="7" t="str">
        <v>生态环境与自然资源</v>
      </c>
      <c r="C241" s="21" t="n">
        <v>3.435</v>
      </c>
      <c r="D241" s="21" t="n">
        <v>2.185</v>
      </c>
      <c r="E241" s="13" t="n">
        <v>2024</v>
      </c>
      <c r="F241" s="13" t="n">
        <v>2025</v>
      </c>
      <c r="G241" s="2" t="str">
        <v>国内年报口径；不与JIF混排</v>
      </c>
      <c r="H241" s="2" t="str">
        <v>不按此口径列示</v>
      </c>
      <c r="I241" s="2" t="str">
        <v>已提取2025版原表</v>
      </c>
      <c r="J241" s="10" t="n">
        <v>47</v>
      </c>
      <c r="K241" s="2" t="str">
        <v>2025版年报统计年为2024。</v>
      </c>
      <c r="L241" s="14" t="str">
        <v>年报原页</v>
      </c>
      <c r="M241" s="14" t="str">
        <v>http://www.adearth.ac.cn/CN/1001-8166/home.shtml</v>
      </c>
      <c r="N241" s="7" t="str">
        <v>期刊/出版平台页面检索核对</v>
      </c>
      <c r="O241" s="2" t="str">
        <v>官网来源</v>
      </c>
    </row>
    <row r="242" ht="30" customHeight="1">
      <c r="A242" s="7" t="str">
        <v>第四纪研究</v>
      </c>
      <c r="B242" s="7" t="str">
        <v>生态环境与自然资源</v>
      </c>
      <c r="C242" s="21" t="n">
        <v>2.96</v>
      </c>
      <c r="D242" s="21" t="n">
        <v>2.307</v>
      </c>
      <c r="E242" s="13" t="n">
        <v>2024</v>
      </c>
      <c r="F242" s="13" t="n">
        <v>2025</v>
      </c>
      <c r="G242" s="2" t="str">
        <v>国内年报口径；不与JIF混排</v>
      </c>
      <c r="H242" s="2" t="str">
        <v>不按此口径列示</v>
      </c>
      <c r="I242" s="2" t="str">
        <v>已提取2025版原表</v>
      </c>
      <c r="J242" s="10" t="n">
        <v>50</v>
      </c>
      <c r="K242" s="2" t="str">
        <v>2025版年报统计年为2024。</v>
      </c>
      <c r="L242" s="14" t="str">
        <v>年报原页</v>
      </c>
      <c r="M242" s="14" t="str">
        <v>http://www.dsjyj.com.cn/</v>
      </c>
      <c r="N242" s="7" t="str">
        <v>期刊/出版平台页面检索核对</v>
      </c>
      <c r="O242" s="2" t="str">
        <v>官网来源</v>
      </c>
    </row>
    <row r="243" ht="30" customHeight="1">
      <c r="A243" s="7" t="str">
        <v>地球与环境</v>
      </c>
      <c r="B243" s="7" t="str">
        <v>生态环境与自然资源</v>
      </c>
      <c r="C243" s="21" t="n">
        <v>2.83</v>
      </c>
      <c r="D243" s="21" t="n">
        <v>1.692</v>
      </c>
      <c r="E243" s="13" t="n">
        <v>2024</v>
      </c>
      <c r="F243" s="13" t="n">
        <v>2025</v>
      </c>
      <c r="G243" s="2" t="str">
        <v>国内年报口径；不与JIF混排</v>
      </c>
      <c r="H243" s="2" t="str">
        <v>不按此口径列示</v>
      </c>
      <c r="I243" s="2" t="str">
        <v>已提取2025版原表</v>
      </c>
      <c r="J243" s="10" t="n">
        <v>50</v>
      </c>
      <c r="K243" s="2" t="str">
        <v>2025版年报统计年为2024。</v>
      </c>
      <c r="L243" s="14" t="str">
        <v>年报原页</v>
      </c>
      <c r="M243" s="14" t="str">
        <v>https://dzdq.cbpt.cnki.net/wki/WebPublication/index.aspx?mid=dzdq</v>
      </c>
      <c r="N243" s="7" t="str">
        <v>期刊/出版平台页面检索核对</v>
      </c>
      <c r="O243" s="2" t="str">
        <v>官网来源</v>
      </c>
    </row>
    <row r="244" ht="30" customHeight="1">
      <c r="A244" s="7" t="str">
        <v>中国沙漠</v>
      </c>
      <c r="B244" s="7" t="str">
        <v>生态环境与自然资源</v>
      </c>
      <c r="C244" s="21" t="n">
        <v>3.702</v>
      </c>
      <c r="D244" s="21" t="n">
        <v>2.422</v>
      </c>
      <c r="E244" s="13" t="n">
        <v>2024</v>
      </c>
      <c r="F244" s="13" t="n">
        <v>2025</v>
      </c>
      <c r="G244" s="2" t="str">
        <v>国内年报口径；不与JIF混排</v>
      </c>
      <c r="H244" s="2" t="str">
        <v>不按此口径列示</v>
      </c>
      <c r="I244" s="2" t="str">
        <v>已提取2025版原表</v>
      </c>
      <c r="J244" s="10" t="n">
        <v>53</v>
      </c>
      <c r="K244" s="2" t="str">
        <v>2025版年报统计年为2024。</v>
      </c>
      <c r="L244" s="14" t="str">
        <v>年报原页</v>
      </c>
      <c r="M244" s="14" t="str">
        <v>http://www.desert.ac.cn/CN/1000-694X/home.shtml</v>
      </c>
      <c r="N244" s="7" t="str">
        <v>期刊/出版平台页面检索核对</v>
      </c>
      <c r="O244" s="2" t="str">
        <v>官网来源</v>
      </c>
    </row>
    <row r="245" ht="30" customHeight="1">
      <c r="A245" s="7" t="str">
        <v>干旱区研究</v>
      </c>
      <c r="B245" s="7" t="str">
        <v>生态环境与自然资源</v>
      </c>
      <c r="C245" s="21" t="n">
        <v>4.405</v>
      </c>
      <c r="D245" s="21" t="n">
        <v>2.897</v>
      </c>
      <c r="E245" s="13" t="n">
        <v>2024</v>
      </c>
      <c r="F245" s="13" t="n">
        <v>2025</v>
      </c>
      <c r="G245" s="2" t="str">
        <v>国内年报口径；不与JIF混排</v>
      </c>
      <c r="H245" s="2" t="str">
        <v>不按此口径列示</v>
      </c>
      <c r="I245" s="2" t="str">
        <v>已提取2025版原表</v>
      </c>
      <c r="J245" s="10" t="n">
        <v>48</v>
      </c>
      <c r="K245" s="2" t="str">
        <v>2025版年报统计年为2024。</v>
      </c>
      <c r="L245" s="14" t="str">
        <v>年报原页</v>
      </c>
      <c r="M245" s="14" t="str">
        <v>http://azr.xjegi.com/CN/1001-4675/home.shtml</v>
      </c>
      <c r="N245" s="7" t="str">
        <v>期刊/主办方官方入口匹配</v>
      </c>
      <c r="O245" s="2" t="str">
        <v>官网来源</v>
      </c>
    </row>
    <row r="246" ht="30" customHeight="1">
      <c r="A246" s="7" t="str">
        <v>干旱区地理</v>
      </c>
      <c r="B246" s="7" t="str">
        <v>生态环境与自然资源</v>
      </c>
      <c r="C246" s="21" t="n">
        <v>5.051</v>
      </c>
      <c r="D246" s="21" t="n">
        <v>3.253</v>
      </c>
      <c r="E246" s="13" t="n">
        <v>2024</v>
      </c>
      <c r="F246" s="13" t="n">
        <v>2025</v>
      </c>
      <c r="G246" s="2" t="str">
        <v>国内年报口径；不与JIF混排</v>
      </c>
      <c r="H246" s="2" t="str">
        <v>不按此口径列示</v>
      </c>
      <c r="I246" s="2" t="str">
        <v>已提取2025版原表</v>
      </c>
      <c r="J246" s="10" t="n">
        <v>53</v>
      </c>
      <c r="K246" s="2" t="str">
        <v>2025版年报统计年为2024。</v>
      </c>
      <c r="L246" s="14" t="str">
        <v>年报原页</v>
      </c>
      <c r="M246" s="14" t="str">
        <v>http://alg.xjegi.com/CN/1000-6060/home.shtml</v>
      </c>
      <c r="N246" s="7" t="str">
        <v>期刊/主办方官方入口匹配</v>
      </c>
      <c r="O246" s="2" t="str">
        <v>官网来源</v>
      </c>
    </row>
    <row r="247" ht="30" customHeight="1">
      <c r="A247" s="7" t="str">
        <v>山地学报</v>
      </c>
      <c r="B247" s="7" t="str">
        <v>生态环境与自然资源</v>
      </c>
      <c r="C247" s="21" t="n">
        <v>2.61</v>
      </c>
      <c r="D247" s="21" t="n">
        <v>1.678</v>
      </c>
      <c r="E247" s="13" t="n">
        <v>2024</v>
      </c>
      <c r="F247" s="13" t="n">
        <v>2025</v>
      </c>
      <c r="G247" s="2" t="str">
        <v>国内年报口径；不与JIF混排</v>
      </c>
      <c r="H247" s="2" t="str">
        <v>不按此口径列示</v>
      </c>
      <c r="I247" s="2" t="str">
        <v>已提取2025版原表</v>
      </c>
      <c r="J247" s="10" t="n">
        <v>53</v>
      </c>
      <c r="K247" s="2" t="str">
        <v>2025版年报统计年为2024。</v>
      </c>
      <c r="L247" s="14" t="str">
        <v>年报原页</v>
      </c>
      <c r="M247" s="14" t="str">
        <v>https://www.geores.com.cn/sdxb/CN/home</v>
      </c>
      <c r="N247" s="7" t="str">
        <v>期刊/主办方官方入口匹配</v>
      </c>
      <c r="O247" s="2" t="str">
        <v>官网来源</v>
      </c>
    </row>
    <row r="248" ht="30" customHeight="1">
      <c r="A248" s="7" t="str">
        <v>湿地科学</v>
      </c>
      <c r="B248" s="7" t="str">
        <v>生态环境与自然资源</v>
      </c>
      <c r="C248" s="21" t="n">
        <v>2.515</v>
      </c>
      <c r="D248" s="21" t="n">
        <v>1.559</v>
      </c>
      <c r="E248" s="13" t="n">
        <v>2024</v>
      </c>
      <c r="F248" s="13" t="n">
        <v>2025</v>
      </c>
      <c r="G248" s="2" t="str">
        <v>国内年报口径；不与JIF混排</v>
      </c>
      <c r="H248" s="2" t="str">
        <v>不按此口径列示</v>
      </c>
      <c r="I248" s="2" t="str">
        <v>已提取2025版原表</v>
      </c>
      <c r="J248" s="10" t="n">
        <v>167</v>
      </c>
      <c r="K248" s="2" t="str">
        <v>2025版年报统计年为2024。</v>
      </c>
      <c r="L248" s="14" t="str">
        <v>年报原页</v>
      </c>
      <c r="M248" s="14" t="str">
        <v>https://www.geores.com.cn/sdkx/CN/home</v>
      </c>
      <c r="N248" s="7" t="str">
        <v>期刊/出版平台页面检索核对</v>
      </c>
      <c r="O248" s="2" t="str">
        <v>官网来源</v>
      </c>
    </row>
    <row r="249" ht="30" customHeight="1">
      <c r="A249" s="7" t="str">
        <v>长江流域资源与环境</v>
      </c>
      <c r="B249" s="7" t="str">
        <v>生态环境与自然资源</v>
      </c>
      <c r="C249" s="21" t="n">
        <v>6.307</v>
      </c>
      <c r="D249" s="21" t="n">
        <v>3.911</v>
      </c>
      <c r="E249" s="13" t="n">
        <v>2024</v>
      </c>
      <c r="F249" s="13" t="n">
        <v>2025</v>
      </c>
      <c r="G249" s="2" t="str">
        <v>国内年报口径；不与JIF混排</v>
      </c>
      <c r="H249" s="2" t="str">
        <v>不按此口径列示</v>
      </c>
      <c r="I249" s="2" t="str">
        <v>已提取2025版原表</v>
      </c>
      <c r="J249" s="10" t="n">
        <v>166</v>
      </c>
      <c r="K249" s="2" t="str">
        <v>2025版年报统计年为2024。</v>
      </c>
      <c r="L249" s="14" t="str">
        <v>年报原页</v>
      </c>
      <c r="M249" s="14" t="str">
        <v>https://yangtzebasin.whlib.ac.cn/CN/1004-8227/home.shtml</v>
      </c>
      <c r="N249" s="7" t="str">
        <v>期刊/出版平台页面检索核对</v>
      </c>
      <c r="O249" s="2" t="str">
        <v>官网来源</v>
      </c>
    </row>
    <row r="250" ht="30" customHeight="1">
      <c r="A250" s="7" t="str">
        <v>中国人口·资源与环境</v>
      </c>
      <c r="B250" s="7" t="str">
        <v>生态环境与自然资源</v>
      </c>
      <c r="C250" s="21" t="n">
        <v>11.481</v>
      </c>
      <c r="D250" s="21" t="n">
        <v>7.692</v>
      </c>
      <c r="E250" s="13" t="n">
        <v>2024</v>
      </c>
      <c r="F250" s="13" t="n">
        <v>2025</v>
      </c>
      <c r="G250" s="2" t="str">
        <v>国内年报口径；不与JIF混排</v>
      </c>
      <c r="H250" s="2" t="str">
        <v>不按此口径列示</v>
      </c>
      <c r="I250" s="2" t="str">
        <v>已提取2025版原表</v>
      </c>
      <c r="J250" s="10" t="n">
        <v>166</v>
      </c>
      <c r="K250" s="2" t="str">
        <v>2025版年报统计年为2024。</v>
      </c>
      <c r="L250" s="14" t="str">
        <v>年报原页</v>
      </c>
      <c r="M250" s="14" t="str">
        <v>https://zgrz.cbpt.cnki.net/portal</v>
      </c>
      <c r="N250" s="7" t="str">
        <v>期刊/出版平台页面检索核对</v>
      </c>
      <c r="O250" s="2" t="str">
        <v>官网来源</v>
      </c>
    </row>
    <row r="251" ht="30" customHeight="1">
      <c r="A251" s="7" t="str">
        <v>遥感学报</v>
      </c>
      <c r="B251" s="7" t="str">
        <v>生态环境与自然资源</v>
      </c>
      <c r="C251" s="21" t="n">
        <v>4.79</v>
      </c>
      <c r="D251" s="21" t="n">
        <v>3.044</v>
      </c>
      <c r="E251" s="13" t="n">
        <v>2024</v>
      </c>
      <c r="F251" s="13" t="n">
        <v>2025</v>
      </c>
      <c r="G251" s="2" t="str">
        <v>国内年报口径；不与JIF混排</v>
      </c>
      <c r="H251" s="2" t="str">
        <v>不按此口径列示</v>
      </c>
      <c r="I251" s="2" t="str">
        <v>已提取2025版原表</v>
      </c>
      <c r="J251" s="10" t="n">
        <v>46</v>
      </c>
      <c r="K251" s="2" t="str">
        <v>2025版年报统计年为2024。</v>
      </c>
      <c r="L251" s="14" t="str">
        <v>年报原页</v>
      </c>
      <c r="M251" s="14" t="str">
        <v>https://ygxb.ac.cn/homeNav/hgs/zh/</v>
      </c>
      <c r="N251" s="7" t="str">
        <v>期刊/出版平台页面检索核对</v>
      </c>
      <c r="O251" s="2" t="str">
        <v>官网来源</v>
      </c>
    </row>
    <row r="252" ht="30" customHeight="1">
      <c r="A252" s="7" t="str">
        <v>遥感技术与应用</v>
      </c>
      <c r="B252" s="7" t="str">
        <v>生态环境与自然资源</v>
      </c>
      <c r="C252" s="21" t="n">
        <v>2.403</v>
      </c>
      <c r="D252" s="21" t="n">
        <v>1.53</v>
      </c>
      <c r="E252" s="13" t="n">
        <v>2024</v>
      </c>
      <c r="F252" s="13" t="n">
        <v>2025</v>
      </c>
      <c r="G252" s="2" t="str">
        <v>国内年报口径；不与JIF混排</v>
      </c>
      <c r="H252" s="2" t="str">
        <v>不按此口径列示</v>
      </c>
      <c r="I252" s="2" t="str">
        <v>已提取2025版原表</v>
      </c>
      <c r="J252" s="10" t="n">
        <v>138</v>
      </c>
      <c r="K252" s="2" t="str">
        <v>2025版年报统计年为2024。</v>
      </c>
      <c r="L252" s="14" t="str">
        <v>年报原页</v>
      </c>
      <c r="M252" s="14" t="str">
        <v>http://www.rsta.ac.cn/CN/home</v>
      </c>
      <c r="N252" s="7" t="str">
        <v>期刊/出版平台页面检索核对</v>
      </c>
      <c r="O252" s="2" t="str">
        <v>官网来源</v>
      </c>
    </row>
    <row r="253" ht="30" customHeight="1">
      <c r="A253" s="7" t="str">
        <v>自然保护地</v>
      </c>
      <c r="B253" s="7" t="str">
        <v>生态环境与自然资源</v>
      </c>
      <c r="C253" s="21" t="n">
        <v>1.787</v>
      </c>
      <c r="D253" s="21" t="n">
        <v>1.543</v>
      </c>
      <c r="E253" s="13" t="n">
        <v>2024</v>
      </c>
      <c r="F253" s="13" t="n">
        <v>2025</v>
      </c>
      <c r="G253" s="2" t="str">
        <v>国内年报口径；不与JIF混排</v>
      </c>
      <c r="H253" s="2" t="str">
        <v>不按此口径列示</v>
      </c>
      <c r="I253" s="2" t="str">
        <v>已提取2025版原表</v>
      </c>
      <c r="J253" s="10" t="n">
        <v>94</v>
      </c>
      <c r="K253" s="2" t="str">
        <v>2025版年报统计年为2024。</v>
      </c>
      <c r="L253" s="14" t="str">
        <v>年报原页</v>
      </c>
      <c r="M253" s="14" t="str">
        <v>https://npa.net.cn/</v>
      </c>
      <c r="N253" s="7" t="str">
        <v>期刊/出版平台页面检索核对</v>
      </c>
      <c r="O253" s="2" t="str">
        <v>官网来源</v>
      </c>
    </row>
    <row r="254" ht="30" customHeight="1">
      <c r="A254" s="7" t="str">
        <v>食品科学</v>
      </c>
      <c r="B254" s="7" t="str">
        <v>食品科学营养与安全</v>
      </c>
      <c r="C254" s="21" t="n">
        <v>4.108</v>
      </c>
      <c r="D254" s="21" t="n">
        <v>2.589</v>
      </c>
      <c r="E254" s="13" t="n">
        <v>2024</v>
      </c>
      <c r="F254" s="13" t="n">
        <v>2025</v>
      </c>
      <c r="G254" s="2" t="str">
        <v>国内年报口径；不与JIF混排</v>
      </c>
      <c r="H254" s="2" t="str">
        <v>不按此口径列示</v>
      </c>
      <c r="I254" s="2" t="str">
        <v>已提取2025版原表</v>
      </c>
      <c r="J254" s="10" t="n">
        <v>149</v>
      </c>
      <c r="K254" s="2" t="str">
        <v>2025版年报统计年为2024。</v>
      </c>
      <c r="L254" s="14" t="str">
        <v>年报原页</v>
      </c>
      <c r="M254" s="14" t="str">
        <v>https://www.spkx.net.cn/CN/1002-6630/home.shtml</v>
      </c>
      <c r="N254" s="7" t="str">
        <v>期刊/出版平台页面检索核对</v>
      </c>
      <c r="O254" s="2" t="str">
        <v>官网来源</v>
      </c>
    </row>
    <row r="255" ht="30" customHeight="1">
      <c r="A255" s="7" t="str">
        <v>食品工业科技</v>
      </c>
      <c r="B255" s="7" t="str">
        <v>食品科学营养与安全</v>
      </c>
      <c r="C255" s="21" t="n">
        <v>3.209</v>
      </c>
      <c r="D255" s="21" t="n">
        <v>2.03</v>
      </c>
      <c r="E255" s="13" t="n">
        <v>2024</v>
      </c>
      <c r="F255" s="13" t="n">
        <v>2025</v>
      </c>
      <c r="G255" s="2" t="str">
        <v>国内年报口径；不与JIF混排</v>
      </c>
      <c r="H255" s="2" t="str">
        <v>不按此口径列示</v>
      </c>
      <c r="I255" s="2" t="str">
        <v>已提取2025版原表</v>
      </c>
      <c r="J255" s="10" t="n">
        <v>149</v>
      </c>
      <c r="K255" s="2" t="str">
        <v>2025版年报统计年为2024。</v>
      </c>
      <c r="L255" s="14" t="str">
        <v>年报原页</v>
      </c>
      <c r="M255" s="14" t="str">
        <v>https://www.spgykj.com/</v>
      </c>
      <c r="N255" s="7" t="str">
        <v>期刊/出版平台页面检索核对</v>
      </c>
      <c r="O255" s="2" t="str">
        <v>官网来源</v>
      </c>
    </row>
    <row r="256" ht="30" customHeight="1">
      <c r="A256" s="7" t="str">
        <v>中国食品学报</v>
      </c>
      <c r="B256" s="7" t="str">
        <v>食品科学营养与安全</v>
      </c>
      <c r="C256" s="21" t="n">
        <v>2.626</v>
      </c>
      <c r="D256" s="21" t="n">
        <v>1.758</v>
      </c>
      <c r="E256" s="13" t="n">
        <v>2024</v>
      </c>
      <c r="F256" s="13" t="n">
        <v>2025</v>
      </c>
      <c r="G256" s="2" t="str">
        <v>国内年报口径；不与JIF混排</v>
      </c>
      <c r="H256" s="2" t="str">
        <v>不按此口径列示</v>
      </c>
      <c r="I256" s="2" t="str">
        <v>已提取2025版原表</v>
      </c>
      <c r="J256" s="10" t="n">
        <v>149</v>
      </c>
      <c r="K256" s="2" t="str">
        <v>2025版年报统计年为2024。</v>
      </c>
      <c r="L256" s="14" t="str">
        <v>年报原页</v>
      </c>
      <c r="M256" s="14" t="str">
        <v>https://castjournals.cast.org.cn/joweb/zgspxb/CN/home</v>
      </c>
      <c r="N256" s="7" t="str">
        <v>期刊/出版平台页面检索核对</v>
      </c>
      <c r="O256" s="2" t="str">
        <v>官网来源</v>
      </c>
    </row>
    <row r="257" ht="30" customHeight="1">
      <c r="A257" s="7" t="str">
        <v>食品与发酵工业</v>
      </c>
      <c r="B257" s="7" t="str">
        <v>食品科学营养与安全</v>
      </c>
      <c r="C257" s="21" t="n">
        <v>2.885</v>
      </c>
      <c r="D257" s="21" t="n">
        <v>1.763</v>
      </c>
      <c r="E257" s="13" t="n">
        <v>2024</v>
      </c>
      <c r="F257" s="13" t="n">
        <v>2025</v>
      </c>
      <c r="G257" s="2" t="str">
        <v>国内年报口径；不与JIF混排</v>
      </c>
      <c r="H257" s="2" t="str">
        <v>不按此口径列示</v>
      </c>
      <c r="I257" s="2" t="str">
        <v>已提取2025版原表</v>
      </c>
      <c r="J257" s="10" t="n">
        <v>149</v>
      </c>
      <c r="K257" s="2" t="str">
        <v>2025版年报统计年为2024。</v>
      </c>
      <c r="L257" s="14" t="str">
        <v>年报原页</v>
      </c>
      <c r="M257" s="14" t="str">
        <v>http://sf1970.cnif.cn/</v>
      </c>
      <c r="N257" s="7" t="str">
        <v>期刊/主办方官方入口匹配</v>
      </c>
      <c r="O257" s="2" t="str">
        <v>官网来源</v>
      </c>
    </row>
    <row r="258" ht="30" customHeight="1">
      <c r="A258" s="7" t="str">
        <v>食品与机械</v>
      </c>
      <c r="B258" s="7" t="str">
        <v>食品科学营养与安全</v>
      </c>
      <c r="C258" s="21" t="n">
        <v>2.228</v>
      </c>
      <c r="D258" s="21" t="n">
        <v>1.602</v>
      </c>
      <c r="E258" s="13" t="n">
        <v>2024</v>
      </c>
      <c r="F258" s="13" t="n">
        <v>2025</v>
      </c>
      <c r="G258" s="2" t="str">
        <v>国内年报口径；不与JIF混排</v>
      </c>
      <c r="H258" s="2" t="str">
        <v>不按此口径列示</v>
      </c>
      <c r="I258" s="2" t="str">
        <v>已提取2025版原表</v>
      </c>
      <c r="J258" s="10" t="n">
        <v>149</v>
      </c>
      <c r="K258" s="2" t="str">
        <v>2025版年报统计年为2024。</v>
      </c>
      <c r="L258" s="14" t="str">
        <v>年报原页</v>
      </c>
      <c r="M258" s="14" t="str">
        <v>http://www.ifoodmm.com/</v>
      </c>
      <c r="N258" s="7" t="str">
        <v>期刊/主办方官方入口匹配</v>
      </c>
      <c r="O258" s="2" t="str">
        <v>官网来源</v>
      </c>
    </row>
    <row r="259" ht="30" customHeight="1">
      <c r="A259" s="7" t="str">
        <v>食品研究与开发</v>
      </c>
      <c r="B259" s="7" t="str">
        <v>食品科学营养与安全</v>
      </c>
      <c r="C259" s="21" t="n">
        <v>2.453</v>
      </c>
      <c r="D259" s="21" t="n">
        <v>1.677</v>
      </c>
      <c r="E259" s="13" t="n">
        <v>2024</v>
      </c>
      <c r="F259" s="13" t="n">
        <v>2025</v>
      </c>
      <c r="G259" s="2" t="str">
        <v>国内年报口径；不与JIF混排</v>
      </c>
      <c r="H259" s="2" t="str">
        <v>不按此口径列示</v>
      </c>
      <c r="I259" s="2" t="str">
        <v>已提取2025版原表</v>
      </c>
      <c r="J259" s="10" t="n">
        <v>149</v>
      </c>
      <c r="K259" s="2" t="str">
        <v>2025版年报统计年为2024。</v>
      </c>
      <c r="L259" s="14" t="str">
        <v>年报原页</v>
      </c>
      <c r="M259" s="14" t="str">
        <v>http://spyjykf.ijournals.cn/ch/index.aspx</v>
      </c>
      <c r="N259" s="7" t="str">
        <v>期刊/出版平台页面检索核对</v>
      </c>
      <c r="O259" s="2" t="str">
        <v>官网来源</v>
      </c>
    </row>
    <row r="260" ht="30" customHeight="1">
      <c r="A260" s="7" t="str">
        <v>食品科技</v>
      </c>
      <c r="B260" s="7" t="str">
        <v>食品科学营养与安全</v>
      </c>
      <c r="C260" s="21" t="n">
        <v>2.01</v>
      </c>
      <c r="D260" s="21" t="n">
        <v>1.382</v>
      </c>
      <c r="E260" s="13" t="n">
        <v>2024</v>
      </c>
      <c r="F260" s="13" t="n">
        <v>2025</v>
      </c>
      <c r="G260" s="2" t="str">
        <v>国内年报口径；不与JIF混排</v>
      </c>
      <c r="H260" s="2" t="str">
        <v>不按此口径列示</v>
      </c>
      <c r="I260" s="2" t="str">
        <v>已提取2025版原表</v>
      </c>
      <c r="J260" s="10" t="n">
        <v>149</v>
      </c>
      <c r="K260" s="2" t="str">
        <v>2025版年报统计年为2024。</v>
      </c>
      <c r="L260" s="14" t="str">
        <v>年报原页</v>
      </c>
      <c r="M260" s="14" t="str">
        <v>https://sspj.cbpt.cnki.net/WKE3/WebPublication/index.aspx?mid=sspj</v>
      </c>
      <c r="N260" s="7" t="str">
        <v>期刊/出版平台页面检索核对</v>
      </c>
      <c r="O260" s="2" t="str">
        <v>官网来源</v>
      </c>
    </row>
    <row r="261" ht="30" customHeight="1">
      <c r="A261" s="7" t="str">
        <v>现代食品科技</v>
      </c>
      <c r="B261" s="7" t="str">
        <v>食品科学营养与安全</v>
      </c>
      <c r="C261" s="21" t="n">
        <v>2.54</v>
      </c>
      <c r="D261" s="21" t="n">
        <v>1.678</v>
      </c>
      <c r="E261" s="13" t="n">
        <v>2024</v>
      </c>
      <c r="F261" s="13" t="n">
        <v>2025</v>
      </c>
      <c r="G261" s="2" t="str">
        <v>国内年报口径；不与JIF混排</v>
      </c>
      <c r="H261" s="2" t="str">
        <v>不按此口径列示</v>
      </c>
      <c r="I261" s="2" t="str">
        <v>已提取2025版原表</v>
      </c>
      <c r="J261" s="10" t="n">
        <v>149</v>
      </c>
      <c r="K261" s="2" t="str">
        <v>2025版年报统计年为2024。</v>
      </c>
      <c r="L261" s="14" t="str">
        <v>年报原页</v>
      </c>
      <c r="M261" s="14" t="str">
        <v>https://xdspkj.alljournals.cn/xdspkj/home</v>
      </c>
      <c r="N261" s="7" t="str">
        <v>期刊/出版平台页面检索核对</v>
      </c>
      <c r="O261" s="2" t="str">
        <v>官网来源</v>
      </c>
    </row>
    <row r="262" ht="30" customHeight="1">
      <c r="A262" s="7" t="str">
        <v>食品与生物技术学报</v>
      </c>
      <c r="B262" s="7" t="str">
        <v>食品科学营养与安全</v>
      </c>
      <c r="C262" s="21" t="n">
        <v>2.633</v>
      </c>
      <c r="D262" s="21" t="n">
        <v>1.673</v>
      </c>
      <c r="E262" s="13" t="n">
        <v>2024</v>
      </c>
      <c r="F262" s="13" t="n">
        <v>2025</v>
      </c>
      <c r="G262" s="2" t="str">
        <v>国内年报口径；不与JIF混排</v>
      </c>
      <c r="H262" s="2" t="str">
        <v>不按此口径列示</v>
      </c>
      <c r="I262" s="2" t="str">
        <v>已提取2025版原表</v>
      </c>
      <c r="J262" s="10" t="n">
        <v>149</v>
      </c>
      <c r="K262" s="2" t="str">
        <v>2025版年报统计年为2024。</v>
      </c>
      <c r="L262" s="14" t="str">
        <v>年报原页</v>
      </c>
      <c r="M262" s="14" t="str">
        <v>http://spyswjs.cnjournals.com/ch/index.aspx</v>
      </c>
      <c r="N262" s="7" t="str">
        <v>期刊/出版平台页面检索核对</v>
      </c>
      <c r="O262" s="2" t="str">
        <v>官网来源</v>
      </c>
    </row>
    <row r="263" ht="30" customHeight="1">
      <c r="A263" s="7" t="str">
        <v>中国粮油学报</v>
      </c>
      <c r="B263" s="7" t="str">
        <v>食品科学营养与安全</v>
      </c>
      <c r="C263" s="21" t="n">
        <v>2.683</v>
      </c>
      <c r="D263" s="21" t="n">
        <v>1.587</v>
      </c>
      <c r="E263" s="13" t="n">
        <v>2024</v>
      </c>
      <c r="F263" s="13" t="n">
        <v>2025</v>
      </c>
      <c r="G263" s="2" t="str">
        <v>国内年报口径；不与JIF混排</v>
      </c>
      <c r="H263" s="2" t="str">
        <v>不按此口径列示</v>
      </c>
      <c r="I263" s="2" t="str">
        <v>已提取2025版原表</v>
      </c>
      <c r="J263" s="10" t="n">
        <v>149</v>
      </c>
      <c r="K263" s="2" t="str">
        <v>2025版年报统计年为2024。</v>
      </c>
      <c r="L263" s="14" t="str">
        <v>年报原页</v>
      </c>
      <c r="M263" s="14" t="str">
        <v>http://www.lyxuebao.net/</v>
      </c>
      <c r="N263" s="7" t="str">
        <v>期刊/主办方官方入口匹配</v>
      </c>
      <c r="O263" s="2" t="str">
        <v>官网来源</v>
      </c>
    </row>
    <row r="264" ht="30" customHeight="1">
      <c r="A264" s="7" t="str">
        <v>中国油脂</v>
      </c>
      <c r="B264" s="7" t="str">
        <v>食品科学营养与安全</v>
      </c>
      <c r="C264" s="21" t="n">
        <v>2.672</v>
      </c>
      <c r="D264" s="21" t="n">
        <v>1.596</v>
      </c>
      <c r="E264" s="13" t="n">
        <v>2024</v>
      </c>
      <c r="F264" s="13" t="n">
        <v>2025</v>
      </c>
      <c r="G264" s="2" t="str">
        <v>国内年报口径；不与JIF混排</v>
      </c>
      <c r="H264" s="2" t="str">
        <v>不按此口径列示</v>
      </c>
      <c r="I264" s="2" t="str">
        <v>已提取2025版原表</v>
      </c>
      <c r="J264" s="10" t="n">
        <v>149</v>
      </c>
      <c r="K264" s="2" t="str">
        <v>2025版年报统计年为2024。</v>
      </c>
      <c r="L264" s="14" t="str">
        <v>年报原页</v>
      </c>
      <c r="M264" s="14" t="str">
        <v>https://www.chinaoils.cn/</v>
      </c>
      <c r="N264" s="7" t="str">
        <v>期刊/出版平台页面检索核对</v>
      </c>
      <c r="O264" s="2" t="str">
        <v>官网来源</v>
      </c>
    </row>
    <row r="265" ht="30" customHeight="1">
      <c r="A265" s="7" t="str">
        <v>中国食品卫生杂志</v>
      </c>
      <c r="B265" s="7" t="str">
        <v>食品科学营养与安全</v>
      </c>
      <c r="C265" s="21" t="n">
        <v>1.988</v>
      </c>
      <c r="D265" s="21" t="n">
        <v>1.635</v>
      </c>
      <c r="E265" s="13" t="n">
        <v>2024</v>
      </c>
      <c r="F265" s="13" t="n">
        <v>2025</v>
      </c>
      <c r="G265" s="2" t="str">
        <v>国内年报口径；不与JIF混排</v>
      </c>
      <c r="H265" s="2" t="str">
        <v>不按此口径列示</v>
      </c>
      <c r="I265" s="2" t="str">
        <v>已提取2025版原表</v>
      </c>
      <c r="J265" s="10" t="n">
        <v>65</v>
      </c>
      <c r="K265" s="2" t="str">
        <v>2025版年报统计年为2024。</v>
      </c>
      <c r="L265" s="14" t="str">
        <v>年报原页</v>
      </c>
      <c r="M265" s="14" t="str">
        <v>https://zgspws.com/</v>
      </c>
      <c r="N265" s="7" t="str">
        <v>期刊/主办方官方入口匹配</v>
      </c>
      <c r="O265" s="2" t="str">
        <v>官网来源</v>
      </c>
    </row>
    <row r="266" ht="30" customHeight="1">
      <c r="A266" s="7" t="str">
        <v>营养学报</v>
      </c>
      <c r="B266" s="7" t="str">
        <v>食品科学营养与安全</v>
      </c>
      <c r="C266" s="21" t="n">
        <v>1.697</v>
      </c>
      <c r="D266" s="21" t="n">
        <v>1.092</v>
      </c>
      <c r="E266" s="13" t="n">
        <v>2024</v>
      </c>
      <c r="F266" s="13" t="n">
        <v>2025</v>
      </c>
      <c r="G266" s="2" t="str">
        <v>国内年报口径；不与JIF混排</v>
      </c>
      <c r="H266" s="2" t="str">
        <v>不按此口径列示</v>
      </c>
      <c r="I266" s="2" t="str">
        <v>已提取2025版原表</v>
      </c>
      <c r="J266" s="10" t="n">
        <v>65</v>
      </c>
      <c r="K266" s="2" t="str">
        <v>2025版年报统计年为2024。</v>
      </c>
      <c r="L266" s="14" t="str">
        <v>年报原页</v>
      </c>
      <c r="M266" s="14" t="str">
        <v>https://manu37.magtech.com.cn/yyxb/CN/home</v>
      </c>
      <c r="N266" s="7" t="str">
        <v>期刊/出版平台页面检索核对</v>
      </c>
      <c r="O266" s="2" t="str">
        <v>官网来源</v>
      </c>
    </row>
    <row r="267" ht="30" customHeight="1">
      <c r="A267" s="7" t="str">
        <v>中国食品添加剂</v>
      </c>
      <c r="B267" s="7" t="str">
        <v>食品科学营养与安全</v>
      </c>
      <c r="C267" s="21" t="n">
        <v>2.262</v>
      </c>
      <c r="D267" s="21" t="n">
        <v>1.604</v>
      </c>
      <c r="E267" s="13" t="n">
        <v>2024</v>
      </c>
      <c r="F267" s="13" t="n">
        <v>2025</v>
      </c>
      <c r="G267" s="2" t="str">
        <v>国内年报口径；不与JIF混排</v>
      </c>
      <c r="H267" s="2" t="str">
        <v>不按此口径列示</v>
      </c>
      <c r="I267" s="2" t="str">
        <v>已提取2025版原表</v>
      </c>
      <c r="J267" s="10" t="n">
        <v>149</v>
      </c>
      <c r="K267" s="2" t="str">
        <v>2025版年报统计年为2024。</v>
      </c>
      <c r="L267" s="14" t="str">
        <v>年报原页</v>
      </c>
      <c r="M267" s="14" t="str">
        <v>https://zstj.cbpt.cnki.net/portal</v>
      </c>
      <c r="N267" s="7" t="str">
        <v>期刊/出版平台页面检索核对</v>
      </c>
      <c r="O267" s="2" t="str">
        <v>官网来源</v>
      </c>
    </row>
    <row r="268" ht="30" customHeight="1">
      <c r="A268" s="7" t="str">
        <v>食品安全质量检测学报</v>
      </c>
      <c r="B268" s="7" t="str">
        <v>食品科学营养与安全</v>
      </c>
      <c r="C268" s="21" t="n">
        <v>2.369</v>
      </c>
      <c r="D268" s="21" t="n">
        <v>1.722</v>
      </c>
      <c r="E268" s="13" t="n">
        <v>2024</v>
      </c>
      <c r="F268" s="13" t="n">
        <v>2025</v>
      </c>
      <c r="G268" s="2" t="str">
        <v>国内年报口径；不与JIF混排</v>
      </c>
      <c r="H268" s="2" t="str">
        <v>不按此口径列示</v>
      </c>
      <c r="I268" s="2" t="str">
        <v>已提取2025版原表</v>
      </c>
      <c r="J268" s="10" t="n">
        <v>149</v>
      </c>
      <c r="K268" s="2" t="str">
        <v>2025版年报统计年为2024。</v>
      </c>
      <c r="L268" s="14" t="str">
        <v>年报原页</v>
      </c>
      <c r="M268" s="14" t="str">
        <v>http://chinafoodj.ijournals.cn/</v>
      </c>
      <c r="N268" s="7" t="str">
        <v>期刊/主办方官方入口匹配</v>
      </c>
      <c r="O268" s="2" t="str">
        <v>官网来源</v>
      </c>
    </row>
    <row r="269" ht="30" customHeight="1">
      <c r="A269" s="7" t="str">
        <v>中国酿造</v>
      </c>
      <c r="B269" s="7" t="str">
        <v>食品科学营养与安全</v>
      </c>
      <c r="C269" s="21" t="n">
        <v>2.781</v>
      </c>
      <c r="D269" s="21" t="n">
        <v>2.09</v>
      </c>
      <c r="E269" s="13" t="n">
        <v>2024</v>
      </c>
      <c r="F269" s="13" t="n">
        <v>2025</v>
      </c>
      <c r="G269" s="2" t="str">
        <v>国内年报口径；不与JIF混排</v>
      </c>
      <c r="H269" s="2" t="str">
        <v>不按此口径列示</v>
      </c>
      <c r="I269" s="2" t="str">
        <v>已提取2025版原表</v>
      </c>
      <c r="J269" s="10" t="n">
        <v>149</v>
      </c>
      <c r="K269" s="2" t="str">
        <v>2025版年报统计年为2024。</v>
      </c>
      <c r="L269" s="14" t="str">
        <v>年报原页</v>
      </c>
      <c r="M269" s="14" t="str">
        <v>https://manu61.magtech.com.cn/zgnz/CN/current</v>
      </c>
      <c r="N269" s="7" t="str">
        <v>期刊/主办方官方入口匹配</v>
      </c>
      <c r="O269" s="2" t="str">
        <v>官网来源</v>
      </c>
    </row>
    <row r="270" ht="30" customHeight="1">
      <c r="A270" s="7" t="str">
        <v>酿酒科技</v>
      </c>
      <c r="B270" s="7" t="str">
        <v>食品科学营养与安全</v>
      </c>
      <c r="C270" s="21" t="n">
        <v>1.625</v>
      </c>
      <c r="D270" s="21" t="n">
        <v>1.305</v>
      </c>
      <c r="E270" s="13" t="n">
        <v>2024</v>
      </c>
      <c r="F270" s="13" t="n">
        <v>2025</v>
      </c>
      <c r="G270" s="2" t="str">
        <v>国内年报口径；不与JIF混排</v>
      </c>
      <c r="H270" s="2" t="str">
        <v>不按此口径列示</v>
      </c>
      <c r="I270" s="2" t="str">
        <v>已提取2025版原表</v>
      </c>
      <c r="J270" s="10" t="n">
        <v>149</v>
      </c>
      <c r="K270" s="2" t="str">
        <v>2025版年报统计年为2024。</v>
      </c>
      <c r="L270" s="14" t="str">
        <v>年报原页</v>
      </c>
      <c r="M270" s="14" t="str">
        <v>http://www.njkj.cbpt.cnki.net/WKD/WebPublication/index.aspx?mid=njkj</v>
      </c>
      <c r="N270" s="7" t="str">
        <v>期刊/出版平台页面检索核对</v>
      </c>
      <c r="O270" s="2" t="str">
        <v>官网来源</v>
      </c>
    </row>
    <row r="271" ht="30" customHeight="1">
      <c r="A271" s="7" t="str">
        <v>肉类研究</v>
      </c>
      <c r="B271" s="7" t="str">
        <v>食品科学营养与安全</v>
      </c>
      <c r="C271" s="21" t="n">
        <v>2.208</v>
      </c>
      <c r="D271" s="21" t="n">
        <v>1.621</v>
      </c>
      <c r="E271" s="13" t="n">
        <v>2024</v>
      </c>
      <c r="F271" s="13" t="n">
        <v>2025</v>
      </c>
      <c r="G271" s="2" t="str">
        <v>国内年报口径；不与JIF混排</v>
      </c>
      <c r="H271" s="2" t="str">
        <v>不按此口径列示</v>
      </c>
      <c r="I271" s="2" t="str">
        <v>已提取2025版原表</v>
      </c>
      <c r="J271" s="10" t="n">
        <v>149</v>
      </c>
      <c r="K271" s="2" t="str">
        <v>2025版年报统计年为2024。</v>
      </c>
      <c r="L271" s="14" t="str">
        <v>年报原页</v>
      </c>
      <c r="M271" s="14" t="str">
        <v>https://www.rlyj.net.cn/CN/volumn/home.shtml</v>
      </c>
      <c r="N271" s="7" t="str">
        <v>期刊/主办方官方入口匹配</v>
      </c>
      <c r="O271" s="2" t="str">
        <v>官网来源</v>
      </c>
    </row>
    <row r="272" ht="30" customHeight="1">
      <c r="A272" s="7" t="str">
        <v>保鲜与加工</v>
      </c>
      <c r="B272" s="7" t="str">
        <v>食品科学营养与安全</v>
      </c>
      <c r="C272" s="21" t="n">
        <v>1.887</v>
      </c>
      <c r="D272" s="21" t="n">
        <v>1.228</v>
      </c>
      <c r="E272" s="13" t="n">
        <v>2024</v>
      </c>
      <c r="F272" s="13" t="n">
        <v>2025</v>
      </c>
      <c r="G272" s="2" t="str">
        <v>国内年报口径；不与JIF混排</v>
      </c>
      <c r="H272" s="2" t="str">
        <v>不按此口径列示</v>
      </c>
      <c r="I272" s="2" t="str">
        <v>已提取2025版原表</v>
      </c>
      <c r="J272" s="10" t="n">
        <v>100</v>
      </c>
      <c r="K272" s="2" t="str">
        <v>2025版年报统计年为2024。</v>
      </c>
      <c r="L272" s="14" t="str">
        <v>年报原页</v>
      </c>
      <c r="M272" s="14" t="str">
        <v>https://www.aeeisp.com/bxyjg/</v>
      </c>
      <c r="N272" s="7" t="str">
        <v>期刊/主办方官方入口匹配</v>
      </c>
      <c r="O272" s="2" t="str">
        <v>官网来源</v>
      </c>
    </row>
    <row r="273" ht="30" customHeight="1">
      <c r="A273" s="7" t="str">
        <v>粮食与油脂</v>
      </c>
      <c r="B273" s="7" t="str">
        <v>食品科学营养与安全</v>
      </c>
      <c r="C273" s="21" t="n">
        <v>1.942</v>
      </c>
      <c r="D273" s="21" t="n">
        <v>1.273</v>
      </c>
      <c r="E273" s="13" t="n">
        <v>2024</v>
      </c>
      <c r="F273" s="13" t="n">
        <v>2025</v>
      </c>
      <c r="G273" s="2" t="str">
        <v>国内年报口径；不与JIF混排</v>
      </c>
      <c r="H273" s="2" t="str">
        <v>不按此口径列示</v>
      </c>
      <c r="I273" s="2" t="str">
        <v>已提取2025版原表</v>
      </c>
      <c r="J273" s="10" t="n">
        <v>149</v>
      </c>
      <c r="K273" s="2" t="str">
        <v>2025版年报统计年为2024。</v>
      </c>
      <c r="L273" s="14" t="str">
        <v>年报原页</v>
      </c>
      <c r="M273" s="14" t="str">
        <v>https://lsyy.cbpt.cnki.net/portal</v>
      </c>
      <c r="N273" s="7" t="str">
        <v>期刊/出版平台页面检索核对</v>
      </c>
      <c r="O273" s="2" t="str">
        <v>官网来源</v>
      </c>
    </row>
    <row r="274" ht="30" customHeight="1">
      <c r="A274" s="7" t="str">
        <v>粮食与饲料工业</v>
      </c>
      <c r="B274" s="7" t="str">
        <v>食品科学营养与安全</v>
      </c>
      <c r="C274" s="21" t="n">
        <v>0.995</v>
      </c>
      <c r="D274" s="21" t="n">
        <v>0.69</v>
      </c>
      <c r="E274" s="13" t="n">
        <v>2024</v>
      </c>
      <c r="F274" s="13" t="n">
        <v>2025</v>
      </c>
      <c r="G274" s="2" t="str">
        <v>国内年报口径；不与JIF混排</v>
      </c>
      <c r="H274" s="2" t="str">
        <v>不按此口径列示</v>
      </c>
      <c r="I274" s="2" t="str">
        <v>已提取2025版原表</v>
      </c>
      <c r="J274" s="10" t="n">
        <v>103</v>
      </c>
      <c r="K274" s="2" t="str">
        <v>2025版年报统计年为2024。</v>
      </c>
      <c r="L274" s="14" t="str">
        <v>年报原页</v>
      </c>
      <c r="M274" s="14" t="str"/>
      <c r="N274" s="7" t="str">
        <v>未检得可靠官网；待核实</v>
      </c>
      <c r="O274" s="2" t="str"/>
    </row>
    <row r="275" ht="30" customHeight="1">
      <c r="A275" s="7" t="str">
        <v>粮油食品科技</v>
      </c>
      <c r="B275" s="7" t="str">
        <v>食品科学营养与安全</v>
      </c>
      <c r="C275" s="21" t="n">
        <v>2.003</v>
      </c>
      <c r="D275" s="21" t="n">
        <v>1.246</v>
      </c>
      <c r="E275" s="13" t="n">
        <v>2024</v>
      </c>
      <c r="F275" s="13" t="n">
        <v>2025</v>
      </c>
      <c r="G275" s="2" t="str">
        <v>国内年报口径；不与JIF混排</v>
      </c>
      <c r="H275" s="2" t="str">
        <v>不按此口径列示</v>
      </c>
      <c r="I275" s="2" t="str">
        <v>已提取2025版原表</v>
      </c>
      <c r="J275" s="10" t="n">
        <v>150</v>
      </c>
      <c r="K275" s="2" t="str">
        <v>2025版年报统计年为2024。</v>
      </c>
      <c r="L275" s="14" t="str">
        <v>年报原页</v>
      </c>
      <c r="M275" s="14" t="str">
        <v>http://lyspkj.ijournal.cn/lyspkj/home</v>
      </c>
      <c r="N275" s="7" t="str">
        <v>刊内官网地址；访问待核实</v>
      </c>
      <c r="O275" s="2" t="str">
        <v>官网来源</v>
      </c>
    </row>
    <row r="276" ht="30" customHeight="1">
      <c r="A276" s="7" t="str">
        <v>粮食储藏</v>
      </c>
      <c r="B276" s="7" t="str">
        <v>食品科学营养与安全</v>
      </c>
      <c r="C276" s="21" t="n">
        <v>1.168</v>
      </c>
      <c r="D276" s="21" t="n">
        <v>0.964</v>
      </c>
      <c r="E276" s="13" t="n">
        <v>2024</v>
      </c>
      <c r="F276" s="13" t="n">
        <v>2025</v>
      </c>
      <c r="G276" s="2" t="str">
        <v>国内年报口径；不与JIF混排</v>
      </c>
      <c r="H276" s="2" t="str">
        <v>不按此口径列示</v>
      </c>
      <c r="I276" s="2" t="str">
        <v>已提取2025版原表</v>
      </c>
      <c r="J276" s="10" t="n">
        <v>98</v>
      </c>
      <c r="K276" s="2" t="str">
        <v>2025版年报统计年为2024。</v>
      </c>
      <c r="L276" s="14" t="str">
        <v>年报原页</v>
      </c>
      <c r="M276" s="14" t="str">
        <v>https://sci.sinograin.com.cn/book/list?channelId=1475345741043023874</v>
      </c>
      <c r="N276" s="7" t="str">
        <v>期刊/主办方官方入口匹配</v>
      </c>
      <c r="O276" s="2" t="str">
        <v>官网来源</v>
      </c>
    </row>
    <row r="277" ht="30" customHeight="1">
      <c r="A277" s="7" t="str">
        <v>农产品加工</v>
      </c>
      <c r="B277" s="7" t="str">
        <v>食品科学营养与安全</v>
      </c>
      <c r="C277" s="21" t="n">
        <v>0.837</v>
      </c>
      <c r="D277" s="21" t="n">
        <v>0.597</v>
      </c>
      <c r="E277" s="13" t="n">
        <v>2024</v>
      </c>
      <c r="F277" s="13" t="n">
        <v>2025</v>
      </c>
      <c r="G277" s="2" t="str">
        <v>国内年报口径；不与JIF混排</v>
      </c>
      <c r="H277" s="2" t="str">
        <v>不按此口径列示</v>
      </c>
      <c r="I277" s="2" t="str">
        <v>已提取2025版原表</v>
      </c>
      <c r="J277" s="10" t="n">
        <v>150</v>
      </c>
      <c r="K277" s="2" t="str">
        <v>2025版年报统计年为2024。</v>
      </c>
      <c r="L277" s="14" t="str">
        <v>年报原页</v>
      </c>
      <c r="M277" s="14" t="str">
        <v>http://ncpjg.com/</v>
      </c>
      <c r="N277" s="7" t="str">
        <v>期刊/出版平台页面检索核对</v>
      </c>
      <c r="O277" s="2" t="str">
        <v>官网来源</v>
      </c>
    </row>
    <row r="278" ht="30" customHeight="1">
      <c r="A278" s="7" t="str">
        <v>中国调味品</v>
      </c>
      <c r="B278" s="7" t="str">
        <v>食品科学营养与安全</v>
      </c>
      <c r="C278" s="21" t="n">
        <v>2.07</v>
      </c>
      <c r="D278" s="21" t="n">
        <v>1.495</v>
      </c>
      <c r="E278" s="13" t="n">
        <v>2024</v>
      </c>
      <c r="F278" s="13" t="n">
        <v>2025</v>
      </c>
      <c r="G278" s="2" t="str">
        <v>国内年报口径；不与JIF混排</v>
      </c>
      <c r="H278" s="2" t="str">
        <v>不按此口径列示</v>
      </c>
      <c r="I278" s="2" t="str">
        <v>已提取2025版原表</v>
      </c>
      <c r="J278" s="10" t="n">
        <v>149</v>
      </c>
      <c r="K278" s="2" t="str">
        <v>2025版年报统计年为2024。</v>
      </c>
      <c r="L278" s="14" t="str">
        <v>年报原页</v>
      </c>
      <c r="M278" s="14" t="str">
        <v>https://zgtw.chinajournal.net.cn/WKI/WebPublication/index.aspx?mid=ZGTW</v>
      </c>
      <c r="N278" s="7" t="str">
        <v>期刊/出版平台页面检索核对</v>
      </c>
      <c r="O278" s="2" t="str">
        <v>官网来源</v>
      </c>
    </row>
  </sheetData>
  <hyperlinks>
    <hyperlink ref="L2" r:id="journalLink1"/>
    <hyperlink ref="M2" r:id="journalLink2"/>
    <hyperlink ref="O2" r:id="journalLink3"/>
    <hyperlink ref="L3" r:id="journalLink4"/>
    <hyperlink ref="M3" r:id="journalLink5"/>
    <hyperlink ref="O3" r:id="journalLink6"/>
    <hyperlink ref="L4" r:id="journalLink7"/>
    <hyperlink ref="M4" r:id="journalLink8"/>
    <hyperlink ref="O4" r:id="journalLink9"/>
    <hyperlink ref="L5" r:id="journalLink10"/>
    <hyperlink ref="M5" r:id="journalLink11"/>
    <hyperlink ref="O5" r:id="journalLink12"/>
    <hyperlink ref="L6" r:id="journalLink13"/>
    <hyperlink ref="M6" r:id="journalLink14"/>
    <hyperlink ref="O6" r:id="journalLink15"/>
    <hyperlink ref="L7" r:id="journalLink16"/>
    <hyperlink ref="M7" r:id="journalLink17"/>
    <hyperlink ref="O7" r:id="journalLink18"/>
    <hyperlink ref="L8" r:id="journalLink19"/>
    <hyperlink ref="M8" r:id="journalLink20"/>
    <hyperlink ref="O8" r:id="journalLink21"/>
    <hyperlink ref="L9" r:id="journalLink22"/>
    <hyperlink ref="M9" r:id="journalLink23"/>
    <hyperlink ref="O9" r:id="journalLink24"/>
    <hyperlink ref="L10" r:id="journalLink25"/>
    <hyperlink ref="M10" r:id="journalLink26"/>
    <hyperlink ref="O10" r:id="journalLink27"/>
    <hyperlink ref="L11" r:id="journalLink28"/>
    <hyperlink ref="M11" r:id="journalLink29"/>
    <hyperlink ref="O11" r:id="journalLink30"/>
    <hyperlink ref="L12" r:id="journalLink31"/>
    <hyperlink ref="M12" r:id="journalLink32"/>
    <hyperlink ref="O12" r:id="journalLink33"/>
    <hyperlink ref="L13" r:id="journalLink34"/>
    <hyperlink ref="M13" r:id="journalLink35"/>
    <hyperlink ref="O13" r:id="journalLink36"/>
    <hyperlink ref="L14" r:id="journalLink37"/>
    <hyperlink ref="M14" r:id="journalLink38"/>
    <hyperlink ref="O14" r:id="journalLink39"/>
    <hyperlink ref="L15" r:id="journalLink40"/>
    <hyperlink ref="M15" r:id="journalLink41"/>
    <hyperlink ref="O15" r:id="journalLink42"/>
    <hyperlink ref="L16" r:id="journalLink43"/>
    <hyperlink ref="M16" r:id="journalLink44"/>
    <hyperlink ref="O16" r:id="journalLink45"/>
    <hyperlink ref="L17" r:id="journalLink46"/>
    <hyperlink ref="M17" r:id="journalLink47"/>
    <hyperlink ref="O17" r:id="journalLink48"/>
    <hyperlink ref="L18" r:id="journalLink49"/>
    <hyperlink ref="M18" r:id="journalLink50"/>
    <hyperlink ref="O18" r:id="journalLink51"/>
    <hyperlink ref="L19" r:id="journalLink52"/>
    <hyperlink ref="M19" r:id="journalLink53"/>
    <hyperlink ref="O19" r:id="journalLink54"/>
    <hyperlink ref="L20" r:id="journalLink55"/>
    <hyperlink ref="M20" r:id="journalLink56"/>
    <hyperlink ref="O20" r:id="journalLink57"/>
    <hyperlink ref="L21" r:id="journalLink58"/>
    <hyperlink ref="M21" r:id="journalLink59"/>
    <hyperlink ref="O21" r:id="journalLink60"/>
    <hyperlink ref="L22" r:id="journalLink61"/>
    <hyperlink ref="M22" r:id="journalLink62"/>
    <hyperlink ref="O22" r:id="journalLink63"/>
    <hyperlink ref="L23" r:id="journalLink64"/>
    <hyperlink ref="M23" r:id="journalLink65"/>
    <hyperlink ref="O23" r:id="journalLink66"/>
    <hyperlink ref="L24" r:id="journalLink67"/>
    <hyperlink ref="M24" r:id="journalLink68"/>
    <hyperlink ref="O24" r:id="journalLink69"/>
    <hyperlink ref="L25" r:id="journalLink70"/>
    <hyperlink ref="M25" r:id="journalLink71"/>
    <hyperlink ref="O25" r:id="journalLink72"/>
    <hyperlink ref="L26" r:id="journalLink73"/>
    <hyperlink ref="M26" r:id="journalLink74"/>
    <hyperlink ref="O26" r:id="journalLink75"/>
    <hyperlink ref="L27" r:id="journalLink76"/>
    <hyperlink ref="M27" r:id="journalLink77"/>
    <hyperlink ref="O27" r:id="journalLink78"/>
    <hyperlink ref="L28" r:id="journalLink79"/>
    <hyperlink ref="M28" r:id="journalLink80"/>
    <hyperlink ref="O28" r:id="journalLink81"/>
    <hyperlink ref="L29" r:id="journalLink82"/>
    <hyperlink ref="M29" r:id="journalLink83"/>
    <hyperlink ref="O29" r:id="journalLink84"/>
    <hyperlink ref="L30" r:id="journalLink85"/>
    <hyperlink ref="M30" r:id="journalLink86"/>
    <hyperlink ref="O30" r:id="journalLink87"/>
    <hyperlink ref="L31" r:id="journalLink88"/>
    <hyperlink ref="M31" r:id="journalLink89"/>
    <hyperlink ref="O31" r:id="journalLink90"/>
    <hyperlink ref="L32" r:id="journalLink91"/>
    <hyperlink ref="M32" r:id="journalLink92"/>
    <hyperlink ref="O32" r:id="journalLink93"/>
    <hyperlink ref="L33" r:id="journalLink94"/>
    <hyperlink ref="M33" r:id="journalLink95"/>
    <hyperlink ref="O33" r:id="journalLink96"/>
    <hyperlink ref="L34" r:id="journalLink97"/>
    <hyperlink ref="M34" r:id="journalLink98"/>
    <hyperlink ref="O34" r:id="journalLink99"/>
    <hyperlink ref="L35" r:id="journalLink100"/>
    <hyperlink ref="M35" r:id="journalLink101"/>
    <hyperlink ref="O35" r:id="journalLink102"/>
    <hyperlink ref="L36" r:id="journalLink103"/>
    <hyperlink ref="M36" r:id="journalLink104"/>
    <hyperlink ref="O36" r:id="journalLink105"/>
    <hyperlink ref="L37" r:id="journalLink106"/>
    <hyperlink ref="M37" r:id="journalLink107"/>
    <hyperlink ref="O37" r:id="journalLink108"/>
    <hyperlink ref="L38" r:id="journalLink109"/>
    <hyperlink ref="M38" r:id="journalLink110"/>
    <hyperlink ref="O38" r:id="journalLink111"/>
    <hyperlink ref="L39" r:id="journalLink112"/>
    <hyperlink ref="M39" r:id="journalLink113"/>
    <hyperlink ref="O39" r:id="journalLink114"/>
    <hyperlink ref="L40" r:id="journalLink115"/>
    <hyperlink ref="M40" r:id="journalLink116"/>
    <hyperlink ref="O40" r:id="journalLink117"/>
    <hyperlink ref="L41" r:id="journalLink118"/>
    <hyperlink ref="M41" r:id="journalLink119"/>
    <hyperlink ref="O41" r:id="journalLink120"/>
    <hyperlink ref="L42" r:id="journalLink121"/>
    <hyperlink ref="M42" r:id="journalLink122"/>
    <hyperlink ref="O42" r:id="journalLink123"/>
    <hyperlink ref="L43" r:id="journalLink124"/>
    <hyperlink ref="M43" r:id="journalLink125"/>
    <hyperlink ref="O43" r:id="journalLink126"/>
    <hyperlink ref="L44" r:id="journalLink127"/>
    <hyperlink ref="M44" r:id="journalLink128"/>
    <hyperlink ref="O44" r:id="journalLink129"/>
    <hyperlink ref="L45" r:id="journalLink130"/>
    <hyperlink ref="M45" r:id="journalLink131"/>
    <hyperlink ref="O45" r:id="journalLink132"/>
    <hyperlink ref="L46" r:id="journalLink133"/>
    <hyperlink ref="M46" r:id="journalLink134"/>
    <hyperlink ref="O46" r:id="journalLink135"/>
    <hyperlink ref="L47" r:id="journalLink136"/>
    <hyperlink ref="M47" r:id="journalLink137"/>
    <hyperlink ref="O47" r:id="journalLink138"/>
    <hyperlink ref="L48" r:id="journalLink139"/>
    <hyperlink ref="M48" r:id="journalLink140"/>
    <hyperlink ref="O48" r:id="journalLink141"/>
    <hyperlink ref="L49" r:id="journalLink142"/>
    <hyperlink ref="M49" r:id="journalLink143"/>
    <hyperlink ref="O49" r:id="journalLink144"/>
    <hyperlink ref="L50" r:id="journalLink145"/>
    <hyperlink ref="M50" r:id="journalLink146"/>
    <hyperlink ref="O50" r:id="journalLink147"/>
    <hyperlink ref="L51" r:id="journalLink148"/>
    <hyperlink ref="M51" r:id="journalLink149"/>
    <hyperlink ref="O51" r:id="journalLink150"/>
    <hyperlink ref="L52" r:id="journalLink151"/>
    <hyperlink ref="M52" r:id="journalLink152"/>
    <hyperlink ref="O52" r:id="journalLink153"/>
    <hyperlink ref="L53" r:id="journalLink154"/>
    <hyperlink ref="M53" r:id="journalLink155"/>
    <hyperlink ref="O53" r:id="journalLink156"/>
    <hyperlink ref="L54" r:id="journalLink157"/>
    <hyperlink ref="M54" r:id="journalLink158"/>
    <hyperlink ref="O54" r:id="journalLink159"/>
    <hyperlink ref="L55" r:id="journalLink160"/>
    <hyperlink ref="M55" r:id="journalLink161"/>
    <hyperlink ref="O55" r:id="journalLink162"/>
    <hyperlink ref="L56" r:id="journalLink163"/>
    <hyperlink ref="M56" r:id="journalLink164"/>
    <hyperlink ref="O56" r:id="journalLink165"/>
    <hyperlink ref="L57" r:id="journalLink166"/>
    <hyperlink ref="M57" r:id="journalLink167"/>
    <hyperlink ref="O57" r:id="journalLink168"/>
    <hyperlink ref="L58" r:id="journalLink169"/>
    <hyperlink ref="M58" r:id="journalLink170"/>
    <hyperlink ref="O58" r:id="journalLink171"/>
    <hyperlink ref="L59" r:id="journalLink172"/>
    <hyperlink ref="M59" r:id="journalLink173"/>
    <hyperlink ref="O59" r:id="journalLink174"/>
    <hyperlink ref="L60" r:id="journalLink175"/>
    <hyperlink ref="M60" r:id="journalLink176"/>
    <hyperlink ref="O60" r:id="journalLink177"/>
    <hyperlink ref="L61" r:id="journalLink178"/>
    <hyperlink ref="M61" r:id="journalLink179"/>
    <hyperlink ref="O61" r:id="journalLink180"/>
    <hyperlink ref="L62" r:id="journalLink181"/>
    <hyperlink ref="M62" r:id="journalLink182"/>
    <hyperlink ref="O62" r:id="journalLink183"/>
    <hyperlink ref="L63" r:id="journalLink184"/>
    <hyperlink ref="M63" r:id="journalLink185"/>
    <hyperlink ref="O63" r:id="journalLink186"/>
    <hyperlink ref="L64" r:id="journalLink187"/>
    <hyperlink ref="M64" r:id="journalLink188"/>
    <hyperlink ref="O64" r:id="journalLink189"/>
    <hyperlink ref="L65" r:id="journalLink190"/>
    <hyperlink ref="M65" r:id="journalLink191"/>
    <hyperlink ref="O65" r:id="journalLink192"/>
    <hyperlink ref="L66" r:id="journalLink193"/>
    <hyperlink ref="M66" r:id="journalLink194"/>
    <hyperlink ref="O66" r:id="journalLink195"/>
    <hyperlink ref="L67" r:id="journalLink196"/>
    <hyperlink ref="M67" r:id="journalLink197"/>
    <hyperlink ref="O67" r:id="journalLink198"/>
    <hyperlink ref="L68" r:id="journalLink199"/>
    <hyperlink ref="M68" r:id="journalLink200"/>
    <hyperlink ref="O68" r:id="journalLink201"/>
    <hyperlink ref="L69" r:id="journalLink202"/>
    <hyperlink ref="M69" r:id="journalLink203"/>
    <hyperlink ref="O69" r:id="journalLink204"/>
    <hyperlink ref="L70" r:id="journalLink205"/>
    <hyperlink ref="M70" r:id="journalLink206"/>
    <hyperlink ref="O70" r:id="journalLink207"/>
    <hyperlink ref="L71" r:id="journalLink208"/>
    <hyperlink ref="M71" r:id="journalLink209"/>
    <hyperlink ref="O71" r:id="journalLink210"/>
    <hyperlink ref="L72" r:id="journalLink211"/>
    <hyperlink ref="M72" r:id="journalLink212"/>
    <hyperlink ref="O72" r:id="journalLink213"/>
    <hyperlink ref="L73" r:id="journalLink214"/>
    <hyperlink ref="M73" r:id="journalLink215"/>
    <hyperlink ref="O73" r:id="journalLink216"/>
    <hyperlink ref="L74" r:id="journalLink217"/>
    <hyperlink ref="M74" r:id="journalLink218"/>
    <hyperlink ref="O74" r:id="journalLink219"/>
    <hyperlink ref="L75" r:id="journalLink220"/>
    <hyperlink ref="M75" r:id="journalLink221"/>
    <hyperlink ref="O75" r:id="journalLink222"/>
    <hyperlink ref="L76" r:id="journalLink223"/>
    <hyperlink ref="M76" r:id="journalLink224"/>
    <hyperlink ref="O76" r:id="journalLink225"/>
    <hyperlink ref="L77" r:id="journalLink226"/>
    <hyperlink ref="M77" r:id="journalLink227"/>
    <hyperlink ref="O77" r:id="journalLink228"/>
    <hyperlink ref="L78" r:id="journalLink229"/>
    <hyperlink ref="M78" r:id="journalLink230"/>
    <hyperlink ref="O78" r:id="journalLink231"/>
    <hyperlink ref="L79" r:id="journalLink232"/>
    <hyperlink ref="M79" r:id="journalLink233"/>
    <hyperlink ref="O79" r:id="journalLink234"/>
    <hyperlink ref="L80" r:id="journalLink235"/>
    <hyperlink ref="M80" r:id="journalLink236"/>
    <hyperlink ref="O80" r:id="journalLink237"/>
    <hyperlink ref="L81" r:id="journalLink238"/>
    <hyperlink ref="M81" r:id="journalLink239"/>
    <hyperlink ref="O81" r:id="journalLink240"/>
    <hyperlink ref="L82" r:id="journalLink241"/>
    <hyperlink ref="M82" r:id="journalLink242"/>
    <hyperlink ref="O82" r:id="journalLink243"/>
    <hyperlink ref="L83" r:id="journalLink244"/>
    <hyperlink ref="M83" r:id="journalLink245"/>
    <hyperlink ref="O83" r:id="journalLink246"/>
    <hyperlink ref="L84" r:id="journalLink247"/>
    <hyperlink ref="M84" r:id="journalLink248"/>
    <hyperlink ref="O84" r:id="journalLink249"/>
    <hyperlink ref="L85" r:id="journalLink250"/>
    <hyperlink ref="M85" r:id="journalLink251"/>
    <hyperlink ref="O85" r:id="journalLink252"/>
    <hyperlink ref="L86" r:id="journalLink253"/>
    <hyperlink ref="M86" r:id="journalLink254"/>
    <hyperlink ref="O86" r:id="journalLink255"/>
    <hyperlink ref="L87" r:id="journalLink256"/>
    <hyperlink ref="M87" r:id="journalLink257"/>
    <hyperlink ref="O87" r:id="journalLink258"/>
    <hyperlink ref="L88" r:id="journalLink259"/>
    <hyperlink ref="M88" r:id="journalLink260"/>
    <hyperlink ref="O88" r:id="journalLink261"/>
    <hyperlink ref="L89" r:id="journalLink262"/>
    <hyperlink ref="M89" r:id="journalLink263"/>
    <hyperlink ref="O89" r:id="journalLink264"/>
    <hyperlink ref="L90" r:id="journalLink265"/>
    <hyperlink ref="M90" r:id="journalLink266"/>
    <hyperlink ref="O90" r:id="journalLink267"/>
    <hyperlink ref="L91" r:id="journalLink268"/>
    <hyperlink ref="M91" r:id="journalLink269"/>
    <hyperlink ref="O91" r:id="journalLink270"/>
    <hyperlink ref="L92" r:id="journalLink271"/>
    <hyperlink ref="M92" r:id="journalLink272"/>
    <hyperlink ref="O92" r:id="journalLink273"/>
    <hyperlink ref="L93" r:id="journalLink274"/>
    <hyperlink ref="M93" r:id="journalLink275"/>
    <hyperlink ref="O93" r:id="journalLink276"/>
    <hyperlink ref="L94" r:id="journalLink277"/>
    <hyperlink ref="M94" r:id="journalLink278"/>
    <hyperlink ref="O94" r:id="journalLink279"/>
    <hyperlink ref="L95" r:id="journalLink280"/>
    <hyperlink ref="M95" r:id="journalLink281"/>
    <hyperlink ref="O95" r:id="journalLink282"/>
    <hyperlink ref="L96" r:id="journalLink283"/>
    <hyperlink ref="M96" r:id="journalLink284"/>
    <hyperlink ref="O96" r:id="journalLink285"/>
    <hyperlink ref="L97" r:id="journalLink286"/>
    <hyperlink ref="M97" r:id="journalLink287"/>
    <hyperlink ref="O97" r:id="journalLink288"/>
    <hyperlink ref="L98" r:id="journalLink289"/>
    <hyperlink ref="M98" r:id="journalLink290"/>
    <hyperlink ref="O98" r:id="journalLink291"/>
    <hyperlink ref="L99" r:id="journalLink292"/>
    <hyperlink ref="M99" r:id="journalLink293"/>
    <hyperlink ref="O99" r:id="journalLink294"/>
    <hyperlink ref="L100" r:id="journalLink295"/>
    <hyperlink ref="M100" r:id="journalLink296"/>
    <hyperlink ref="O100" r:id="journalLink297"/>
    <hyperlink ref="L101" r:id="journalLink298"/>
    <hyperlink ref="M101" r:id="journalLink299"/>
    <hyperlink ref="O101" r:id="journalLink300"/>
    <hyperlink ref="L102" r:id="journalLink301"/>
    <hyperlink ref="M102" r:id="journalLink302"/>
    <hyperlink ref="O102" r:id="journalLink303"/>
    <hyperlink ref="L103" r:id="journalLink304"/>
    <hyperlink ref="M103" r:id="journalLink305"/>
    <hyperlink ref="O103" r:id="journalLink306"/>
    <hyperlink ref="L104" r:id="journalLink307"/>
    <hyperlink ref="M104" r:id="journalLink308"/>
    <hyperlink ref="O104" r:id="journalLink309"/>
    <hyperlink ref="L105" r:id="journalLink310"/>
    <hyperlink ref="M105" r:id="journalLink311"/>
    <hyperlink ref="O105" r:id="journalLink312"/>
    <hyperlink ref="L106" r:id="journalLink313"/>
    <hyperlink ref="M106" r:id="journalLink314"/>
    <hyperlink ref="O106" r:id="journalLink315"/>
    <hyperlink ref="L107" r:id="journalLink316"/>
    <hyperlink ref="M107" r:id="journalLink317"/>
    <hyperlink ref="O107" r:id="journalLink318"/>
    <hyperlink ref="L108" r:id="journalLink319"/>
    <hyperlink ref="M108" r:id="journalLink320"/>
    <hyperlink ref="O108" r:id="journalLink321"/>
    <hyperlink ref="L109" r:id="journalLink322"/>
    <hyperlink ref="M109" r:id="journalLink323"/>
    <hyperlink ref="O109" r:id="journalLink324"/>
    <hyperlink ref="L110" r:id="journalLink325"/>
    <hyperlink ref="M110" r:id="journalLink326"/>
    <hyperlink ref="O110" r:id="journalLink327"/>
    <hyperlink ref="L111" r:id="journalLink328"/>
    <hyperlink ref="L112" r:id="journalLink329"/>
    <hyperlink ref="M112" r:id="journalLink330"/>
    <hyperlink ref="O112" r:id="journalLink331"/>
    <hyperlink ref="L113" r:id="journalLink332"/>
    <hyperlink ref="M113" r:id="journalLink333"/>
    <hyperlink ref="O113" r:id="journalLink334"/>
    <hyperlink ref="L114" r:id="journalLink335"/>
    <hyperlink ref="M114" r:id="journalLink336"/>
    <hyperlink ref="O114" r:id="journalLink337"/>
    <hyperlink ref="L115" r:id="journalLink338"/>
    <hyperlink ref="M115" r:id="journalLink339"/>
    <hyperlink ref="O115" r:id="journalLink340"/>
    <hyperlink ref="L116" r:id="journalLink341"/>
    <hyperlink ref="M116" r:id="journalLink342"/>
    <hyperlink ref="O116" r:id="journalLink343"/>
    <hyperlink ref="L117" r:id="journalLink344"/>
    <hyperlink ref="M117" r:id="journalLink345"/>
    <hyperlink ref="O117" r:id="journalLink346"/>
    <hyperlink ref="L118" r:id="journalLink347"/>
    <hyperlink ref="M118" r:id="journalLink348"/>
    <hyperlink ref="O118" r:id="journalLink349"/>
    <hyperlink ref="L119" r:id="journalLink350"/>
    <hyperlink ref="M119" r:id="journalLink351"/>
    <hyperlink ref="O119" r:id="journalLink352"/>
    <hyperlink ref="L120" r:id="journalLink353"/>
    <hyperlink ref="M120" r:id="journalLink354"/>
    <hyperlink ref="O120" r:id="journalLink355"/>
    <hyperlink ref="L121" r:id="journalLink356"/>
    <hyperlink ref="M121" r:id="journalLink357"/>
    <hyperlink ref="O121" r:id="journalLink358"/>
    <hyperlink ref="L122" r:id="journalLink359"/>
    <hyperlink ref="M122" r:id="journalLink360"/>
    <hyperlink ref="O122" r:id="journalLink361"/>
    <hyperlink ref="L123" r:id="journalLink362"/>
    <hyperlink ref="M123" r:id="journalLink363"/>
    <hyperlink ref="O123" r:id="journalLink364"/>
    <hyperlink ref="L124" r:id="journalLink365"/>
    <hyperlink ref="M124" r:id="journalLink366"/>
    <hyperlink ref="O124" r:id="journalLink367"/>
    <hyperlink ref="L125" r:id="journalLink368"/>
    <hyperlink ref="M125" r:id="journalLink369"/>
    <hyperlink ref="O125" r:id="journalLink370"/>
    <hyperlink ref="L126" r:id="journalLink371"/>
    <hyperlink ref="M126" r:id="journalLink372"/>
    <hyperlink ref="O126" r:id="journalLink373"/>
    <hyperlink ref="L127" r:id="journalLink374"/>
    <hyperlink ref="M127" r:id="journalLink375"/>
    <hyperlink ref="O127" r:id="journalLink376"/>
    <hyperlink ref="L128" r:id="journalLink377"/>
    <hyperlink ref="M128" r:id="journalLink378"/>
    <hyperlink ref="O128" r:id="journalLink379"/>
    <hyperlink ref="L129" r:id="journalLink380"/>
    <hyperlink ref="M129" r:id="journalLink381"/>
    <hyperlink ref="O129" r:id="journalLink382"/>
    <hyperlink ref="L130" r:id="journalLink383"/>
    <hyperlink ref="M130" r:id="journalLink384"/>
    <hyperlink ref="O130" r:id="journalLink385"/>
    <hyperlink ref="L131" r:id="journalLink386"/>
    <hyperlink ref="M131" r:id="journalLink387"/>
    <hyperlink ref="O131" r:id="journalLink388"/>
    <hyperlink ref="L132" r:id="journalLink389"/>
    <hyperlink ref="M132" r:id="journalLink390"/>
    <hyperlink ref="O132" r:id="journalLink391"/>
    <hyperlink ref="L133" r:id="journalLink392"/>
    <hyperlink ref="M133" r:id="journalLink393"/>
    <hyperlink ref="O133" r:id="journalLink394"/>
    <hyperlink ref="L134" r:id="journalLink395"/>
    <hyperlink ref="M134" r:id="journalLink396"/>
    <hyperlink ref="O134" r:id="journalLink397"/>
    <hyperlink ref="L135" r:id="journalLink398"/>
    <hyperlink ref="M135" r:id="journalLink399"/>
    <hyperlink ref="O135" r:id="journalLink400"/>
    <hyperlink ref="L136" r:id="journalLink401"/>
    <hyperlink ref="M136" r:id="journalLink402"/>
    <hyperlink ref="O136" r:id="journalLink403"/>
    <hyperlink ref="L137" r:id="journalLink404"/>
    <hyperlink ref="M137" r:id="journalLink405"/>
    <hyperlink ref="O137" r:id="journalLink406"/>
    <hyperlink ref="L138" r:id="journalLink407"/>
    <hyperlink ref="M138" r:id="journalLink408"/>
    <hyperlink ref="O138" r:id="journalLink409"/>
    <hyperlink ref="L139" r:id="journalLink410"/>
    <hyperlink ref="M139" r:id="journalLink411"/>
    <hyperlink ref="O139" r:id="journalLink412"/>
    <hyperlink ref="L140" r:id="journalLink413"/>
    <hyperlink ref="M140" r:id="journalLink414"/>
    <hyperlink ref="O140" r:id="journalLink415"/>
    <hyperlink ref="L141" r:id="journalLink416"/>
    <hyperlink ref="M141" r:id="journalLink417"/>
    <hyperlink ref="O141" r:id="journalLink418"/>
    <hyperlink ref="L142" r:id="journalLink419"/>
    <hyperlink ref="M142" r:id="journalLink420"/>
    <hyperlink ref="O142" r:id="journalLink421"/>
    <hyperlink ref="L143" r:id="journalLink422"/>
    <hyperlink ref="M143" r:id="journalLink423"/>
    <hyperlink ref="O143" r:id="journalLink424"/>
    <hyperlink ref="L144" r:id="journalLink425"/>
    <hyperlink ref="M144" r:id="journalLink426"/>
    <hyperlink ref="O144" r:id="journalLink427"/>
    <hyperlink ref="L145" r:id="journalLink428"/>
    <hyperlink ref="M145" r:id="journalLink429"/>
    <hyperlink ref="O145" r:id="journalLink430"/>
    <hyperlink ref="L146" r:id="journalLink431"/>
    <hyperlink ref="M146" r:id="journalLink432"/>
    <hyperlink ref="O146" r:id="journalLink433"/>
    <hyperlink ref="L147" r:id="journalLink434"/>
    <hyperlink ref="M147" r:id="journalLink435"/>
    <hyperlink ref="O147" r:id="journalLink436"/>
    <hyperlink ref="L148" r:id="journalLink437"/>
    <hyperlink ref="M148" r:id="journalLink438"/>
    <hyperlink ref="O148" r:id="journalLink439"/>
    <hyperlink ref="L149" r:id="journalLink440"/>
    <hyperlink ref="M149" r:id="journalLink441"/>
    <hyperlink ref="O149" r:id="journalLink442"/>
    <hyperlink ref="L150" r:id="journalLink443"/>
    <hyperlink ref="M150" r:id="journalLink444"/>
    <hyperlink ref="O150" r:id="journalLink445"/>
    <hyperlink ref="L151" r:id="journalLink446"/>
    <hyperlink ref="M151" r:id="journalLink447"/>
    <hyperlink ref="O151" r:id="journalLink448"/>
    <hyperlink ref="L152" r:id="journalLink449"/>
    <hyperlink ref="M152" r:id="journalLink450"/>
    <hyperlink ref="O152" r:id="journalLink451"/>
    <hyperlink ref="L153" r:id="journalLink452"/>
    <hyperlink ref="M153" r:id="journalLink453"/>
    <hyperlink ref="O153" r:id="journalLink454"/>
    <hyperlink ref="L154" r:id="journalLink455"/>
    <hyperlink ref="M154" r:id="journalLink456"/>
    <hyperlink ref="O154" r:id="journalLink457"/>
    <hyperlink ref="L155" r:id="journalLink458"/>
    <hyperlink ref="M155" r:id="journalLink459"/>
    <hyperlink ref="O155" r:id="journalLink460"/>
    <hyperlink ref="L156" r:id="journalLink461"/>
    <hyperlink ref="M156" r:id="journalLink462"/>
    <hyperlink ref="O156" r:id="journalLink463"/>
    <hyperlink ref="L157" r:id="journalLink464"/>
    <hyperlink ref="M157" r:id="journalLink465"/>
    <hyperlink ref="O157" r:id="journalLink466"/>
    <hyperlink ref="L158" r:id="journalLink467"/>
    <hyperlink ref="M158" r:id="journalLink468"/>
    <hyperlink ref="O158" r:id="journalLink469"/>
    <hyperlink ref="L159" r:id="journalLink470"/>
    <hyperlink ref="M159" r:id="journalLink471"/>
    <hyperlink ref="O159" r:id="journalLink472"/>
    <hyperlink ref="L160" r:id="journalLink473"/>
    <hyperlink ref="M160" r:id="journalLink474"/>
    <hyperlink ref="O160" r:id="journalLink475"/>
    <hyperlink ref="L161" r:id="journalLink476"/>
    <hyperlink ref="M161" r:id="journalLink477"/>
    <hyperlink ref="O161" r:id="journalLink478"/>
    <hyperlink ref="L162" r:id="journalLink479"/>
    <hyperlink ref="M162" r:id="journalLink480"/>
    <hyperlink ref="O162" r:id="journalLink481"/>
    <hyperlink ref="L163" r:id="journalLink482"/>
    <hyperlink ref="M163" r:id="journalLink483"/>
    <hyperlink ref="O163" r:id="journalLink484"/>
    <hyperlink ref="L164" r:id="journalLink485"/>
    <hyperlink ref="M164" r:id="journalLink486"/>
    <hyperlink ref="O164" r:id="journalLink487"/>
    <hyperlink ref="L165" r:id="journalLink488"/>
    <hyperlink ref="M165" r:id="journalLink489"/>
    <hyperlink ref="O165" r:id="journalLink490"/>
    <hyperlink ref="L166" r:id="journalLink491"/>
    <hyperlink ref="M166" r:id="journalLink492"/>
    <hyperlink ref="O166" r:id="journalLink493"/>
    <hyperlink ref="L167" r:id="journalLink494"/>
    <hyperlink ref="M167" r:id="journalLink495"/>
    <hyperlink ref="O167" r:id="journalLink496"/>
    <hyperlink ref="L168" r:id="journalLink497"/>
    <hyperlink ref="M168" r:id="journalLink498"/>
    <hyperlink ref="O168" r:id="journalLink499"/>
    <hyperlink ref="L169" r:id="journalLink500"/>
    <hyperlink ref="M169" r:id="journalLink501"/>
    <hyperlink ref="O169" r:id="journalLink502"/>
    <hyperlink ref="L170" r:id="journalLink503"/>
    <hyperlink ref="M170" r:id="journalLink504"/>
    <hyperlink ref="O170" r:id="journalLink505"/>
    <hyperlink ref="L171" r:id="journalLink506"/>
    <hyperlink ref="M171" r:id="journalLink507"/>
    <hyperlink ref="O171" r:id="journalLink508"/>
    <hyperlink ref="L172" r:id="journalLink509"/>
    <hyperlink ref="M172" r:id="journalLink510"/>
    <hyperlink ref="O172" r:id="journalLink511"/>
    <hyperlink ref="L173" r:id="journalLink512"/>
    <hyperlink ref="M173" r:id="journalLink513"/>
    <hyperlink ref="O173" r:id="journalLink514"/>
    <hyperlink ref="L174" r:id="journalLink515"/>
    <hyperlink ref="M174" r:id="journalLink516"/>
    <hyperlink ref="O174" r:id="journalLink517"/>
    <hyperlink ref="L175" r:id="journalLink518"/>
    <hyperlink ref="M175" r:id="journalLink519"/>
    <hyperlink ref="O175" r:id="journalLink520"/>
    <hyperlink ref="L176" r:id="journalLink521"/>
    <hyperlink ref="M176" r:id="journalLink522"/>
    <hyperlink ref="O176" r:id="journalLink523"/>
    <hyperlink ref="L177" r:id="journalLink524"/>
    <hyperlink ref="M177" r:id="journalLink525"/>
    <hyperlink ref="O177" r:id="journalLink526"/>
    <hyperlink ref="L178" r:id="journalLink527"/>
    <hyperlink ref="M178" r:id="journalLink528"/>
    <hyperlink ref="O178" r:id="journalLink529"/>
    <hyperlink ref="L179" r:id="journalLink530"/>
    <hyperlink ref="M179" r:id="journalLink531"/>
    <hyperlink ref="O179" r:id="journalLink532"/>
    <hyperlink ref="L180" r:id="journalLink533"/>
    <hyperlink ref="M180" r:id="journalLink534"/>
    <hyperlink ref="O180" r:id="journalLink535"/>
    <hyperlink ref="L181" r:id="journalLink536"/>
    <hyperlink ref="M181" r:id="journalLink537"/>
    <hyperlink ref="O181" r:id="journalLink538"/>
    <hyperlink ref="L182" r:id="journalLink539"/>
    <hyperlink ref="M182" r:id="journalLink540"/>
    <hyperlink ref="O182" r:id="journalLink541"/>
    <hyperlink ref="L183" r:id="journalLink542"/>
    <hyperlink ref="M183" r:id="journalLink543"/>
    <hyperlink ref="O183" r:id="journalLink544"/>
    <hyperlink ref="L184" r:id="journalLink545"/>
    <hyperlink ref="M184" r:id="journalLink546"/>
    <hyperlink ref="O184" r:id="journalLink547"/>
    <hyperlink ref="L185" r:id="journalLink548"/>
    <hyperlink ref="M185" r:id="journalLink549"/>
    <hyperlink ref="O185" r:id="journalLink550"/>
    <hyperlink ref="L186" r:id="journalLink551"/>
    <hyperlink ref="M186" r:id="journalLink552"/>
    <hyperlink ref="O186" r:id="journalLink553"/>
    <hyperlink ref="L187" r:id="journalLink554"/>
    <hyperlink ref="M187" r:id="journalLink555"/>
    <hyperlink ref="O187" r:id="journalLink556"/>
    <hyperlink ref="L188" r:id="journalLink557"/>
    <hyperlink ref="M188" r:id="journalLink558"/>
    <hyperlink ref="O188" r:id="journalLink559"/>
    <hyperlink ref="L189" r:id="journalLink560"/>
    <hyperlink ref="M189" r:id="journalLink561"/>
    <hyperlink ref="O189" r:id="journalLink562"/>
    <hyperlink ref="L190" r:id="journalLink563"/>
    <hyperlink ref="M190" r:id="journalLink564"/>
    <hyperlink ref="O190" r:id="journalLink565"/>
    <hyperlink ref="L191" r:id="journalLink566"/>
    <hyperlink ref="M191" r:id="journalLink567"/>
    <hyperlink ref="O191" r:id="journalLink568"/>
    <hyperlink ref="L192" r:id="journalLink569"/>
    <hyperlink ref="M192" r:id="journalLink570"/>
    <hyperlink ref="O192" r:id="journalLink571"/>
    <hyperlink ref="L193" r:id="journalLink572"/>
    <hyperlink ref="M193" r:id="journalLink573"/>
    <hyperlink ref="O193" r:id="journalLink574"/>
    <hyperlink ref="L194" r:id="journalLink575"/>
    <hyperlink ref="M194" r:id="journalLink576"/>
    <hyperlink ref="O194" r:id="journalLink577"/>
    <hyperlink ref="L195" r:id="journalLink578"/>
    <hyperlink ref="M195" r:id="journalLink579"/>
    <hyperlink ref="O195" r:id="journalLink580"/>
    <hyperlink ref="L196" r:id="journalLink581"/>
    <hyperlink ref="M196" r:id="journalLink582"/>
    <hyperlink ref="O196" r:id="journalLink583"/>
    <hyperlink ref="L197" r:id="journalLink584"/>
    <hyperlink ref="M197" r:id="journalLink585"/>
    <hyperlink ref="O197" r:id="journalLink586"/>
    <hyperlink ref="L198" r:id="journalLink587"/>
    <hyperlink ref="M198" r:id="journalLink588"/>
    <hyperlink ref="O198" r:id="journalLink589"/>
    <hyperlink ref="L199" r:id="journalLink590"/>
    <hyperlink ref="M199" r:id="journalLink591"/>
    <hyperlink ref="O199" r:id="journalLink592"/>
    <hyperlink ref="L200" r:id="journalLink593"/>
    <hyperlink ref="M200" r:id="journalLink594"/>
    <hyperlink ref="O200" r:id="journalLink595"/>
    <hyperlink ref="L201" r:id="journalLink596"/>
    <hyperlink ref="M201" r:id="journalLink597"/>
    <hyperlink ref="O201" r:id="journalLink598"/>
    <hyperlink ref="L202" r:id="journalLink599"/>
    <hyperlink ref="M202" r:id="journalLink600"/>
    <hyperlink ref="O202" r:id="journalLink601"/>
    <hyperlink ref="L203" r:id="journalLink602"/>
    <hyperlink ref="M203" r:id="journalLink603"/>
    <hyperlink ref="O203" r:id="journalLink604"/>
    <hyperlink ref="L204" r:id="journalLink605"/>
    <hyperlink ref="M204" r:id="journalLink606"/>
    <hyperlink ref="O204" r:id="journalLink607"/>
    <hyperlink ref="L205" r:id="journalLink608"/>
    <hyperlink ref="M205" r:id="journalLink609"/>
    <hyperlink ref="O205" r:id="journalLink610"/>
    <hyperlink ref="L206" r:id="journalLink611"/>
    <hyperlink ref="M206" r:id="journalLink612"/>
    <hyperlink ref="O206" r:id="journalLink613"/>
    <hyperlink ref="L207" r:id="journalLink614"/>
    <hyperlink ref="L208" r:id="journalLink615"/>
    <hyperlink ref="M208" r:id="journalLink616"/>
    <hyperlink ref="O208" r:id="journalLink617"/>
    <hyperlink ref="L209" r:id="journalLink618"/>
    <hyperlink ref="M209" r:id="journalLink619"/>
    <hyperlink ref="O209" r:id="journalLink620"/>
    <hyperlink ref="L210" r:id="journalLink621"/>
    <hyperlink ref="M210" r:id="journalLink622"/>
    <hyperlink ref="O210" r:id="journalLink623"/>
    <hyperlink ref="L211" r:id="journalLink624"/>
    <hyperlink ref="M211" r:id="journalLink625"/>
    <hyperlink ref="O211" r:id="journalLink626"/>
    <hyperlink ref="L212" r:id="journalLink627"/>
    <hyperlink ref="M212" r:id="journalLink628"/>
    <hyperlink ref="O212" r:id="journalLink629"/>
    <hyperlink ref="L213" r:id="journalLink630"/>
    <hyperlink ref="M213" r:id="journalLink631"/>
    <hyperlink ref="O213" r:id="journalLink632"/>
    <hyperlink ref="L214" r:id="journalLink633"/>
    <hyperlink ref="M214" r:id="journalLink634"/>
    <hyperlink ref="O214" r:id="journalLink635"/>
    <hyperlink ref="L215" r:id="journalLink636"/>
    <hyperlink ref="M215" r:id="journalLink637"/>
    <hyperlink ref="O215" r:id="journalLink638"/>
    <hyperlink ref="L216" r:id="journalLink639"/>
    <hyperlink ref="M216" r:id="journalLink640"/>
    <hyperlink ref="O216" r:id="journalLink641"/>
    <hyperlink ref="L217" r:id="journalLink642"/>
    <hyperlink ref="M217" r:id="journalLink643"/>
    <hyperlink ref="O217" r:id="journalLink644"/>
    <hyperlink ref="L218" r:id="journalLink645"/>
    <hyperlink ref="M218" r:id="journalLink646"/>
    <hyperlink ref="O218" r:id="journalLink647"/>
    <hyperlink ref="L219" r:id="journalLink648"/>
    <hyperlink ref="M219" r:id="journalLink649"/>
    <hyperlink ref="O219" r:id="journalLink650"/>
    <hyperlink ref="L220" r:id="journalLink651"/>
    <hyperlink ref="M220" r:id="journalLink652"/>
    <hyperlink ref="O220" r:id="journalLink653"/>
    <hyperlink ref="L221" r:id="journalLink654"/>
    <hyperlink ref="M221" r:id="journalLink655"/>
    <hyperlink ref="O221" r:id="journalLink656"/>
    <hyperlink ref="L222" r:id="journalLink657"/>
    <hyperlink ref="M222" r:id="journalLink658"/>
    <hyperlink ref="O222" r:id="journalLink659"/>
    <hyperlink ref="L223" r:id="journalLink660"/>
    <hyperlink ref="M223" r:id="journalLink661"/>
    <hyperlink ref="O223" r:id="journalLink662"/>
    <hyperlink ref="L224" r:id="journalLink663"/>
    <hyperlink ref="M224" r:id="journalLink664"/>
    <hyperlink ref="O224" r:id="journalLink665"/>
    <hyperlink ref="L225" r:id="journalLink666"/>
    <hyperlink ref="M225" r:id="journalLink667"/>
    <hyperlink ref="O225" r:id="journalLink668"/>
    <hyperlink ref="L226" r:id="journalLink669"/>
    <hyperlink ref="M226" r:id="journalLink670"/>
    <hyperlink ref="O226" r:id="journalLink671"/>
    <hyperlink ref="L227" r:id="journalLink672"/>
    <hyperlink ref="M227" r:id="journalLink673"/>
    <hyperlink ref="O227" r:id="journalLink674"/>
    <hyperlink ref="L228" r:id="journalLink675"/>
    <hyperlink ref="M228" r:id="journalLink676"/>
    <hyperlink ref="O228" r:id="journalLink677"/>
    <hyperlink ref="L229" r:id="journalLink678"/>
    <hyperlink ref="M229" r:id="journalLink679"/>
    <hyperlink ref="O229" r:id="journalLink680"/>
    <hyperlink ref="L230" r:id="journalLink681"/>
    <hyperlink ref="M230" r:id="journalLink682"/>
    <hyperlink ref="O230" r:id="journalLink683"/>
    <hyperlink ref="L231" r:id="journalLink684"/>
    <hyperlink ref="M231" r:id="journalLink685"/>
    <hyperlink ref="O231" r:id="journalLink686"/>
    <hyperlink ref="L232" r:id="journalLink687"/>
    <hyperlink ref="M232" r:id="journalLink688"/>
    <hyperlink ref="O232" r:id="journalLink689"/>
    <hyperlink ref="L233" r:id="journalLink690"/>
    <hyperlink ref="M233" r:id="journalLink691"/>
    <hyperlink ref="O233" r:id="journalLink692"/>
    <hyperlink ref="L234" r:id="journalLink693"/>
    <hyperlink ref="M234" r:id="journalLink694"/>
    <hyperlink ref="O234" r:id="journalLink695"/>
    <hyperlink ref="L235" r:id="journalLink696"/>
    <hyperlink ref="M235" r:id="journalLink697"/>
    <hyperlink ref="O235" r:id="journalLink698"/>
    <hyperlink ref="L236" r:id="journalLink699"/>
    <hyperlink ref="M236" r:id="journalLink700"/>
    <hyperlink ref="O236" r:id="journalLink701"/>
    <hyperlink ref="L237" r:id="journalLink702"/>
    <hyperlink ref="M237" r:id="journalLink703"/>
    <hyperlink ref="O237" r:id="journalLink704"/>
    <hyperlink ref="L238" r:id="journalLink705"/>
    <hyperlink ref="M238" r:id="journalLink706"/>
    <hyperlink ref="O238" r:id="journalLink707"/>
    <hyperlink ref="L239" r:id="journalLink708"/>
    <hyperlink ref="M239" r:id="journalLink709"/>
    <hyperlink ref="O239" r:id="journalLink710"/>
    <hyperlink ref="L240" r:id="journalLink711"/>
    <hyperlink ref="M240" r:id="journalLink712"/>
    <hyperlink ref="O240" r:id="journalLink713"/>
    <hyperlink ref="L241" r:id="journalLink714"/>
    <hyperlink ref="M241" r:id="journalLink715"/>
    <hyperlink ref="O241" r:id="journalLink716"/>
    <hyperlink ref="L242" r:id="journalLink717"/>
    <hyperlink ref="M242" r:id="journalLink718"/>
    <hyperlink ref="O242" r:id="journalLink719"/>
    <hyperlink ref="L243" r:id="journalLink720"/>
    <hyperlink ref="M243" r:id="journalLink721"/>
    <hyperlink ref="O243" r:id="journalLink722"/>
    <hyperlink ref="L244" r:id="journalLink723"/>
    <hyperlink ref="M244" r:id="journalLink724"/>
    <hyperlink ref="O244" r:id="journalLink725"/>
    <hyperlink ref="L245" r:id="journalLink726"/>
    <hyperlink ref="M245" r:id="journalLink727"/>
    <hyperlink ref="O245" r:id="journalLink728"/>
    <hyperlink ref="L246" r:id="journalLink729"/>
    <hyperlink ref="M246" r:id="journalLink730"/>
    <hyperlink ref="O246" r:id="journalLink731"/>
    <hyperlink ref="L247" r:id="journalLink732"/>
    <hyperlink ref="M247" r:id="journalLink733"/>
    <hyperlink ref="O247" r:id="journalLink734"/>
    <hyperlink ref="L248" r:id="journalLink735"/>
    <hyperlink ref="M248" r:id="journalLink736"/>
    <hyperlink ref="O248" r:id="journalLink737"/>
    <hyperlink ref="L249" r:id="journalLink738"/>
    <hyperlink ref="M249" r:id="journalLink739"/>
    <hyperlink ref="O249" r:id="journalLink740"/>
    <hyperlink ref="L250" r:id="journalLink741"/>
    <hyperlink ref="M250" r:id="journalLink742"/>
    <hyperlink ref="O250" r:id="journalLink743"/>
    <hyperlink ref="L251" r:id="journalLink744"/>
    <hyperlink ref="M251" r:id="journalLink745"/>
    <hyperlink ref="O251" r:id="journalLink746"/>
    <hyperlink ref="L252" r:id="journalLink747"/>
    <hyperlink ref="M252" r:id="journalLink748"/>
    <hyperlink ref="O252" r:id="journalLink749"/>
    <hyperlink ref="L253" r:id="journalLink750"/>
    <hyperlink ref="M253" r:id="journalLink751"/>
    <hyperlink ref="O253" r:id="journalLink752"/>
    <hyperlink ref="L254" r:id="journalLink753"/>
    <hyperlink ref="M254" r:id="journalLink754"/>
    <hyperlink ref="O254" r:id="journalLink755"/>
    <hyperlink ref="L255" r:id="journalLink756"/>
    <hyperlink ref="M255" r:id="journalLink757"/>
    <hyperlink ref="O255" r:id="journalLink758"/>
    <hyperlink ref="L256" r:id="journalLink759"/>
    <hyperlink ref="M256" r:id="journalLink760"/>
    <hyperlink ref="O256" r:id="journalLink761"/>
    <hyperlink ref="L257" r:id="journalLink762"/>
    <hyperlink ref="M257" r:id="journalLink763"/>
    <hyperlink ref="O257" r:id="journalLink764"/>
    <hyperlink ref="L258" r:id="journalLink765"/>
    <hyperlink ref="M258" r:id="journalLink766"/>
    <hyperlink ref="O258" r:id="journalLink767"/>
    <hyperlink ref="L259" r:id="journalLink768"/>
    <hyperlink ref="M259" r:id="journalLink769"/>
    <hyperlink ref="O259" r:id="journalLink770"/>
    <hyperlink ref="L260" r:id="journalLink771"/>
    <hyperlink ref="M260" r:id="journalLink772"/>
    <hyperlink ref="O260" r:id="journalLink773"/>
    <hyperlink ref="L261" r:id="journalLink774"/>
    <hyperlink ref="M261" r:id="journalLink775"/>
    <hyperlink ref="O261" r:id="journalLink776"/>
    <hyperlink ref="L262" r:id="journalLink777"/>
    <hyperlink ref="M262" r:id="journalLink778"/>
    <hyperlink ref="O262" r:id="journalLink779"/>
    <hyperlink ref="L263" r:id="journalLink780"/>
    <hyperlink ref="M263" r:id="journalLink781"/>
    <hyperlink ref="O263" r:id="journalLink782"/>
    <hyperlink ref="L264" r:id="journalLink783"/>
    <hyperlink ref="M264" r:id="journalLink784"/>
    <hyperlink ref="O264" r:id="journalLink785"/>
    <hyperlink ref="L265" r:id="journalLink786"/>
    <hyperlink ref="M265" r:id="journalLink787"/>
    <hyperlink ref="O265" r:id="journalLink788"/>
    <hyperlink ref="L266" r:id="journalLink789"/>
    <hyperlink ref="M266" r:id="journalLink790"/>
    <hyperlink ref="O266" r:id="journalLink791"/>
    <hyperlink ref="L267" r:id="journalLink792"/>
    <hyperlink ref="M267" r:id="journalLink793"/>
    <hyperlink ref="O267" r:id="journalLink794"/>
    <hyperlink ref="L268" r:id="journalLink795"/>
    <hyperlink ref="M268" r:id="journalLink796"/>
    <hyperlink ref="O268" r:id="journalLink797"/>
    <hyperlink ref="L269" r:id="journalLink798"/>
    <hyperlink ref="M269" r:id="journalLink799"/>
    <hyperlink ref="O269" r:id="journalLink800"/>
    <hyperlink ref="L270" r:id="journalLink801"/>
    <hyperlink ref="M270" r:id="journalLink802"/>
    <hyperlink ref="O270" r:id="journalLink803"/>
    <hyperlink ref="L271" r:id="journalLink804"/>
    <hyperlink ref="M271" r:id="journalLink805"/>
    <hyperlink ref="O271" r:id="journalLink806"/>
    <hyperlink ref="L272" r:id="journalLink807"/>
    <hyperlink ref="M272" r:id="journalLink808"/>
    <hyperlink ref="O272" r:id="journalLink809"/>
    <hyperlink ref="L273" r:id="journalLink810"/>
    <hyperlink ref="M273" r:id="journalLink811"/>
    <hyperlink ref="O273" r:id="journalLink812"/>
    <hyperlink ref="L274" r:id="journalLink813"/>
    <hyperlink ref="L275" r:id="journalLink814"/>
    <hyperlink ref="M275" r:id="journalLink815"/>
    <hyperlink ref="O275" r:id="journalLink816"/>
    <hyperlink ref="L276" r:id="journalLink817"/>
    <hyperlink ref="M276" r:id="journalLink818"/>
    <hyperlink ref="O276" r:id="journalLink819"/>
    <hyperlink ref="L277" r:id="journalLink820"/>
    <hyperlink ref="M277" r:id="journalLink821"/>
    <hyperlink ref="O277" r:id="journalLink822"/>
    <hyperlink ref="L278" r:id="journalLink823"/>
    <hyperlink ref="M278" r:id="journalLink824"/>
    <hyperlink ref="O278" r:id="journalLink825"/>
  </hyperlinks>
  <pageMargins left="0.7" right="0.7" top="0.75" bottom="0.75" header="0.3" footer="0.3"/>
  <tableParts count="1">
    <tablePart r:id="R803449f352394273"/>
  </tableParts>
</worksheet>
</file>